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hidePivotFieldList="1" defaultThemeVersion="166925"/>
  <mc:AlternateContent xmlns:mc="http://schemas.openxmlformats.org/markup-compatibility/2006">
    <mc:Choice Requires="x15">
      <x15ac:absPath xmlns:x15ac="http://schemas.microsoft.com/office/spreadsheetml/2010/11/ac" url="/Users/ronakkhan/Desktop/P/files/word/ollama_analysis_160_170/RAG+Ollama/data/"/>
    </mc:Choice>
  </mc:AlternateContent>
  <xr:revisionPtr revIDLastSave="0" documentId="13_ncr:1_{710CB6B4-C0CF-5045-BFDA-516C8FA92C07}" xr6:coauthVersionLast="47" xr6:coauthVersionMax="47" xr10:uidLastSave="{00000000-0000-0000-0000-000000000000}"/>
  <bookViews>
    <workbookView xWindow="0" yWindow="860" windowWidth="36000" windowHeight="22520" xr2:uid="{522E3EED-C973-4FE6-B362-D255DE459186}"/>
  </bookViews>
  <sheets>
    <sheet name="IDOT Consultant Firms" sheetId="2" r:id="rId1"/>
    <sheet name="PrequalReport" sheetId="1" state="veryHidden" r:id="rId2"/>
  </sheets>
  <definedNames>
    <definedName name="dataasof">PrequalReport!$A$2</definedName>
    <definedName name="NumDBE">PrequalReport!$J$2</definedName>
    <definedName name="NumPrequal">PrequalReport!$D$2</definedName>
    <definedName name="_xlnm.Print_Area" localSheetId="0">'IDOT Consultant Firms'!$A$1:$E$3395</definedName>
    <definedName name="_xlnm.Print_Titles" localSheetId="0">'IDOT Consultant Firms'!$1:$3</definedName>
    <definedName name="Slicer_IS_DBE">#N/A</definedName>
    <definedName name="Slicer_PRE_QUAL_CATEGORIE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495" i="1" l="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483" i="1"/>
  <c r="H3484" i="1"/>
  <c r="H3485" i="1"/>
  <c r="H3486" i="1"/>
  <c r="H3487" i="1"/>
  <c r="H3488" i="1"/>
  <c r="H3489" i="1"/>
  <c r="H3490" i="1"/>
  <c r="H3491" i="1"/>
  <c r="H3492" i="1"/>
  <c r="H3493" i="1"/>
  <c r="H3494" i="1"/>
  <c r="H3482" i="1"/>
  <c r="H3464" i="1"/>
  <c r="H3465" i="1"/>
  <c r="H3466" i="1"/>
  <c r="H3467" i="1"/>
  <c r="H3468" i="1"/>
  <c r="H3469" i="1"/>
  <c r="H3470" i="1"/>
  <c r="H3471" i="1"/>
  <c r="H3472" i="1"/>
  <c r="H3473" i="1"/>
  <c r="H3474" i="1"/>
  <c r="H3475" i="1"/>
  <c r="H3476" i="1"/>
  <c r="H3477" i="1"/>
  <c r="H3478" i="1"/>
  <c r="H3479" i="1"/>
  <c r="H3480" i="1"/>
  <c r="H3481" i="1"/>
  <c r="H3454" i="1"/>
  <c r="H3455" i="1"/>
  <c r="H3456" i="1"/>
  <c r="H3457" i="1"/>
  <c r="H3458" i="1"/>
  <c r="H3459" i="1"/>
  <c r="H3460" i="1"/>
  <c r="H3461" i="1"/>
  <c r="H3462" i="1"/>
  <c r="H3463" i="1"/>
  <c r="H3449" i="1"/>
  <c r="H3450" i="1"/>
  <c r="H3451" i="1"/>
  <c r="H3452" i="1"/>
  <c r="H3453" i="1"/>
  <c r="H3430" i="1"/>
  <c r="H3431" i="1"/>
  <c r="H3432" i="1"/>
  <c r="H3433" i="1"/>
  <c r="H3434" i="1"/>
  <c r="H3435" i="1"/>
  <c r="H3436" i="1"/>
  <c r="H3437" i="1"/>
  <c r="H3438" i="1"/>
  <c r="H3439" i="1"/>
  <c r="H3440" i="1"/>
  <c r="H3441" i="1"/>
  <c r="H3442" i="1"/>
  <c r="H3443" i="1"/>
  <c r="H3444" i="1"/>
  <c r="H3445" i="1"/>
  <c r="H3446" i="1"/>
  <c r="H3447" i="1"/>
  <c r="H3448" i="1"/>
  <c r="H3408" i="1"/>
  <c r="H3409" i="1"/>
  <c r="H3410" i="1"/>
  <c r="H3411" i="1"/>
  <c r="H3412" i="1"/>
  <c r="H3413" i="1"/>
  <c r="H3414" i="1"/>
  <c r="H3415" i="1"/>
  <c r="H3416" i="1"/>
  <c r="H3417" i="1"/>
  <c r="H3418" i="1"/>
  <c r="H3419" i="1"/>
  <c r="H3420" i="1"/>
  <c r="H3421" i="1"/>
  <c r="H3422" i="1"/>
  <c r="H3423" i="1"/>
  <c r="H3424" i="1"/>
  <c r="H3425" i="1"/>
  <c r="H3426" i="1"/>
  <c r="H3427" i="1"/>
  <c r="H3428" i="1"/>
  <c r="H3429" i="1"/>
  <c r="H2443" i="1"/>
  <c r="H3386" i="1"/>
  <c r="H3387" i="1"/>
  <c r="H3388" i="1"/>
  <c r="H3389" i="1"/>
  <c r="H3390" i="1"/>
  <c r="H3391" i="1"/>
  <c r="H3392" i="1"/>
  <c r="H3393" i="1"/>
  <c r="H3394" i="1"/>
  <c r="H3395" i="1"/>
  <c r="H3396" i="1"/>
  <c r="H3397" i="1"/>
  <c r="H3398" i="1"/>
  <c r="H3399" i="1"/>
  <c r="H3400" i="1"/>
  <c r="H3401" i="1"/>
  <c r="H3402" i="1"/>
  <c r="H3403" i="1"/>
  <c r="H3404" i="1"/>
  <c r="H3405" i="1"/>
  <c r="H3406" i="1"/>
  <c r="H3407" i="1"/>
  <c r="H3380" i="1"/>
  <c r="H3381" i="1"/>
  <c r="H3382" i="1"/>
  <c r="H3383" i="1"/>
  <c r="H3384" i="1"/>
  <c r="H3385" i="1"/>
  <c r="H3379" i="1"/>
  <c r="J2" i="1"/>
  <c r="I3" i="2" s="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51" i="1"/>
  <c r="H3352" i="1"/>
  <c r="H3353" i="1"/>
  <c r="H3348" i="1"/>
  <c r="H3349" i="1"/>
  <c r="H3350"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787" i="1"/>
  <c r="H1788" i="1"/>
  <c r="H1789" i="1"/>
  <c r="H1790" i="1"/>
  <c r="H3284" i="1"/>
  <c r="H3320" i="1"/>
  <c r="H3321" i="1"/>
  <c r="H1520" i="1"/>
  <c r="H1521" i="1"/>
  <c r="H1522" i="1"/>
  <c r="H1523" i="1"/>
  <c r="H1524" i="1"/>
  <c r="H1525" i="1"/>
  <c r="H1526" i="1"/>
  <c r="H1527" i="1"/>
  <c r="H1528" i="1"/>
  <c r="H1529" i="1"/>
  <c r="H1530" i="1"/>
  <c r="H2226" i="1"/>
  <c r="H2227" i="1"/>
  <c r="H1231" i="1"/>
  <c r="H1232" i="1"/>
  <c r="H1233" i="1"/>
  <c r="H1234" i="1"/>
  <c r="H1235" i="1"/>
  <c r="H1236" i="1"/>
  <c r="H1237" i="1"/>
  <c r="H1238" i="1"/>
  <c r="H894" i="1"/>
  <c r="H1708" i="1"/>
  <c r="H1709" i="1"/>
  <c r="H1710" i="1"/>
  <c r="H895" i="1"/>
  <c r="H861" i="1"/>
  <c r="H862" i="1"/>
  <c r="H863" i="1"/>
  <c r="H835" i="1"/>
  <c r="H836" i="1"/>
  <c r="H837" i="1"/>
  <c r="H838" i="1"/>
  <c r="H839" i="1"/>
  <c r="H840" i="1"/>
  <c r="H841" i="1"/>
  <c r="H842" i="1"/>
  <c r="H843" i="1"/>
  <c r="H844" i="1"/>
  <c r="H845" i="1"/>
  <c r="H846" i="1"/>
  <c r="H1013" i="1"/>
  <c r="H1014" i="1"/>
  <c r="H1015" i="1"/>
  <c r="H1016" i="1"/>
  <c r="H1017" i="1"/>
  <c r="H1018" i="1"/>
  <c r="H1019" i="1"/>
  <c r="H1020" i="1"/>
  <c r="H1121" i="1"/>
  <c r="H1605" i="1"/>
  <c r="H1606" i="1"/>
  <c r="H1607" i="1"/>
  <c r="H1608" i="1"/>
  <c r="H1609" i="1"/>
  <c r="H1610" i="1"/>
  <c r="H1611" i="1"/>
  <c r="H1612" i="1"/>
  <c r="H1588" i="1"/>
  <c r="H1589" i="1"/>
  <c r="H1590" i="1"/>
  <c r="H1591" i="1"/>
  <c r="H1592" i="1"/>
  <c r="H2951" i="1"/>
  <c r="H2952" i="1"/>
  <c r="H2953" i="1"/>
  <c r="H2954" i="1"/>
  <c r="H724" i="1"/>
  <c r="H725" i="1"/>
  <c r="H726" i="1"/>
  <c r="H727" i="1"/>
  <c r="H728" i="1"/>
  <c r="H729" i="1"/>
  <c r="H730" i="1"/>
  <c r="H1482" i="1"/>
  <c r="H1483" i="1"/>
  <c r="H1484" i="1"/>
  <c r="H1485" i="1"/>
  <c r="H1486" i="1"/>
  <c r="H1399" i="1"/>
  <c r="H1391" i="1"/>
  <c r="H1487" i="1"/>
  <c r="H1488" i="1"/>
  <c r="H1489" i="1"/>
  <c r="H1490" i="1"/>
  <c r="H3279" i="1"/>
  <c r="H3280" i="1"/>
  <c r="H2633" i="1"/>
  <c r="H2356" i="1"/>
  <c r="H1688" i="1"/>
  <c r="H1689" i="1"/>
  <c r="H1764" i="1"/>
  <c r="H809" i="1"/>
  <c r="H810" i="1"/>
  <c r="H811" i="1"/>
  <c r="H812" i="1"/>
  <c r="H813" i="1"/>
  <c r="H814" i="1"/>
  <c r="H815" i="1"/>
  <c r="H1910" i="1"/>
  <c r="H922" i="1"/>
  <c r="H2613" i="1"/>
  <c r="H1540" i="1"/>
  <c r="H1541" i="1"/>
  <c r="H1542" i="1"/>
  <c r="H1543" i="1"/>
  <c r="H664" i="1"/>
  <c r="H854" i="1"/>
  <c r="H855" i="1"/>
  <c r="H1894" i="1"/>
  <c r="H1895" i="1"/>
  <c r="H1302" i="1"/>
  <c r="H1303" i="1"/>
  <c r="H1304" i="1"/>
  <c r="H1305" i="1"/>
  <c r="H1717" i="1"/>
  <c r="H576" i="1"/>
  <c r="H2342" i="1"/>
  <c r="H2343" i="1"/>
  <c r="H2344" i="1"/>
  <c r="H2345" i="1"/>
  <c r="H2346" i="1"/>
  <c r="H2347" i="1"/>
  <c r="H2736" i="1"/>
  <c r="H2737" i="1"/>
  <c r="H2738" i="1"/>
  <c r="H2739" i="1"/>
  <c r="H2740" i="1"/>
  <c r="H3005" i="1"/>
  <c r="H2282" i="1"/>
  <c r="H396" i="1"/>
  <c r="H397" i="1"/>
  <c r="H398" i="1"/>
  <c r="H399" i="1"/>
  <c r="H1114" i="1"/>
  <c r="H1115" i="1"/>
  <c r="H1116" i="1"/>
  <c r="H1117" i="1"/>
  <c r="H1118" i="1"/>
  <c r="H1119" i="1"/>
  <c r="H1120" i="1"/>
  <c r="H3283" i="1"/>
  <c r="H3054" i="1"/>
  <c r="H3055" i="1"/>
  <c r="H3056" i="1"/>
  <c r="H3057" i="1"/>
  <c r="H3058" i="1"/>
  <c r="H3059" i="1"/>
  <c r="H2750" i="1"/>
  <c r="H2751" i="1"/>
  <c r="H2752" i="1"/>
  <c r="H2753" i="1"/>
  <c r="H2754" i="1"/>
  <c r="H701" i="1"/>
  <c r="H2283" i="1"/>
  <c r="H2284" i="1"/>
  <c r="H2285" i="1"/>
  <c r="H2286" i="1"/>
  <c r="H2287" i="1"/>
  <c r="H2288" i="1"/>
  <c r="H2289" i="1"/>
  <c r="H2290" i="1"/>
  <c r="H2291" i="1"/>
  <c r="H2292" i="1"/>
  <c r="H2293" i="1"/>
  <c r="H2294" i="1"/>
  <c r="H2547" i="1"/>
  <c r="H2548" i="1"/>
  <c r="H2549" i="1"/>
  <c r="H2550" i="1"/>
  <c r="H1682" i="1"/>
  <c r="H991" i="1"/>
  <c r="H992" i="1"/>
  <c r="H993" i="1"/>
  <c r="H994" i="1"/>
  <c r="H995" i="1"/>
  <c r="H996" i="1"/>
  <c r="H1337" i="1"/>
  <c r="H997" i="1"/>
  <c r="H998" i="1"/>
  <c r="H338" i="1"/>
  <c r="H339" i="1"/>
  <c r="H2594" i="1"/>
  <c r="H356" i="1"/>
  <c r="H3322" i="1"/>
  <c r="H3323" i="1"/>
  <c r="H3285" i="1"/>
  <c r="H3286" i="1"/>
  <c r="H2966" i="1"/>
  <c r="H2967" i="1"/>
  <c r="H2968" i="1"/>
  <c r="H2969" i="1"/>
  <c r="H999" i="1"/>
  <c r="H2231" i="1"/>
  <c r="H2299" i="1"/>
  <c r="H2300" i="1"/>
  <c r="H2301" i="1"/>
  <c r="H2302" i="1"/>
  <c r="H2303" i="1"/>
  <c r="H2304" i="1"/>
  <c r="H2305" i="1"/>
  <c r="H2306" i="1"/>
  <c r="H1400" i="1"/>
  <c r="H1401" i="1"/>
  <c r="H2626" i="1"/>
  <c r="H2627" i="1"/>
  <c r="H2628" i="1"/>
  <c r="H2629" i="1"/>
  <c r="H2630" i="1"/>
  <c r="H2631" i="1"/>
  <c r="H2632" i="1"/>
  <c r="H3193" i="1"/>
  <c r="H856" i="1"/>
  <c r="H857" i="1"/>
  <c r="H1479" i="1"/>
  <c r="H2296" i="1"/>
  <c r="H2297" i="1"/>
  <c r="H1891" i="1"/>
  <c r="H324" i="1"/>
  <c r="H2566" i="1"/>
  <c r="H867" i="1"/>
  <c r="H108" i="1"/>
  <c r="H109" i="1"/>
  <c r="H110" i="1"/>
  <c r="H1919" i="1"/>
  <c r="H378" i="1"/>
  <c r="H346" i="1"/>
  <c r="H255" i="1"/>
  <c r="H1750" i="1"/>
  <c r="H2025" i="1"/>
  <c r="H1920" i="1"/>
  <c r="H3242" i="1"/>
  <c r="H3243" i="1"/>
  <c r="H3244" i="1"/>
  <c r="H3245" i="1"/>
  <c r="H1733" i="1"/>
  <c r="H648" i="1"/>
  <c r="H1169" i="1"/>
  <c r="H2366" i="1"/>
  <c r="H2367" i="1"/>
  <c r="H2368" i="1"/>
  <c r="H2275" i="1"/>
  <c r="H2276" i="1"/>
  <c r="H46" i="1"/>
  <c r="H47" i="1"/>
  <c r="H48" i="1"/>
  <c r="H49" i="1"/>
  <c r="H50" i="1"/>
  <c r="H2614" i="1"/>
  <c r="H2615" i="1"/>
  <c r="H2616" i="1"/>
  <c r="H14" i="1"/>
  <c r="H1647" i="1"/>
  <c r="H1648" i="1"/>
  <c r="H1649" i="1"/>
  <c r="H2452" i="1"/>
  <c r="H3312" i="1"/>
  <c r="H1063" i="1"/>
  <c r="H2298" i="1"/>
  <c r="H2382" i="1"/>
  <c r="H2383" i="1"/>
  <c r="H2384" i="1"/>
  <c r="H2385" i="1"/>
  <c r="H2386" i="1"/>
  <c r="H2387" i="1"/>
  <c r="H2388" i="1"/>
  <c r="H2389" i="1"/>
  <c r="H2390" i="1"/>
  <c r="H1595" i="1"/>
  <c r="H2159" i="1"/>
  <c r="H2160" i="1"/>
  <c r="H2161" i="1"/>
  <c r="H2162" i="1"/>
  <c r="H2163" i="1"/>
  <c r="H1260" i="1"/>
  <c r="H3268" i="1"/>
  <c r="H968" i="1"/>
  <c r="H969" i="1"/>
  <c r="H970" i="1"/>
  <c r="H318" i="1"/>
  <c r="H319" i="1"/>
  <c r="H320" i="1"/>
  <c r="H321" i="1"/>
  <c r="H1159" i="1"/>
  <c r="H1160" i="1"/>
  <c r="H2402" i="1"/>
  <c r="H723" i="1"/>
  <c r="H2940" i="1"/>
  <c r="H2514" i="1"/>
  <c r="H1596" i="1"/>
  <c r="H1597" i="1"/>
  <c r="H158" i="1"/>
  <c r="H159" i="1"/>
  <c r="H1079" i="1"/>
  <c r="H1080" i="1"/>
  <c r="H1081" i="1"/>
  <c r="H1082" i="1"/>
  <c r="H1083" i="1"/>
  <c r="H3130" i="1"/>
  <c r="H2493" i="1"/>
  <c r="H2494" i="1"/>
  <c r="H2495" i="1"/>
  <c r="H1871" i="1"/>
  <c r="H628" i="1"/>
  <c r="H1921" i="1"/>
  <c r="H682" i="1"/>
  <c r="H433" i="1"/>
  <c r="H434" i="1"/>
  <c r="H435" i="1"/>
  <c r="H436" i="1"/>
  <c r="H437" i="1"/>
  <c r="H2008" i="1"/>
  <c r="H305" i="1"/>
  <c r="H306" i="1"/>
  <c r="H307" i="1"/>
  <c r="H308" i="1"/>
  <c r="H309" i="1"/>
  <c r="H1928" i="1"/>
  <c r="H1929" i="1"/>
  <c r="H1930" i="1"/>
  <c r="H284" i="1"/>
  <c r="H1199" i="1"/>
  <c r="H1200" i="1"/>
  <c r="H3074" i="1"/>
  <c r="H2866" i="1"/>
  <c r="H2867" i="1"/>
  <c r="H2868" i="1"/>
  <c r="H2869" i="1"/>
  <c r="H1577" i="1"/>
  <c r="H1578" i="1"/>
  <c r="H1402" i="1"/>
  <c r="H1403" i="1"/>
  <c r="H3190" i="1"/>
  <c r="H3191" i="1"/>
  <c r="H3192" i="1"/>
  <c r="H540" i="1"/>
  <c r="H3099" i="1"/>
  <c r="H3100" i="1"/>
  <c r="H3101" i="1"/>
  <c r="H3102" i="1"/>
  <c r="H3103" i="1"/>
  <c r="H3104" i="1"/>
  <c r="H3105" i="1"/>
  <c r="H2792" i="1"/>
  <c r="H2793" i="1"/>
  <c r="H2794" i="1"/>
  <c r="H1791" i="1"/>
  <c r="H2191" i="1"/>
  <c r="H2192" i="1"/>
  <c r="H2193" i="1"/>
  <c r="H2194" i="1"/>
  <c r="H2195" i="1"/>
  <c r="H2196" i="1"/>
  <c r="H258" i="1"/>
  <c r="H1361" i="1"/>
  <c r="H1362" i="1"/>
  <c r="H1363" i="1"/>
  <c r="H3164" i="1"/>
  <c r="H2403" i="1"/>
  <c r="H2404" i="1"/>
  <c r="H1556" i="1"/>
  <c r="H570" i="1"/>
  <c r="H571" i="1"/>
  <c r="H3236" i="1"/>
  <c r="H3237" i="1"/>
  <c r="H3238" i="1"/>
  <c r="H3239" i="1"/>
  <c r="H3240" i="1"/>
  <c r="H3241" i="1"/>
  <c r="H2325" i="1"/>
  <c r="H683" i="1"/>
  <c r="H1110" i="1"/>
  <c r="H1111" i="1"/>
  <c r="H1112" i="1"/>
  <c r="H1113" i="1"/>
  <c r="H1225" i="1"/>
  <c r="H2591" i="1"/>
  <c r="H2157" i="1"/>
  <c r="H2158" i="1"/>
  <c r="H3091" i="1"/>
  <c r="H3092" i="1"/>
  <c r="H3093" i="1"/>
  <c r="H910" i="1"/>
  <c r="H925" i="1"/>
  <c r="H420" i="1"/>
  <c r="H421" i="1"/>
  <c r="H422" i="1"/>
  <c r="H2697" i="1"/>
  <c r="H2698" i="1"/>
  <c r="H2699" i="1"/>
  <c r="H2700" i="1"/>
  <c r="H2701" i="1"/>
  <c r="H2702" i="1"/>
  <c r="H1295" i="1"/>
  <c r="H684" i="1"/>
  <c r="H685" i="1"/>
  <c r="H686" i="1"/>
  <c r="H687" i="1"/>
  <c r="H688" i="1"/>
  <c r="H689" i="1"/>
  <c r="H2369" i="1"/>
  <c r="H3196" i="1"/>
  <c r="H3197" i="1"/>
  <c r="H3198" i="1"/>
  <c r="H3199" i="1"/>
  <c r="H3200" i="1"/>
  <c r="H3201" i="1"/>
  <c r="H3202" i="1"/>
  <c r="H3203" i="1"/>
  <c r="H3204" i="1"/>
  <c r="H3205" i="1"/>
  <c r="H3206" i="1"/>
  <c r="H3207" i="1"/>
  <c r="H3208" i="1"/>
  <c r="H3209" i="1"/>
  <c r="H3210" i="1"/>
  <c r="H3211" i="1"/>
  <c r="H86" i="1"/>
  <c r="H690" i="1"/>
  <c r="H691" i="1"/>
  <c r="H692" i="1"/>
  <c r="H693" i="1"/>
  <c r="H694" i="1"/>
  <c r="H2324" i="1"/>
  <c r="H357" i="1"/>
  <c r="H358" i="1"/>
  <c r="H359" i="1"/>
  <c r="H360" i="1"/>
  <c r="H361" i="1"/>
  <c r="H362" i="1"/>
  <c r="H36" i="1"/>
  <c r="H363" i="1"/>
  <c r="H364" i="1"/>
  <c r="H2760" i="1"/>
  <c r="H635" i="1"/>
  <c r="H636" i="1"/>
  <c r="H637" i="1"/>
  <c r="H638" i="1"/>
  <c r="H639" i="1"/>
  <c r="H640" i="1"/>
  <c r="H641" i="1"/>
  <c r="H642" i="1"/>
  <c r="H643" i="1"/>
  <c r="H644" i="1"/>
  <c r="H645" i="1"/>
  <c r="H3067" i="1"/>
  <c r="H1751" i="1"/>
  <c r="H2974" i="1"/>
  <c r="H2975" i="1"/>
  <c r="H2976" i="1"/>
  <c r="H2977" i="1"/>
  <c r="H2978" i="1"/>
  <c r="H2979" i="1"/>
  <c r="H2225" i="1"/>
  <c r="H1360" i="1"/>
  <c r="H2465" i="1"/>
  <c r="H2466" i="1"/>
  <c r="H2467" i="1"/>
  <c r="H2468" i="1"/>
  <c r="H2469" i="1"/>
  <c r="H2470" i="1"/>
  <c r="H2471" i="1"/>
  <c r="H2472" i="1"/>
  <c r="H2473" i="1"/>
  <c r="H3044" i="1"/>
  <c r="H2504" i="1"/>
  <c r="H2505" i="1"/>
  <c r="H1593" i="1"/>
  <c r="H1594" i="1"/>
  <c r="H1642" i="1"/>
  <c r="H1643" i="1"/>
  <c r="H1644" i="1"/>
  <c r="H1683" i="1"/>
  <c r="H1684" i="1"/>
  <c r="H1685" i="1"/>
  <c r="H2855" i="1"/>
  <c r="H1811" i="1"/>
  <c r="H1812" i="1"/>
  <c r="H1392" i="1"/>
  <c r="H1393" i="1"/>
  <c r="H1394" i="1"/>
  <c r="H1395" i="1"/>
  <c r="H3106" i="1"/>
  <c r="H3107" i="1"/>
  <c r="H3108" i="1"/>
  <c r="H3109" i="1"/>
  <c r="H3110" i="1"/>
  <c r="H3111" i="1"/>
  <c r="H2778" i="1"/>
  <c r="H2779" i="1"/>
  <c r="H2780" i="1"/>
  <c r="H3040" i="1"/>
  <c r="H63" i="1"/>
  <c r="H64" i="1"/>
  <c r="H1408" i="1"/>
  <c r="H1409" i="1"/>
  <c r="H3311" i="1"/>
  <c r="H1792" i="1"/>
  <c r="H1793" i="1"/>
  <c r="H1794" i="1"/>
  <c r="H1795" i="1"/>
  <c r="H1146" i="1"/>
  <c r="H1147" i="1"/>
  <c r="H1148" i="1"/>
  <c r="H1149" i="1"/>
  <c r="H1150" i="1"/>
  <c r="H1151" i="1"/>
  <c r="H1152" i="1"/>
  <c r="H945" i="1"/>
  <c r="H77" i="1"/>
  <c r="H78" i="1"/>
  <c r="H79" i="1"/>
  <c r="H80" i="1"/>
  <c r="H2317" i="1"/>
  <c r="H2392" i="1"/>
  <c r="H2393" i="1"/>
  <c r="H1087" i="1"/>
  <c r="H1088" i="1"/>
  <c r="H1089" i="1"/>
  <c r="H2994" i="1"/>
  <c r="H1896" i="1"/>
  <c r="H1897" i="1"/>
  <c r="H1898" i="1"/>
  <c r="H1899" i="1"/>
  <c r="H1900" i="1"/>
  <c r="H1901" i="1"/>
  <c r="H1902" i="1"/>
  <c r="H1153" i="1"/>
  <c r="H1003" i="1"/>
  <c r="H1004" i="1"/>
  <c r="H697" i="1"/>
  <c r="H698" i="1"/>
  <c r="H699" i="1"/>
  <c r="H700" i="1"/>
  <c r="H1890" i="1"/>
  <c r="H3014" i="1"/>
  <c r="H3015" i="1"/>
  <c r="H2892" i="1"/>
  <c r="H2893" i="1"/>
  <c r="H2894" i="1"/>
  <c r="H2895" i="1"/>
  <c r="H1062" i="1"/>
  <c r="H3305" i="1"/>
  <c r="H3306" i="1"/>
  <c r="H3307" i="1"/>
  <c r="H3308" i="1"/>
  <c r="H3309" i="1"/>
  <c r="H914" i="1"/>
  <c r="H915" i="1"/>
  <c r="H916" i="1"/>
  <c r="H917" i="1"/>
  <c r="H918" i="1"/>
  <c r="H3016" i="1"/>
  <c r="H3017" i="1"/>
  <c r="H2488" i="1"/>
  <c r="H2489" i="1"/>
  <c r="H2117" i="1"/>
  <c r="H1847" i="1"/>
  <c r="H1848" i="1"/>
  <c r="H1849" i="1"/>
  <c r="H1850" i="1"/>
  <c r="H1851" i="1"/>
  <c r="H1852" i="1"/>
  <c r="H1853" i="1"/>
  <c r="H1854" i="1"/>
  <c r="H3282" i="1"/>
  <c r="H292" i="1"/>
  <c r="H293" i="1"/>
  <c r="H294" i="1"/>
  <c r="H295" i="1"/>
  <c r="H296" i="1"/>
  <c r="H297" i="1"/>
  <c r="H298" i="1"/>
  <c r="H299" i="1"/>
  <c r="H300" i="1"/>
  <c r="H301" i="1"/>
  <c r="H2138" i="1"/>
  <c r="H1936" i="1"/>
  <c r="H1937" i="1"/>
  <c r="H1938" i="1"/>
  <c r="H1939" i="1"/>
  <c r="H365" i="1"/>
  <c r="H366" i="1"/>
  <c r="H367" i="1"/>
  <c r="H368" i="1"/>
  <c r="H369" i="1"/>
  <c r="H1909" i="1"/>
  <c r="H2335" i="1"/>
  <c r="H2336" i="1"/>
  <c r="H1739" i="1"/>
  <c r="H1565" i="1"/>
  <c r="H1566" i="1"/>
  <c r="H1690" i="1"/>
  <c r="H2579" i="1"/>
  <c r="H2580" i="1"/>
  <c r="H2000" i="1"/>
  <c r="H2001" i="1"/>
  <c r="H3195" i="1"/>
  <c r="H1944" i="1"/>
  <c r="H1945" i="1"/>
  <c r="H1974" i="1"/>
  <c r="H2249" i="1"/>
  <c r="H1182" i="1"/>
  <c r="H1183" i="1"/>
  <c r="H1184" i="1"/>
  <c r="H1185" i="1"/>
  <c r="H1186" i="1"/>
  <c r="H1187" i="1"/>
  <c r="H1188" i="1"/>
  <c r="H3094" i="1"/>
  <c r="H1189" i="1"/>
  <c r="H1740" i="1"/>
  <c r="H1741" i="1"/>
  <c r="H1742" i="1"/>
  <c r="H1810" i="1"/>
  <c r="H1922" i="1"/>
  <c r="H1923" i="1"/>
  <c r="H1924" i="1"/>
  <c r="H1925" i="1"/>
  <c r="H1926" i="1"/>
  <c r="H1712" i="1"/>
  <c r="H1171" i="1"/>
  <c r="H1172" i="1"/>
  <c r="H1173" i="1"/>
  <c r="H1174" i="1"/>
  <c r="H1175" i="1"/>
  <c r="H1176" i="1"/>
  <c r="H1177" i="1"/>
  <c r="H2205" i="1"/>
  <c r="H2206" i="1"/>
  <c r="H2207" i="1"/>
  <c r="H2208" i="1"/>
  <c r="H2209" i="1"/>
  <c r="H2210" i="1"/>
  <c r="H2211" i="1"/>
  <c r="H2212" i="1"/>
  <c r="H2213" i="1"/>
  <c r="H2214" i="1"/>
  <c r="H2215" i="1"/>
  <c r="H1178" i="1"/>
  <c r="H1179" i="1"/>
  <c r="H1180" i="1"/>
  <c r="H1641" i="1"/>
  <c r="H1715" i="1"/>
  <c r="H1716" i="1"/>
  <c r="H2459" i="1"/>
  <c r="H2460" i="1"/>
  <c r="H2461" i="1"/>
  <c r="H2462" i="1"/>
  <c r="H2463" i="1"/>
  <c r="H383" i="1"/>
  <c r="H1181" i="1"/>
  <c r="H3224" i="1"/>
  <c r="H4" i="1"/>
  <c r="H5" i="1"/>
  <c r="H6" i="1"/>
  <c r="H286" i="1"/>
  <c r="H287" i="1"/>
  <c r="H2240" i="1"/>
  <c r="H2241" i="1"/>
  <c r="H2242" i="1"/>
  <c r="H2054" i="1"/>
  <c r="H2055" i="1"/>
  <c r="H2056" i="1"/>
  <c r="H2057" i="1"/>
  <c r="H2058" i="1"/>
  <c r="H2059" i="1"/>
  <c r="H2060" i="1"/>
  <c r="H269" i="1"/>
  <c r="H1913" i="1"/>
  <c r="H1914" i="1"/>
  <c r="H290" i="1"/>
  <c r="H291" i="1"/>
  <c r="H1645" i="1"/>
  <c r="H578" i="1"/>
  <c r="H65" i="1"/>
  <c r="H2612" i="1"/>
  <c r="H2400" i="1"/>
  <c r="H2401" i="1"/>
  <c r="H2144" i="1"/>
  <c r="H2990" i="1"/>
  <c r="H1718" i="1"/>
  <c r="H1719" i="1"/>
  <c r="H2506" i="1"/>
  <c r="H2507" i="1"/>
  <c r="H2508" i="1"/>
  <c r="H2509" i="1"/>
  <c r="H2510" i="1"/>
  <c r="H2511" i="1"/>
  <c r="H2512" i="1"/>
  <c r="H1491" i="1"/>
  <c r="H3330" i="1"/>
  <c r="H427" i="1"/>
  <c r="H428" i="1"/>
  <c r="H429" i="1"/>
  <c r="H430" i="1"/>
  <c r="H431" i="1"/>
  <c r="H1994" i="1"/>
  <c r="H1213" i="1"/>
  <c r="H1214" i="1"/>
  <c r="H1067" i="1"/>
  <c r="H1290" i="1"/>
  <c r="H1291" i="1"/>
  <c r="H7" i="1"/>
  <c r="H8" i="1"/>
  <c r="H1700" i="1"/>
  <c r="H1701" i="1"/>
  <c r="H1702" i="1"/>
  <c r="H1703" i="1"/>
  <c r="H1704" i="1"/>
  <c r="H1705" i="1"/>
  <c r="H1706" i="1"/>
  <c r="H1707" i="1"/>
  <c r="H2350" i="1"/>
  <c r="H2351" i="1"/>
  <c r="H717" i="1"/>
  <c r="H718" i="1"/>
  <c r="H2839" i="1"/>
  <c r="H2840" i="1"/>
  <c r="H2841" i="1"/>
  <c r="H2842" i="1"/>
  <c r="H2843" i="1"/>
  <c r="H2844" i="1"/>
  <c r="H2845" i="1"/>
  <c r="H2846" i="1"/>
  <c r="H3090" i="1"/>
  <c r="H2077" i="1"/>
  <c r="H9" i="1"/>
  <c r="H2661" i="1"/>
  <c r="H2662" i="1"/>
  <c r="H2663" i="1"/>
  <c r="H2664" i="1"/>
  <c r="H2665" i="1"/>
  <c r="H2666" i="1"/>
  <c r="H2667" i="1"/>
  <c r="H2668" i="1"/>
  <c r="H2669" i="1"/>
  <c r="H2670" i="1"/>
  <c r="H2671" i="1"/>
  <c r="H256" i="1"/>
  <c r="H257" i="1"/>
  <c r="H370" i="1"/>
  <c r="H371" i="1"/>
  <c r="H2980" i="1"/>
  <c r="H2981" i="1"/>
  <c r="H2900" i="1"/>
  <c r="H2901" i="1"/>
  <c r="H2902" i="1"/>
  <c r="H2903" i="1"/>
  <c r="H2904" i="1"/>
  <c r="H2905" i="1"/>
  <c r="H2906" i="1"/>
  <c r="H2907" i="1"/>
  <c r="H2908" i="1"/>
  <c r="H2909" i="1"/>
  <c r="H2910" i="1"/>
  <c r="H2911" i="1"/>
  <c r="H2912" i="1"/>
  <c r="H2913" i="1"/>
  <c r="H3045" i="1"/>
  <c r="H3046" i="1"/>
  <c r="H3047" i="1"/>
  <c r="H3048" i="1"/>
  <c r="H3049" i="1"/>
  <c r="H3050" i="1"/>
  <c r="H3051" i="1"/>
  <c r="H3052" i="1"/>
  <c r="H3053" i="1"/>
  <c r="H1816" i="1"/>
  <c r="H3060" i="1"/>
  <c r="H3061" i="1"/>
  <c r="H3062" i="1"/>
  <c r="H3063" i="1"/>
  <c r="H3064" i="1"/>
  <c r="H3065" i="1"/>
  <c r="H3066" i="1"/>
  <c r="H1161" i="1"/>
  <c r="H1162" i="1"/>
  <c r="H1802" i="1"/>
  <c r="H1803" i="1"/>
  <c r="H2391" i="1"/>
  <c r="H2672" i="1"/>
  <c r="H783" i="1"/>
  <c r="H2660" i="1"/>
  <c r="H2278" i="1"/>
  <c r="H2279" i="1"/>
  <c r="H2280" i="1"/>
  <c r="H2281" i="1"/>
  <c r="H2118" i="1"/>
  <c r="H2119" i="1"/>
  <c r="H2120" i="1"/>
  <c r="H2121" i="1"/>
  <c r="H2122" i="1"/>
  <c r="H2123" i="1"/>
  <c r="H2124" i="1"/>
  <c r="H2125" i="1"/>
  <c r="H2126" i="1"/>
  <c r="H2127" i="1"/>
  <c r="H2128" i="1"/>
  <c r="H2129" i="1"/>
  <c r="H2130" i="1"/>
  <c r="H2131" i="1"/>
  <c r="H2132" i="1"/>
  <c r="H2133" i="1"/>
  <c r="H2673" i="1"/>
  <c r="H2674" i="1"/>
  <c r="H468" i="1"/>
  <c r="H469" i="1"/>
  <c r="H470" i="1"/>
  <c r="H471" i="1"/>
  <c r="H472" i="1"/>
  <c r="H473" i="1"/>
  <c r="H474" i="1"/>
  <c r="H475" i="1"/>
  <c r="H476" i="1"/>
  <c r="H477" i="1"/>
  <c r="H478" i="1"/>
  <c r="H479" i="1"/>
  <c r="H480" i="1"/>
  <c r="H481" i="1"/>
  <c r="H482" i="1"/>
  <c r="H2464" i="1"/>
  <c r="H483" i="1"/>
  <c r="H2887" i="1"/>
  <c r="H971" i="1"/>
  <c r="H972" i="1"/>
  <c r="H973" i="1"/>
  <c r="H974" i="1"/>
  <c r="H975" i="1"/>
  <c r="H976" i="1"/>
  <c r="H977" i="1"/>
  <c r="H978" i="1"/>
  <c r="H979" i="1"/>
  <c r="H980" i="1"/>
  <c r="H981" i="1"/>
  <c r="H2937" i="1"/>
  <c r="H181" i="1"/>
  <c r="H2938" i="1"/>
  <c r="H1917" i="1"/>
  <c r="H1918" i="1"/>
  <c r="H233" i="1"/>
  <c r="H234" i="1"/>
  <c r="H235" i="1"/>
  <c r="H236" i="1"/>
  <c r="H237" i="1"/>
  <c r="H600" i="1"/>
  <c r="H601" i="1"/>
  <c r="H602" i="1"/>
  <c r="H603" i="1"/>
  <c r="H604" i="1"/>
  <c r="H605" i="1"/>
  <c r="H1870" i="1"/>
  <c r="H606" i="1"/>
  <c r="H607" i="1"/>
  <c r="H1774" i="1"/>
  <c r="H212" i="1"/>
  <c r="H213" i="1"/>
  <c r="H1989" i="1"/>
  <c r="H185" i="1"/>
  <c r="H186" i="1"/>
  <c r="H187" i="1"/>
  <c r="H2599" i="1"/>
  <c r="H2600" i="1"/>
  <c r="H2601" i="1"/>
  <c r="H2602" i="1"/>
  <c r="H2603" i="1"/>
  <c r="H3086" i="1"/>
  <c r="H3087" i="1"/>
  <c r="H3088" i="1"/>
  <c r="H3089" i="1"/>
  <c r="H2574" i="1"/>
  <c r="H2575" i="1"/>
  <c r="H2576" i="1"/>
  <c r="H3220" i="1"/>
  <c r="H1279" i="1"/>
  <c r="H1280" i="1"/>
  <c r="H1544" i="1"/>
  <c r="H1545" i="1"/>
  <c r="H1546" i="1"/>
  <c r="H1547" i="1"/>
  <c r="H442" i="1"/>
  <c r="H2888" i="1"/>
  <c r="H274" i="1"/>
  <c r="H275" i="1"/>
  <c r="H276" i="1"/>
  <c r="H277" i="1"/>
  <c r="H278" i="1"/>
  <c r="H279" i="1"/>
  <c r="H872" i="1"/>
  <c r="H484" i="1"/>
  <c r="H485" i="1"/>
  <c r="H486" i="1"/>
  <c r="H487" i="1"/>
  <c r="H2453" i="1"/>
  <c r="H2577" i="1"/>
  <c r="H2823" i="1"/>
  <c r="H3261" i="1"/>
  <c r="H1006" i="1"/>
  <c r="H2578" i="1"/>
  <c r="H3142" i="1"/>
  <c r="H3143" i="1"/>
  <c r="H2864" i="1"/>
  <c r="H3144" i="1"/>
  <c r="H2831" i="1"/>
  <c r="H2832" i="1"/>
  <c r="H746" i="1"/>
  <c r="H747" i="1"/>
  <c r="H748" i="1"/>
  <c r="H2581" i="1"/>
  <c r="H2582" i="1"/>
  <c r="H924" i="1"/>
  <c r="H749" i="1"/>
  <c r="H1639" i="1"/>
  <c r="H1190" i="1"/>
  <c r="H2410" i="1"/>
  <c r="H2411" i="1"/>
  <c r="H2412" i="1"/>
  <c r="H2179" i="1"/>
  <c r="H1640" i="1"/>
  <c r="H1538" i="1"/>
  <c r="H1539" i="1"/>
  <c r="H400" i="1"/>
  <c r="H1410" i="1"/>
  <c r="H1893" i="1"/>
  <c r="H2002" i="1"/>
  <c r="H2003" i="1"/>
  <c r="H1296" i="1"/>
  <c r="H1297" i="1"/>
  <c r="H1298" i="1"/>
  <c r="H1299" i="1"/>
  <c r="H2586" i="1"/>
  <c r="H2587" i="1"/>
  <c r="H2588" i="1"/>
  <c r="H2589" i="1"/>
  <c r="H2590" i="1"/>
  <c r="H1806" i="1"/>
  <c r="H1943" i="1"/>
  <c r="H245" i="1"/>
  <c r="H246" i="1"/>
  <c r="H247" i="1"/>
  <c r="H1531" i="1"/>
  <c r="H784" i="1"/>
  <c r="H2405" i="1"/>
  <c r="H2406" i="1"/>
  <c r="H2407" i="1"/>
  <c r="H2408" i="1"/>
  <c r="H2114" i="1"/>
  <c r="H2115" i="1"/>
  <c r="H2116" i="1"/>
  <c r="H325" i="1"/>
  <c r="H1311" i="1"/>
  <c r="H1312" i="1"/>
  <c r="H1313" i="1"/>
  <c r="H1314" i="1"/>
  <c r="H2363" i="1"/>
  <c r="H2454" i="1"/>
  <c r="H2455" i="1"/>
  <c r="H2456" i="1"/>
  <c r="H1163" i="1"/>
  <c r="H3012" i="1"/>
  <c r="H929" i="1"/>
  <c r="H930" i="1"/>
  <c r="H3276" i="1"/>
  <c r="H3277" i="1"/>
  <c r="H3278" i="1"/>
  <c r="H1191" i="1"/>
  <c r="H1192" i="1"/>
  <c r="H1193" i="1"/>
  <c r="H1194" i="1"/>
  <c r="H1195" i="1"/>
  <c r="H859" i="1"/>
  <c r="H860" i="1"/>
  <c r="H890" i="1"/>
  <c r="H891" i="1"/>
  <c r="H892" i="1"/>
  <c r="H864" i="1"/>
  <c r="H625" i="1"/>
  <c r="H626" i="1"/>
  <c r="H2543" i="1"/>
  <c r="H2544" i="1"/>
  <c r="H2545" i="1"/>
  <c r="H2941" i="1"/>
  <c r="H2942" i="1"/>
  <c r="H2943" i="1"/>
  <c r="H2944" i="1"/>
  <c r="H2945" i="1"/>
  <c r="H2946" i="1"/>
  <c r="H2947" i="1"/>
  <c r="H2948" i="1"/>
  <c r="H2949" i="1"/>
  <c r="H1827" i="1"/>
  <c r="H1438" i="1"/>
  <c r="H1439" i="1"/>
  <c r="H1440" i="1"/>
  <c r="H1713" i="1"/>
  <c r="H1714" i="1"/>
  <c r="H1759" i="1"/>
  <c r="H1760" i="1"/>
  <c r="H1761" i="1"/>
  <c r="H1441" i="1"/>
  <c r="H2833" i="1"/>
  <c r="H2585" i="1"/>
  <c r="H1829" i="1"/>
  <c r="H2339" i="1"/>
  <c r="H2340" i="1"/>
  <c r="H113" i="1"/>
  <c r="H114" i="1"/>
  <c r="H115" i="1"/>
  <c r="H875" i="1"/>
  <c r="H876" i="1"/>
  <c r="H877" i="1"/>
  <c r="H878" i="1"/>
  <c r="H116" i="1"/>
  <c r="H117" i="1"/>
  <c r="H884" i="1"/>
  <c r="H328" i="1"/>
  <c r="H191" i="1"/>
  <c r="H1070" i="1"/>
  <c r="H1071" i="1"/>
  <c r="H1072" i="1"/>
  <c r="H1813" i="1"/>
  <c r="H1814" i="1"/>
  <c r="H2098" i="1"/>
  <c r="H2099" i="1"/>
  <c r="H2100" i="1"/>
  <c r="H2101" i="1"/>
  <c r="H2102" i="1"/>
  <c r="H2103" i="1"/>
  <c r="H2104" i="1"/>
  <c r="H2105" i="1"/>
  <c r="H2106" i="1"/>
  <c r="H2107" i="1"/>
  <c r="H1164" i="1"/>
  <c r="H1165" i="1"/>
  <c r="H1166" i="1"/>
  <c r="H1167" i="1"/>
  <c r="H1168" i="1"/>
  <c r="H2176" i="1"/>
  <c r="H2177" i="1"/>
  <c r="H3331" i="1"/>
  <c r="H3332" i="1"/>
  <c r="H3333" i="1"/>
  <c r="H3334" i="1"/>
  <c r="H3335" i="1"/>
  <c r="H3336" i="1"/>
  <c r="H3337" i="1"/>
  <c r="H3338" i="1"/>
  <c r="H21" i="1"/>
  <c r="H3339" i="1"/>
  <c r="H488" i="1"/>
  <c r="H489" i="1"/>
  <c r="H490" i="1"/>
  <c r="H491" i="1"/>
  <c r="H492" i="1"/>
  <c r="H493" i="1"/>
  <c r="H494" i="1"/>
  <c r="H2014" i="1"/>
  <c r="H1752" i="1"/>
  <c r="H1753" i="1"/>
  <c r="H1754" i="1"/>
  <c r="H2783" i="1"/>
  <c r="H1264" i="1"/>
  <c r="H1265" i="1"/>
  <c r="H1266" i="1"/>
  <c r="H2755" i="1"/>
  <c r="H2715" i="1"/>
  <c r="H3310" i="1"/>
  <c r="H413" i="1"/>
  <c r="H414" i="1"/>
  <c r="H22" i="1"/>
  <c r="H23" i="1"/>
  <c r="H24" i="1"/>
  <c r="H25" i="1"/>
  <c r="H2982" i="1"/>
  <c r="H2983" i="1"/>
  <c r="H2984" i="1"/>
  <c r="H2985" i="1"/>
  <c r="H2986" i="1"/>
  <c r="H2987" i="1"/>
  <c r="H372" i="1"/>
  <c r="H373" i="1"/>
  <c r="H374" i="1"/>
  <c r="H1659" i="1"/>
  <c r="H1660" i="1"/>
  <c r="H1661" i="1"/>
  <c r="H1662" i="1"/>
  <c r="H1663" i="1"/>
  <c r="H1664" i="1"/>
  <c r="H1665" i="1"/>
  <c r="H1666" i="1"/>
  <c r="H1667" i="1"/>
  <c r="H495" i="1"/>
  <c r="H496" i="1"/>
  <c r="H497" i="1"/>
  <c r="H498" i="1"/>
  <c r="H499" i="1"/>
  <c r="H500" i="1"/>
  <c r="H501" i="1"/>
  <c r="H502" i="1"/>
  <c r="H503" i="1"/>
  <c r="H163" i="1"/>
  <c r="H164" i="1"/>
  <c r="H165" i="1"/>
  <c r="H166" i="1"/>
  <c r="H167" i="1"/>
  <c r="H168" i="1"/>
  <c r="H3223" i="1"/>
  <c r="H767" i="1"/>
  <c r="H768" i="1"/>
  <c r="H769" i="1"/>
  <c r="H770" i="1"/>
  <c r="H771" i="1"/>
  <c r="H772" i="1"/>
  <c r="H773" i="1"/>
  <c r="H774" i="1"/>
  <c r="H775" i="1"/>
  <c r="H776" i="1"/>
  <c r="H777" i="1"/>
  <c r="H778" i="1"/>
  <c r="H779" i="1"/>
  <c r="H1598" i="1"/>
  <c r="H1599" i="1"/>
  <c r="H1600" i="1"/>
  <c r="H1601" i="1"/>
  <c r="H1379" i="1"/>
  <c r="H2649" i="1"/>
  <c r="H2650" i="1"/>
  <c r="H2651" i="1"/>
  <c r="H2652" i="1"/>
  <c r="H2653" i="1"/>
  <c r="H2654" i="1"/>
  <c r="H2655" i="1"/>
  <c r="H2656" i="1"/>
  <c r="H2657" i="1"/>
  <c r="H2658" i="1"/>
  <c r="H122" i="1"/>
  <c r="H123" i="1"/>
  <c r="H124" i="1"/>
  <c r="H125" i="1"/>
  <c r="H126" i="1"/>
  <c r="H127" i="1"/>
  <c r="H128" i="1"/>
  <c r="H923" i="1"/>
  <c r="H2713" i="1"/>
  <c r="H2714" i="1"/>
  <c r="H3246" i="1"/>
  <c r="H2788" i="1"/>
  <c r="H2789" i="1"/>
  <c r="H2790" i="1"/>
  <c r="H2791" i="1"/>
  <c r="H808" i="1"/>
  <c r="H1960" i="1"/>
  <c r="H2659" i="1"/>
  <c r="H938" i="1"/>
  <c r="H939" i="1"/>
  <c r="H940" i="1"/>
  <c r="H800" i="1"/>
  <c r="H3137" i="1"/>
  <c r="H3138" i="1"/>
  <c r="H3139" i="1"/>
  <c r="H3140" i="1"/>
  <c r="H3141" i="1"/>
  <c r="H579" i="1"/>
  <c r="H580" i="1"/>
  <c r="H581" i="1"/>
  <c r="H582" i="1"/>
  <c r="H583" i="1"/>
  <c r="H584" i="1"/>
  <c r="H585" i="1"/>
  <c r="H586" i="1"/>
  <c r="H587" i="1"/>
  <c r="H588" i="1"/>
  <c r="H1300" i="1"/>
  <c r="H1569" i="1"/>
  <c r="H1570" i="1"/>
  <c r="H1571" i="1"/>
  <c r="H1572" i="1"/>
  <c r="H1711" i="1"/>
  <c r="H1397" i="1"/>
  <c r="H1775" i="1"/>
  <c r="H1776" i="1"/>
  <c r="H1777" i="1"/>
  <c r="H1778" i="1"/>
  <c r="H1779" i="1"/>
  <c r="H2261" i="1"/>
  <c r="H2262" i="1"/>
  <c r="H2263" i="1"/>
  <c r="H2264" i="1"/>
  <c r="H2265" i="1"/>
  <c r="H2558" i="1"/>
  <c r="H3152" i="1"/>
  <c r="H1757" i="1"/>
  <c r="H1758" i="1"/>
  <c r="H3324" i="1"/>
  <c r="H1398" i="1"/>
  <c r="H3153" i="1"/>
  <c r="H3154" i="1"/>
  <c r="H3155" i="1"/>
  <c r="H3156" i="1"/>
  <c r="H3157" i="1"/>
  <c r="H3158" i="1"/>
  <c r="H3159" i="1"/>
  <c r="H3160" i="1"/>
  <c r="H3161" i="1"/>
  <c r="H3162" i="1"/>
  <c r="H3163" i="1"/>
  <c r="H3232" i="1"/>
  <c r="H3233" i="1"/>
  <c r="H3234" i="1"/>
  <c r="H3235" i="1"/>
  <c r="H2634" i="1"/>
  <c r="H670" i="1"/>
  <c r="H2441" i="1"/>
  <c r="H2442" i="1"/>
  <c r="H2444" i="1"/>
  <c r="H2445" i="1"/>
  <c r="H2446" i="1"/>
  <c r="H2447" i="1"/>
  <c r="H2448" i="1"/>
  <c r="H2449" i="1"/>
  <c r="H2450" i="1"/>
  <c r="H51" i="1"/>
  <c r="H52" i="1"/>
  <c r="H53" i="1"/>
  <c r="H54" i="1"/>
  <c r="H55" i="1"/>
  <c r="H56" i="1"/>
  <c r="H57" i="1"/>
  <c r="H58" i="1"/>
  <c r="H59" i="1"/>
  <c r="H60" i="1"/>
  <c r="H61" i="1"/>
  <c r="H1480" i="1"/>
  <c r="H1481" i="1"/>
  <c r="H2988" i="1"/>
  <c r="H2989" i="1"/>
  <c r="H2991" i="1"/>
  <c r="H2592" i="1"/>
  <c r="H906" i="1"/>
  <c r="H907" i="1"/>
  <c r="H1064" i="1"/>
  <c r="H1532" i="1"/>
  <c r="H1533" i="1"/>
  <c r="H62" i="1"/>
  <c r="H2861" i="1"/>
  <c r="H2862" i="1"/>
  <c r="H2635" i="1"/>
  <c r="H1668" i="1"/>
  <c r="H1669" i="1"/>
  <c r="H2874" i="1"/>
  <c r="H2875" i="1"/>
  <c r="H352" i="1"/>
  <c r="H353" i="1"/>
  <c r="H354" i="1"/>
  <c r="H355" i="1"/>
  <c r="H960" i="1"/>
  <c r="H2333" i="1"/>
  <c r="H2334" i="1"/>
  <c r="H722" i="1"/>
  <c r="H143" i="1"/>
  <c r="H1942" i="1"/>
  <c r="H1145" i="1"/>
  <c r="H272" i="1"/>
  <c r="H273" i="1"/>
  <c r="H2457" i="1"/>
  <c r="H2458" i="1"/>
  <c r="H1411" i="1"/>
  <c r="H1412" i="1"/>
  <c r="H1288" i="1"/>
  <c r="H1289" i="1"/>
  <c r="H853" i="1"/>
  <c r="H1005" i="1"/>
  <c r="H101" i="1"/>
  <c r="H1975" i="1"/>
  <c r="H1976" i="1"/>
  <c r="H1977" i="1"/>
  <c r="H1978" i="1"/>
  <c r="H1979" i="1"/>
  <c r="H350" i="1"/>
  <c r="H351" i="1"/>
  <c r="H26" i="1"/>
  <c r="H27" i="1"/>
  <c r="H28" i="1"/>
  <c r="H29" i="1"/>
  <c r="H2066" i="1"/>
  <c r="H2067" i="1"/>
  <c r="H2068" i="1"/>
  <c r="H2069" i="1"/>
  <c r="H1090" i="1"/>
  <c r="H322" i="1"/>
  <c r="H323" i="1"/>
  <c r="H1497" i="1"/>
  <c r="H2186" i="1"/>
  <c r="H2187" i="1"/>
  <c r="H2636" i="1"/>
  <c r="H2637" i="1"/>
  <c r="H2638" i="1"/>
  <c r="H2639" i="1"/>
  <c r="H2640" i="1"/>
  <c r="H2641" i="1"/>
  <c r="H2642" i="1"/>
  <c r="H2643" i="1"/>
  <c r="H2266" i="1"/>
  <c r="H2267" i="1"/>
  <c r="H3121" i="1"/>
  <c r="H3122" i="1"/>
  <c r="H3123" i="1"/>
  <c r="H221" i="1"/>
  <c r="H222" i="1"/>
  <c r="H223" i="1"/>
  <c r="H280" i="1"/>
  <c r="H224" i="1"/>
  <c r="H225" i="1"/>
  <c r="H226" i="1"/>
  <c r="H227" i="1"/>
  <c r="H228" i="1"/>
  <c r="H1840" i="1"/>
  <c r="H1841" i="1"/>
  <c r="H1842" i="1"/>
  <c r="H1843" i="1"/>
  <c r="H2515" i="1"/>
  <c r="H2516" i="1"/>
  <c r="H2517" i="1"/>
  <c r="H2518" i="1"/>
  <c r="H1743" i="1"/>
  <c r="H2169" i="1"/>
  <c r="H2170" i="1"/>
  <c r="H2171" i="1"/>
  <c r="H2172" i="1"/>
  <c r="H2173" i="1"/>
  <c r="H184" i="1"/>
  <c r="H1859" i="1"/>
  <c r="H1860" i="1"/>
  <c r="H1861" i="1"/>
  <c r="H1862" i="1"/>
  <c r="H2970" i="1"/>
  <c r="H2971" i="1"/>
  <c r="H2972" i="1"/>
  <c r="H1844" i="1"/>
  <c r="H911" i="1"/>
  <c r="H415" i="1"/>
  <c r="H416" i="1"/>
  <c r="H417" i="1"/>
  <c r="H418" i="1"/>
  <c r="H419" i="1"/>
  <c r="H816" i="1"/>
  <c r="H919" i="1"/>
  <c r="H1267" i="1"/>
  <c r="H1268" i="1"/>
  <c r="H1269" i="1"/>
  <c r="H1270" i="1"/>
  <c r="H1693" i="1"/>
  <c r="H1694" i="1"/>
  <c r="H1271" i="1"/>
  <c r="H1272" i="1"/>
  <c r="H1273" i="1"/>
  <c r="H1274" i="1"/>
  <c r="H1275" i="1"/>
  <c r="H1276" i="1"/>
  <c r="H1277" i="1"/>
  <c r="H1278" i="1"/>
  <c r="H3325" i="1"/>
  <c r="H3326" i="1"/>
  <c r="H3327" i="1"/>
  <c r="H3328" i="1"/>
  <c r="H3329" i="1"/>
  <c r="H1780" i="1"/>
  <c r="H908" i="1"/>
  <c r="H909" i="1"/>
  <c r="H93" i="1"/>
  <c r="H94" i="1"/>
  <c r="H95" i="1"/>
  <c r="H205" i="1"/>
  <c r="H2513" i="1"/>
  <c r="H347" i="1"/>
  <c r="H348" i="1"/>
  <c r="H349" i="1"/>
  <c r="H2914" i="1"/>
  <c r="H2915" i="1"/>
  <c r="H2916" i="1"/>
  <c r="H2917" i="1"/>
  <c r="H2918" i="1"/>
  <c r="H2919" i="1"/>
  <c r="H2920" i="1"/>
  <c r="H2921" i="1"/>
  <c r="H935" i="1"/>
  <c r="H936" i="1"/>
  <c r="H937" i="1"/>
  <c r="H2232" i="1"/>
  <c r="H2233" i="1"/>
  <c r="H2234" i="1"/>
  <c r="H1219" i="1"/>
  <c r="H1220" i="1"/>
  <c r="H817" i="1"/>
  <c r="H565" i="1"/>
  <c r="H818" i="1"/>
  <c r="H819" i="1"/>
  <c r="H820" i="1"/>
  <c r="H821" i="1"/>
  <c r="H822" i="1"/>
  <c r="H823" i="1"/>
  <c r="H824" i="1"/>
  <c r="H825" i="1"/>
  <c r="H826" i="1"/>
  <c r="H827" i="1"/>
  <c r="H828" i="1"/>
  <c r="H829" i="1"/>
  <c r="H830" i="1"/>
  <c r="H831" i="1"/>
  <c r="H832" i="1"/>
  <c r="H833" i="1"/>
  <c r="H834" i="1"/>
  <c r="H893" i="1"/>
  <c r="H1509" i="1"/>
  <c r="H2197" i="1"/>
  <c r="H2198" i="1"/>
  <c r="H2199" i="1"/>
  <c r="H2865" i="1"/>
  <c r="H3076" i="1"/>
  <c r="H2152" i="1"/>
  <c r="H2153" i="1"/>
  <c r="H2154" i="1"/>
  <c r="H2155" i="1"/>
  <c r="H2156" i="1"/>
  <c r="H739" i="1"/>
  <c r="H3125" i="1"/>
  <c r="H3126" i="1"/>
  <c r="H3127" i="1"/>
  <c r="H3128" i="1"/>
  <c r="H1934" i="1"/>
  <c r="H1935" i="1"/>
  <c r="H900" i="1"/>
  <c r="H901" i="1"/>
  <c r="H902" i="1"/>
  <c r="H1138" i="1"/>
  <c r="H1139" i="1"/>
  <c r="H2328" i="1"/>
  <c r="H3124" i="1"/>
  <c r="H3019" i="1"/>
  <c r="H1221" i="1"/>
  <c r="H1222" i="1"/>
  <c r="H1223" i="1"/>
  <c r="H3147" i="1"/>
  <c r="H3216" i="1"/>
  <c r="H34" i="1"/>
  <c r="H1206" i="1"/>
  <c r="H1207" i="1"/>
  <c r="H3217" i="1"/>
  <c r="H2847" i="1"/>
  <c r="H2848" i="1"/>
  <c r="H1492" i="1"/>
  <c r="H566" i="1"/>
  <c r="H567" i="1"/>
  <c r="H568" i="1"/>
  <c r="H569" i="1"/>
  <c r="H401" i="1"/>
  <c r="H402" i="1"/>
  <c r="H403" i="1"/>
  <c r="H404" i="1"/>
  <c r="H405" i="1"/>
  <c r="H406" i="1"/>
  <c r="H3341" i="1"/>
  <c r="H3342" i="1"/>
  <c r="H3343" i="1"/>
  <c r="H3344" i="1"/>
  <c r="H3077" i="1"/>
  <c r="H3078" i="1"/>
  <c r="H3079" i="1"/>
  <c r="H3080" i="1"/>
  <c r="H3081" i="1"/>
  <c r="H3082" i="1"/>
  <c r="H3083" i="1"/>
  <c r="H3084" i="1"/>
  <c r="H3085" i="1"/>
  <c r="H2009" i="1"/>
  <c r="H3345" i="1"/>
  <c r="H905" i="1"/>
  <c r="H882" i="1"/>
  <c r="H883" i="1"/>
  <c r="H888" i="1"/>
  <c r="H1657" i="1"/>
  <c r="H1658" i="1"/>
  <c r="H2381" i="1"/>
  <c r="H3168" i="1"/>
  <c r="H96" i="1"/>
  <c r="H97" i="1"/>
  <c r="H98" i="1"/>
  <c r="H99" i="1"/>
  <c r="H100" i="1"/>
  <c r="H608" i="1"/>
  <c r="H1051" i="1"/>
  <c r="H2307" i="1"/>
  <c r="H2308" i="1"/>
  <c r="H609" i="1"/>
  <c r="H610" i="1"/>
  <c r="H611" i="1"/>
  <c r="H612" i="1"/>
  <c r="H613" i="1"/>
  <c r="H2088" i="1"/>
  <c r="H2089" i="1"/>
  <c r="H2090" i="1"/>
  <c r="H614" i="1"/>
  <c r="H615" i="1"/>
  <c r="H616" i="1"/>
  <c r="H2492" i="1"/>
  <c r="H617" i="1"/>
  <c r="H618" i="1"/>
  <c r="H619" i="1"/>
  <c r="H620" i="1"/>
  <c r="H621" i="1"/>
  <c r="H622" i="1"/>
  <c r="H623" i="1"/>
  <c r="H624" i="1"/>
  <c r="H982" i="1"/>
  <c r="H983" i="1"/>
  <c r="H984" i="1"/>
  <c r="H985" i="1"/>
  <c r="H986" i="1"/>
  <c r="H1984" i="1"/>
  <c r="H1985" i="1"/>
  <c r="H1986" i="1"/>
  <c r="H1987" i="1"/>
  <c r="H1988" i="1"/>
  <c r="H3013" i="1"/>
  <c r="H803" i="1"/>
  <c r="H2015" i="1"/>
  <c r="H2016" i="1"/>
  <c r="H2017" i="1"/>
  <c r="H2018" i="1"/>
  <c r="H2019" i="1"/>
  <c r="H2020" i="1"/>
  <c r="H2021" i="1"/>
  <c r="H2022" i="1"/>
  <c r="H3020" i="1"/>
  <c r="H736" i="1"/>
  <c r="H3021" i="1"/>
  <c r="H3022" i="1"/>
  <c r="H3023" i="1"/>
  <c r="H3024" i="1"/>
  <c r="H3025" i="1"/>
  <c r="H3026" i="1"/>
  <c r="H3027" i="1"/>
  <c r="H2361" i="1"/>
  <c r="H2849" i="1"/>
  <c r="H2850" i="1"/>
  <c r="H2251" i="1"/>
  <c r="H2252" i="1"/>
  <c r="H2253" i="1"/>
  <c r="H2254" i="1"/>
  <c r="H2255" i="1"/>
  <c r="H2256" i="1"/>
  <c r="H2257" i="1"/>
  <c r="H2258" i="1"/>
  <c r="H2259" i="1"/>
  <c r="H2260" i="1"/>
  <c r="H1261" i="1"/>
  <c r="H2490" i="1"/>
  <c r="H2491" i="1"/>
  <c r="H2756" i="1"/>
  <c r="H2880" i="1"/>
  <c r="H2881" i="1"/>
  <c r="H2882" i="1"/>
  <c r="H2883" i="1"/>
  <c r="H2884" i="1"/>
  <c r="H2757" i="1"/>
  <c r="H2758" i="1"/>
  <c r="H2759" i="1"/>
  <c r="H3018" i="1"/>
  <c r="H987" i="1"/>
  <c r="H988" i="1"/>
  <c r="H989" i="1"/>
  <c r="H990" i="1"/>
  <c r="H381" i="1"/>
  <c r="H382" i="1"/>
  <c r="H2178" i="1"/>
  <c r="H1024" i="1"/>
  <c r="H1496" i="1"/>
  <c r="H3218" i="1"/>
  <c r="H3219" i="1"/>
  <c r="H1025" i="1"/>
  <c r="H3318" i="1"/>
  <c r="H145" i="1"/>
  <c r="H146" i="1"/>
  <c r="H147" i="1"/>
  <c r="H2005" i="1"/>
  <c r="H2006" i="1"/>
  <c r="H2007" i="1"/>
  <c r="H1026" i="1"/>
  <c r="H1027" i="1"/>
  <c r="H1028" i="1"/>
  <c r="H1680" i="1"/>
  <c r="H1109" i="1"/>
  <c r="H2326" i="1"/>
  <c r="H2327" i="1"/>
  <c r="H780" i="1"/>
  <c r="H781" i="1"/>
  <c r="H782" i="1"/>
  <c r="H868" i="1"/>
  <c r="H869" i="1"/>
  <c r="H870" i="1"/>
  <c r="H871" i="1"/>
  <c r="H946" i="1"/>
  <c r="H947" i="1"/>
  <c r="H948" i="1"/>
  <c r="H949" i="1"/>
  <c r="H1390" i="1"/>
  <c r="H926" i="1"/>
  <c r="H927" i="1"/>
  <c r="H928" i="1"/>
  <c r="H2546" i="1"/>
  <c r="H3007" i="1"/>
  <c r="H3008" i="1"/>
  <c r="H3009" i="1"/>
  <c r="H3010" i="1"/>
  <c r="H2047" i="1"/>
  <c r="H2048" i="1"/>
  <c r="H2049" i="1"/>
  <c r="H2050" i="1"/>
  <c r="H2051" i="1"/>
  <c r="H2052" i="1"/>
  <c r="H2053" i="1"/>
  <c r="H304" i="1"/>
  <c r="H1091" i="1"/>
  <c r="H1092" i="1"/>
  <c r="H2188" i="1"/>
  <c r="H2189" i="1"/>
  <c r="H2190" i="1"/>
  <c r="H112" i="1"/>
  <c r="H741" i="1"/>
  <c r="H742" i="1"/>
  <c r="H743" i="1"/>
  <c r="H744" i="1"/>
  <c r="H745" i="1"/>
  <c r="H2813" i="1"/>
  <c r="H2814" i="1"/>
  <c r="H2876" i="1"/>
  <c r="H2474" i="1"/>
  <c r="H2475" i="1"/>
  <c r="H3095" i="1"/>
  <c r="H1262" i="1"/>
  <c r="H1263" i="1"/>
  <c r="H889" i="1"/>
  <c r="H896" i="1"/>
  <c r="H897" i="1"/>
  <c r="H898" i="1"/>
  <c r="H899" i="1"/>
  <c r="H750" i="1"/>
  <c r="H2565" i="1"/>
  <c r="H1646" i="1"/>
  <c r="H2164" i="1"/>
  <c r="H2165" i="1"/>
  <c r="H2166" i="1"/>
  <c r="H1196" i="1"/>
  <c r="H1197" i="1"/>
  <c r="H1198" i="1"/>
  <c r="H2010" i="1"/>
  <c r="H1941" i="1"/>
  <c r="H1738" i="1"/>
  <c r="H961" i="1"/>
  <c r="H962" i="1"/>
  <c r="H963" i="1"/>
  <c r="H964" i="1"/>
  <c r="H2236" i="1"/>
  <c r="H384" i="1"/>
  <c r="H385" i="1"/>
  <c r="H386" i="1"/>
  <c r="H387" i="1"/>
  <c r="H388" i="1"/>
  <c r="H389" i="1"/>
  <c r="H1073" i="1"/>
  <c r="H1074" i="1"/>
  <c r="H1030" i="1"/>
  <c r="H1031" i="1"/>
  <c r="H1032" i="1"/>
  <c r="H1033" i="1"/>
  <c r="H1034" i="1"/>
  <c r="H1035" i="1"/>
  <c r="H1036" i="1"/>
  <c r="H1037" i="1"/>
  <c r="H1038" i="1"/>
  <c r="H1039" i="1"/>
  <c r="H1040" i="1"/>
  <c r="H1041" i="1"/>
  <c r="H1042" i="1"/>
  <c r="H1043" i="1"/>
  <c r="H1044" i="1"/>
  <c r="H1045" i="1"/>
  <c r="H1755" i="1"/>
  <c r="H192" i="1"/>
  <c r="H193" i="1"/>
  <c r="H194" i="1"/>
  <c r="H195" i="1"/>
  <c r="H196" i="1"/>
  <c r="H197" i="1"/>
  <c r="H198" i="1"/>
  <c r="H199" i="1"/>
  <c r="H200" i="1"/>
  <c r="H201" i="1"/>
  <c r="H202" i="1"/>
  <c r="H134" i="1"/>
  <c r="H2141" i="1"/>
  <c r="H177" i="1"/>
  <c r="H178" i="1"/>
  <c r="H179" i="1"/>
  <c r="H1413" i="1"/>
  <c r="H2180" i="1"/>
  <c r="H2181" i="1"/>
  <c r="H2182" i="1"/>
  <c r="H2183" i="1"/>
  <c r="H2184" i="1"/>
  <c r="H2185" i="1"/>
  <c r="H2419" i="1"/>
  <c r="H2420" i="1"/>
  <c r="H2421" i="1"/>
  <c r="H2422" i="1"/>
  <c r="H2423" i="1"/>
  <c r="H2085" i="1"/>
  <c r="H2086" i="1"/>
  <c r="H2087" i="1"/>
  <c r="H1686" i="1"/>
  <c r="H2730" i="1"/>
  <c r="H2731" i="1"/>
  <c r="H2732" i="1"/>
  <c r="H2733" i="1"/>
  <c r="H2734" i="1"/>
  <c r="H2735" i="1"/>
  <c r="H3068" i="1"/>
  <c r="H3069" i="1"/>
  <c r="H3070" i="1"/>
  <c r="H3071" i="1"/>
  <c r="H3072" i="1"/>
  <c r="H3073" i="1"/>
  <c r="H230" i="1"/>
  <c r="H231" i="1"/>
  <c r="H232" i="1"/>
  <c r="H314" i="1"/>
  <c r="H2113" i="1"/>
  <c r="H2026" i="1"/>
  <c r="H2027" i="1"/>
  <c r="H2028" i="1"/>
  <c r="H2029" i="1"/>
  <c r="H2030" i="1"/>
  <c r="H2031" i="1"/>
  <c r="H2032" i="1"/>
  <c r="H2033" i="1"/>
  <c r="H426" i="1"/>
  <c r="H1554" i="1"/>
  <c r="H1555" i="1"/>
  <c r="H2769" i="1"/>
  <c r="H1364" i="1"/>
  <c r="H2216" i="1"/>
  <c r="H3096" i="1"/>
  <c r="H2877" i="1"/>
  <c r="H589" i="1"/>
  <c r="H590" i="1"/>
  <c r="H591" i="1"/>
  <c r="H592" i="1"/>
  <c r="H593" i="1"/>
  <c r="H594" i="1"/>
  <c r="H45" i="1"/>
  <c r="H2561" i="1"/>
  <c r="H2562" i="1"/>
  <c r="H2595" i="1"/>
  <c r="H2604" i="1"/>
  <c r="H2605" i="1"/>
  <c r="H2606" i="1"/>
  <c r="H2397" i="1"/>
  <c r="H2398" i="1"/>
  <c r="H2399" i="1"/>
  <c r="H595" i="1"/>
  <c r="H596" i="1"/>
  <c r="H597" i="1"/>
  <c r="H598" i="1"/>
  <c r="H599" i="1"/>
  <c r="H2889" i="1"/>
  <c r="H2890" i="1"/>
  <c r="H2891" i="1"/>
  <c r="H1880" i="1"/>
  <c r="H1881" i="1"/>
  <c r="H1882" i="1"/>
  <c r="H1883" i="1"/>
  <c r="H1884" i="1"/>
  <c r="H1885" i="1"/>
  <c r="H1886" i="1"/>
  <c r="H180" i="1"/>
  <c r="H1499" i="1"/>
  <c r="H1500" i="1"/>
  <c r="H1501" i="1"/>
  <c r="H1502" i="1"/>
  <c r="H1503" i="1"/>
  <c r="H1504" i="1"/>
  <c r="H1505" i="1"/>
  <c r="H1506" i="1"/>
  <c r="H1507" i="1"/>
  <c r="H1508" i="1"/>
  <c r="H1887" i="1"/>
  <c r="H1888" i="1"/>
  <c r="H1889" i="1"/>
  <c r="H3227" i="1"/>
  <c r="H1557" i="1"/>
  <c r="H1558" i="1"/>
  <c r="H1559" i="1"/>
  <c r="H1560" i="1"/>
  <c r="H1561" i="1"/>
  <c r="H1562" i="1"/>
  <c r="H1563" i="1"/>
  <c r="H3028" i="1"/>
  <c r="H3029" i="1"/>
  <c r="H3030" i="1"/>
  <c r="H3031" i="1"/>
  <c r="H920" i="1"/>
  <c r="H737" i="1"/>
  <c r="H738" i="1"/>
  <c r="H1140" i="1"/>
  <c r="H1141" i="1"/>
  <c r="H2761" i="1"/>
  <c r="H3032" i="1"/>
  <c r="H3033" i="1"/>
  <c r="H3034" i="1"/>
  <c r="H3035" i="1"/>
  <c r="H3036" i="1"/>
  <c r="H2426" i="1"/>
  <c r="H2427" i="1"/>
  <c r="H1946" i="1"/>
  <c r="H2746" i="1"/>
  <c r="H2747" i="1"/>
  <c r="H2748" i="1"/>
  <c r="H1075" i="1"/>
  <c r="H2365" i="1"/>
  <c r="H2167" i="1"/>
  <c r="H941" i="1"/>
  <c r="H942" i="1"/>
  <c r="H943" i="1"/>
  <c r="H944" i="1"/>
  <c r="H1903" i="1"/>
  <c r="H1904" i="1"/>
  <c r="H1905" i="1"/>
  <c r="H1906" i="1"/>
  <c r="H1907" i="1"/>
  <c r="H252" i="1"/>
  <c r="H253" i="1"/>
  <c r="H254" i="1"/>
  <c r="H2428" i="1"/>
  <c r="H2429" i="1"/>
  <c r="H2430" i="1"/>
  <c r="H2431" i="1"/>
  <c r="H2432" i="1"/>
  <c r="H2433" i="1"/>
  <c r="H2434" i="1"/>
  <c r="H2435" i="1"/>
  <c r="H2436" i="1"/>
  <c r="H2437" i="1"/>
  <c r="H2438" i="1"/>
  <c r="H2439" i="1"/>
  <c r="H1845" i="1"/>
  <c r="H2228" i="1"/>
  <c r="H2229" i="1"/>
  <c r="H1385" i="1"/>
  <c r="H671" i="1"/>
  <c r="H2724" i="1"/>
  <c r="H2725" i="1"/>
  <c r="H3273" i="1"/>
  <c r="H3274" i="1"/>
  <c r="H1386" i="1"/>
  <c r="H1387" i="1"/>
  <c r="H2418" i="1"/>
  <c r="H3129" i="1"/>
  <c r="H504" i="1"/>
  <c r="H505" i="1"/>
  <c r="H506" i="1"/>
  <c r="H507" i="1"/>
  <c r="H508" i="1"/>
  <c r="H509" i="1"/>
  <c r="H510" i="1"/>
  <c r="H511" i="1"/>
  <c r="H512" i="1"/>
  <c r="H2145" i="1"/>
  <c r="H2146" i="1"/>
  <c r="H2147" i="1"/>
  <c r="H2148" i="1"/>
  <c r="H2149" i="1"/>
  <c r="H2150" i="1"/>
  <c r="H2675" i="1"/>
  <c r="H2676" i="1"/>
  <c r="H2223" i="1"/>
  <c r="H2224" i="1"/>
  <c r="H2424" i="1"/>
  <c r="H2425" i="1"/>
  <c r="H1781" i="1"/>
  <c r="H1782" i="1"/>
  <c r="H1783" i="1"/>
  <c r="H1699" i="1"/>
  <c r="H2593" i="1"/>
  <c r="H135" i="1"/>
  <c r="H2677" i="1"/>
  <c r="H1009" i="1"/>
  <c r="H2678" i="1"/>
  <c r="H1996" i="1"/>
  <c r="H1997" i="1"/>
  <c r="H220" i="1"/>
  <c r="H1998" i="1"/>
  <c r="H1999" i="1"/>
  <c r="H1229" i="1"/>
  <c r="H1230" i="1"/>
  <c r="H2569" i="1"/>
  <c r="H2570" i="1"/>
  <c r="H2571" i="1"/>
  <c r="H2572" i="1"/>
  <c r="H2573" i="1"/>
  <c r="H3347" i="1"/>
  <c r="H3214" i="1"/>
  <c r="H3215" i="1"/>
  <c r="H73" i="1"/>
  <c r="H74" i="1"/>
  <c r="H75" i="1"/>
  <c r="H1534" i="1"/>
  <c r="H203" i="1"/>
  <c r="H204" i="1"/>
  <c r="H1365" i="1"/>
  <c r="H1863" i="1"/>
  <c r="H1864" i="1"/>
  <c r="H1865" i="1"/>
  <c r="H1866" i="1"/>
  <c r="H1867" i="1"/>
  <c r="H1868" i="1"/>
  <c r="H1869" i="1"/>
  <c r="H1817" i="1"/>
  <c r="H1818" i="1"/>
  <c r="H1819" i="1"/>
  <c r="H1820" i="1"/>
  <c r="H1821" i="1"/>
  <c r="H1822" i="1"/>
  <c r="H1823" i="1"/>
  <c r="H1824" i="1"/>
  <c r="H2220" i="1"/>
  <c r="H2646" i="1"/>
  <c r="H2886" i="1"/>
  <c r="H2647" i="1"/>
  <c r="H2648" i="1"/>
  <c r="H2679" i="1"/>
  <c r="H1029" i="1"/>
  <c r="H912" i="1"/>
  <c r="H885" i="1"/>
  <c r="H886" i="1"/>
  <c r="H887" i="1"/>
  <c r="H1653" i="1"/>
  <c r="H1654" i="1"/>
  <c r="H1655" i="1"/>
  <c r="H1656" i="1"/>
  <c r="H118" i="1"/>
  <c r="H119" i="1"/>
  <c r="H120" i="1"/>
  <c r="H121" i="1"/>
  <c r="H2852" i="1"/>
  <c r="H2853" i="1"/>
  <c r="H2854" i="1"/>
  <c r="H270" i="1"/>
  <c r="H271" i="1"/>
  <c r="H1695" i="1"/>
  <c r="H1696" i="1"/>
  <c r="H1846" i="1"/>
  <c r="H1093" i="1"/>
  <c r="H1094" i="1"/>
  <c r="H2174" i="1"/>
  <c r="H2175" i="1"/>
  <c r="H3316" i="1"/>
  <c r="H2139" i="1"/>
  <c r="H2140" i="1"/>
  <c r="H1414" i="1"/>
  <c r="H1415" i="1"/>
  <c r="H1416" i="1"/>
  <c r="H1417" i="1"/>
  <c r="H1418" i="1"/>
  <c r="H1419" i="1"/>
  <c r="H1420" i="1"/>
  <c r="H1421" i="1"/>
  <c r="H1422" i="1"/>
  <c r="H1423" i="1"/>
  <c r="H1424" i="1"/>
  <c r="H1425" i="1"/>
  <c r="H1426" i="1"/>
  <c r="H1427" i="1"/>
  <c r="H1428" i="1"/>
  <c r="H1429" i="1"/>
  <c r="H1430" i="1"/>
  <c r="H1431" i="1"/>
  <c r="H1432" i="1"/>
  <c r="H2680" i="1"/>
  <c r="H2681" i="1"/>
  <c r="H2682" i="1"/>
  <c r="H2683" i="1"/>
  <c r="H2684" i="1"/>
  <c r="H3041" i="1"/>
  <c r="H804" i="1"/>
  <c r="H805" i="1"/>
  <c r="H806" i="1"/>
  <c r="H807" i="1"/>
  <c r="H2955" i="1"/>
  <c r="H2956" i="1"/>
  <c r="H2685" i="1"/>
  <c r="H2686" i="1"/>
  <c r="H2583" i="1"/>
  <c r="H2584" i="1"/>
  <c r="H2341" i="1"/>
  <c r="H873" i="1"/>
  <c r="H874" i="1"/>
  <c r="H1564" i="1"/>
  <c r="H2878" i="1"/>
  <c r="H188" i="1"/>
  <c r="H76" i="1"/>
  <c r="H3169" i="1"/>
  <c r="H3170" i="1"/>
  <c r="H3171" i="1"/>
  <c r="H3172" i="1"/>
  <c r="H3173" i="1"/>
  <c r="H3174" i="1"/>
  <c r="H3175" i="1"/>
  <c r="H3176" i="1"/>
  <c r="H3177" i="1"/>
  <c r="H3178" i="1"/>
  <c r="H3179" i="1"/>
  <c r="H3180" i="1"/>
  <c r="H3181" i="1"/>
  <c r="H3182" i="1"/>
  <c r="H3183" i="1"/>
  <c r="H3184" i="1"/>
  <c r="H3185" i="1"/>
  <c r="H3186" i="1"/>
  <c r="H2687" i="1"/>
  <c r="H2688" i="1"/>
  <c r="H2689" i="1"/>
  <c r="H2690" i="1"/>
  <c r="H1548" i="1"/>
  <c r="H1549" i="1"/>
  <c r="H1550" i="1"/>
  <c r="H1551" i="1"/>
  <c r="H1552" i="1"/>
  <c r="H1553" i="1"/>
  <c r="H1095" i="1"/>
  <c r="H1096" i="1"/>
  <c r="H1097" i="1"/>
  <c r="H2695" i="1"/>
  <c r="H2696" i="1"/>
  <c r="H1762" i="1"/>
  <c r="H1763" i="1"/>
  <c r="H2319" i="1"/>
  <c r="H2320" i="1"/>
  <c r="H1769" i="1"/>
  <c r="H1770" i="1"/>
  <c r="H1771" i="1"/>
  <c r="H1772" i="1"/>
  <c r="H1773" i="1"/>
  <c r="H2073" i="1"/>
  <c r="H2074" i="1"/>
  <c r="H2075" i="1"/>
  <c r="H2076" i="1"/>
  <c r="H541" i="1"/>
  <c r="H542" i="1"/>
  <c r="H2352" i="1"/>
  <c r="H2238" i="1"/>
  <c r="H1142" i="1"/>
  <c r="H1143" i="1"/>
  <c r="H1144" i="1"/>
  <c r="H1940" i="1"/>
  <c r="H2321" i="1"/>
  <c r="H2322" i="1"/>
  <c r="H2323" i="1"/>
  <c r="H1855" i="1"/>
  <c r="H1856" i="1"/>
  <c r="H1857" i="1"/>
  <c r="H1681" i="1"/>
  <c r="H81" i="1"/>
  <c r="H160" i="1"/>
  <c r="H161" i="1"/>
  <c r="H162" i="1"/>
  <c r="H543" i="1"/>
  <c r="H544" i="1"/>
  <c r="H545" i="1"/>
  <c r="H2354" i="1"/>
  <c r="H238" i="1"/>
  <c r="H239" i="1"/>
  <c r="H66" i="1"/>
  <c r="H67" i="1"/>
  <c r="H68" i="1"/>
  <c r="H69" i="1"/>
  <c r="H70" i="1"/>
  <c r="H71" i="1"/>
  <c r="H72" i="1"/>
  <c r="H281" i="1"/>
  <c r="H2250" i="1"/>
  <c r="H1799" i="1"/>
  <c r="H1800" i="1"/>
  <c r="H1801" i="1"/>
  <c r="H629" i="1"/>
  <c r="H630" i="1"/>
  <c r="H631" i="1"/>
  <c r="H3248" i="1"/>
  <c r="H3249" i="1"/>
  <c r="H3250" i="1"/>
  <c r="H3251" i="1"/>
  <c r="H3252" i="1"/>
  <c r="H3253" i="1"/>
  <c r="H3254" i="1"/>
  <c r="H3255" i="1"/>
  <c r="H2358" i="1"/>
  <c r="H2451" i="1"/>
  <c r="H1388" i="1"/>
  <c r="H632" i="1"/>
  <c r="H633" i="1"/>
  <c r="H634" i="1"/>
  <c r="H1568" i="1"/>
  <c r="H865" i="1"/>
  <c r="H866" i="1"/>
  <c r="H3039" i="1"/>
  <c r="H329" i="1"/>
  <c r="H330" i="1"/>
  <c r="H331" i="1"/>
  <c r="H332" i="1"/>
  <c r="H333" i="1"/>
  <c r="H913" i="1"/>
  <c r="H3117" i="1"/>
  <c r="H3118" i="1"/>
  <c r="H3119" i="1"/>
  <c r="H3120" i="1"/>
  <c r="H1396" i="1"/>
  <c r="H1804" i="1"/>
  <c r="H1805" i="1"/>
  <c r="H2870" i="1"/>
  <c r="H2871" i="1"/>
  <c r="H2872" i="1"/>
  <c r="H2741" i="1"/>
  <c r="H2742" i="1"/>
  <c r="H1947" i="1"/>
  <c r="H1732" i="1"/>
  <c r="H2957" i="1"/>
  <c r="H2958" i="1"/>
  <c r="H2959" i="1"/>
  <c r="H2960" i="1"/>
  <c r="H2961" i="1"/>
  <c r="H2409" i="1"/>
  <c r="H903" i="1"/>
  <c r="H904" i="1"/>
  <c r="H2863" i="1"/>
  <c r="H334" i="1"/>
  <c r="H335" i="1"/>
  <c r="H336" i="1"/>
  <c r="H337" i="1"/>
  <c r="H2962" i="1"/>
  <c r="H3260" i="1"/>
  <c r="H513" i="1"/>
  <c r="H514" i="1"/>
  <c r="H515" i="1"/>
  <c r="H2243" i="1"/>
  <c r="H1049" i="1"/>
  <c r="H1050" i="1"/>
  <c r="H2413" i="1"/>
  <c r="H259" i="1"/>
  <c r="H260" i="1"/>
  <c r="H261" i="1"/>
  <c r="H262" i="1"/>
  <c r="H263" i="1"/>
  <c r="H264" i="1"/>
  <c r="H265" i="1"/>
  <c r="H266" i="1"/>
  <c r="H267" i="1"/>
  <c r="H268" i="1"/>
  <c r="H2041" i="1"/>
  <c r="H2042" i="1"/>
  <c r="H2043" i="1"/>
  <c r="H2044" i="1"/>
  <c r="H2045" i="1"/>
  <c r="H2046" i="1"/>
  <c r="H2109" i="1"/>
  <c r="H2362" i="1"/>
  <c r="H2770" i="1"/>
  <c r="H3194" i="1"/>
  <c r="H1637" i="1"/>
  <c r="H1638" i="1"/>
  <c r="H2013" i="1"/>
  <c r="H1980" i="1"/>
  <c r="H1981" i="1"/>
  <c r="H1982" i="1"/>
  <c r="H2644" i="1"/>
  <c r="H2137" i="1"/>
  <c r="H696" i="1"/>
  <c r="H1000" i="1"/>
  <c r="H1001" i="1"/>
  <c r="H1002" i="1"/>
  <c r="H1983" i="1"/>
  <c r="H577" i="1"/>
  <c r="H2078" i="1"/>
  <c r="H2079" i="1"/>
  <c r="H2080" i="1"/>
  <c r="H2081" i="1"/>
  <c r="H2082" i="1"/>
  <c r="H2083" i="1"/>
  <c r="H3042" i="1"/>
  <c r="H3043" i="1"/>
  <c r="H1065" i="1"/>
  <c r="H1066" i="1"/>
  <c r="H1535" i="1"/>
  <c r="H516" i="1"/>
  <c r="H517" i="1"/>
  <c r="H518" i="1"/>
  <c r="H519" i="1"/>
  <c r="H520" i="1"/>
  <c r="H521" i="1"/>
  <c r="H522" i="1"/>
  <c r="H523" i="1"/>
  <c r="H524" i="1"/>
  <c r="H525" i="1"/>
  <c r="H526" i="1"/>
  <c r="H527" i="1"/>
  <c r="H528" i="1"/>
  <c r="H529" i="1"/>
  <c r="H530" i="1"/>
  <c r="H531" i="1"/>
  <c r="H532" i="1"/>
  <c r="H533" i="1"/>
  <c r="H534" i="1"/>
  <c r="H37" i="1"/>
  <c r="H38" i="1"/>
  <c r="H39" i="1"/>
  <c r="H40" i="1"/>
  <c r="H1012" i="1"/>
  <c r="H1650" i="1"/>
  <c r="H1651" i="1"/>
  <c r="H1652" i="1"/>
  <c r="H1315" i="1"/>
  <c r="H1316" i="1"/>
  <c r="H1317" i="1"/>
  <c r="H1318" i="1"/>
  <c r="H1319" i="1"/>
  <c r="H1242" i="1"/>
  <c r="H801" i="1"/>
  <c r="H802" i="1"/>
  <c r="H967" i="1"/>
  <c r="H1243" i="1"/>
  <c r="H3075" i="1"/>
  <c r="H315" i="1"/>
  <c r="H763" i="1"/>
  <c r="H764" i="1"/>
  <c r="H765" i="1"/>
  <c r="H766" i="1"/>
  <c r="H2348" i="1"/>
  <c r="H2349" i="1"/>
  <c r="H1697" i="1"/>
  <c r="H1698" i="1"/>
  <c r="H2364" i="1"/>
  <c r="H1613" i="1"/>
  <c r="H1614" i="1"/>
  <c r="H1615" i="1"/>
  <c r="H3340" i="1"/>
  <c r="H1122" i="1"/>
  <c r="H1123" i="1"/>
  <c r="H1124" i="1"/>
  <c r="H111" i="1"/>
  <c r="H1838" i="1"/>
  <c r="H3188" i="1"/>
  <c r="H3189" i="1"/>
  <c r="H560" i="1"/>
  <c r="H561" i="1"/>
  <c r="H562" i="1"/>
  <c r="H563" i="1"/>
  <c r="H564" i="1"/>
  <c r="H3148" i="1"/>
  <c r="H3149" i="1"/>
  <c r="H3150" i="1"/>
  <c r="H3151" i="1"/>
  <c r="H2359" i="1"/>
  <c r="H2360" i="1"/>
  <c r="H2487" i="1"/>
  <c r="H1320" i="1"/>
  <c r="H1056" i="1"/>
  <c r="H136" i="1"/>
  <c r="H137" i="1"/>
  <c r="H138" i="1"/>
  <c r="H139" i="1"/>
  <c r="H140" i="1"/>
  <c r="H141" i="1"/>
  <c r="H2039" i="1"/>
  <c r="H144" i="1"/>
  <c r="H2557" i="1"/>
  <c r="H3317" i="1"/>
  <c r="H249" i="1"/>
  <c r="H250" i="1"/>
  <c r="H251" i="1"/>
  <c r="H1721" i="1"/>
  <c r="H1722" i="1"/>
  <c r="H1723" i="1"/>
  <c r="H1724" i="1"/>
  <c r="H1725" i="1"/>
  <c r="H546" i="1"/>
  <c r="H547" i="1"/>
  <c r="H548" i="1"/>
  <c r="H549" i="1"/>
  <c r="H550" i="1"/>
  <c r="H551" i="1"/>
  <c r="H552" i="1"/>
  <c r="H553" i="1"/>
  <c r="H554" i="1"/>
  <c r="H555" i="1"/>
  <c r="H556" i="1"/>
  <c r="H966" i="1"/>
  <c r="H1105" i="1"/>
  <c r="H1106" i="1"/>
  <c r="H1107" i="1"/>
  <c r="H1108" i="1"/>
  <c r="H557" i="1"/>
  <c r="H1154" i="1"/>
  <c r="H1155" i="1"/>
  <c r="H1156" i="1"/>
  <c r="H1157" i="1"/>
  <c r="H1158" i="1"/>
  <c r="H1057" i="1"/>
  <c r="H1058" i="1"/>
  <c r="H1059" i="1"/>
  <c r="H1060" i="1"/>
  <c r="H1061" i="1"/>
  <c r="H1215" i="1"/>
  <c r="H1216" i="1"/>
  <c r="H1217" i="1"/>
  <c r="H2726" i="1"/>
  <c r="H2727" i="1"/>
  <c r="H2728" i="1"/>
  <c r="H1218" i="1"/>
  <c r="H2310" i="1"/>
  <c r="H2311" i="1"/>
  <c r="H2312" i="1"/>
  <c r="H2313" i="1"/>
  <c r="H2314" i="1"/>
  <c r="H15" i="1"/>
  <c r="H2230" i="1"/>
  <c r="H1927" i="1"/>
  <c r="H2318" i="1"/>
  <c r="H921" i="1"/>
  <c r="H2093" i="1"/>
  <c r="H2315" i="1"/>
  <c r="H2316" i="1"/>
  <c r="H2781" i="1"/>
  <c r="H2782" i="1"/>
  <c r="H3269" i="1"/>
  <c r="H3270" i="1"/>
  <c r="H219" i="1"/>
  <c r="H2218" i="1"/>
  <c r="H2596" i="1"/>
  <c r="H2597" i="1"/>
  <c r="H2110" i="1"/>
  <c r="H2111" i="1"/>
  <c r="H2112" i="1"/>
  <c r="H175" i="1"/>
  <c r="H2440" i="1"/>
  <c r="H176" i="1"/>
  <c r="H2268" i="1"/>
  <c r="H2269" i="1"/>
  <c r="H214" i="1"/>
  <c r="H215" i="1"/>
  <c r="H216" i="1"/>
  <c r="H217" i="1"/>
  <c r="H218" i="1"/>
  <c r="H2270" i="1"/>
  <c r="H2271" i="1"/>
  <c r="H2272" i="1"/>
  <c r="H2273" i="1"/>
  <c r="H2992" i="1"/>
  <c r="H2993" i="1"/>
  <c r="H2774" i="1"/>
  <c r="H2775" i="1"/>
  <c r="H3262" i="1"/>
  <c r="H3263" i="1"/>
  <c r="H2357" i="1"/>
  <c r="H1858" i="1"/>
  <c r="H3287" i="1"/>
  <c r="H1675" i="1"/>
  <c r="H1676" i="1"/>
  <c r="H1677" i="1"/>
  <c r="H1678" i="1"/>
  <c r="H1679" i="1"/>
  <c r="H3288" i="1"/>
  <c r="H3289" i="1"/>
  <c r="H3290" i="1"/>
  <c r="H3291" i="1"/>
  <c r="H3292" i="1"/>
  <c r="H3293" i="1"/>
  <c r="H3294" i="1"/>
  <c r="H3295" i="1"/>
  <c r="H3187" i="1"/>
  <c r="H2762" i="1"/>
  <c r="H2763" i="1"/>
  <c r="H2764" i="1"/>
  <c r="H2765" i="1"/>
  <c r="H2766" i="1"/>
  <c r="H2767" i="1"/>
  <c r="H2768" i="1"/>
  <c r="H1766" i="1"/>
  <c r="H1767" i="1"/>
  <c r="H1768" i="1"/>
  <c r="H3296" i="1"/>
  <c r="H3297" i="1"/>
  <c r="H1948" i="1"/>
  <c r="H1949" i="1"/>
  <c r="H1950" i="1"/>
  <c r="H2394" i="1"/>
  <c r="H2395" i="1"/>
  <c r="H2396" i="1"/>
  <c r="H1872" i="1"/>
  <c r="H1873" i="1"/>
  <c r="H1874" i="1"/>
  <c r="H1875" i="1"/>
  <c r="H1876" i="1"/>
  <c r="H1877" i="1"/>
  <c r="H1878" i="1"/>
  <c r="H1879" i="1"/>
  <c r="H1323" i="1"/>
  <c r="H1324" i="1"/>
  <c r="H1325" i="1"/>
  <c r="H1326" i="1"/>
  <c r="H1327" i="1"/>
  <c r="H2235" i="1"/>
  <c r="H1951" i="1"/>
  <c r="H1952" i="1"/>
  <c r="H1953" i="1"/>
  <c r="H1954" i="1"/>
  <c r="H1068" i="1"/>
  <c r="H1239" i="1"/>
  <c r="H1389" i="1"/>
  <c r="H423" i="1"/>
  <c r="H1955" i="1"/>
  <c r="H1956" i="1"/>
  <c r="H1957" i="1"/>
  <c r="H1958" i="1"/>
  <c r="H751" i="1"/>
  <c r="H752" i="1"/>
  <c r="H753" i="1"/>
  <c r="H754" i="1"/>
  <c r="H755" i="1"/>
  <c r="H756" i="1"/>
  <c r="H757" i="1"/>
  <c r="H758" i="1"/>
  <c r="H759" i="1"/>
  <c r="H760" i="1"/>
  <c r="H761" i="1"/>
  <c r="H762" i="1"/>
  <c r="H1670" i="1"/>
  <c r="H1671" i="1"/>
  <c r="H1672" i="1"/>
  <c r="H1673" i="1"/>
  <c r="H2219" i="1"/>
  <c r="H2142" i="1"/>
  <c r="H310" i="1"/>
  <c r="H311" i="1"/>
  <c r="H312" i="1"/>
  <c r="H313" i="1"/>
  <c r="H1995" i="1"/>
  <c r="H1720" i="1"/>
  <c r="H1734" i="1"/>
  <c r="H1735" i="1"/>
  <c r="H1736" i="1"/>
  <c r="H2309" i="1"/>
  <c r="H1892" i="1"/>
  <c r="H1737" i="1"/>
  <c r="H2168" i="1"/>
  <c r="H189" i="1"/>
  <c r="H190" i="1"/>
  <c r="H2151" i="1"/>
  <c r="H1328" i="1"/>
  <c r="H1329" i="1"/>
  <c r="H1330" i="1"/>
  <c r="H3146" i="1"/>
  <c r="H2560" i="1"/>
  <c r="H740" i="1"/>
  <c r="H3298" i="1"/>
  <c r="H2200" i="1"/>
  <c r="H2201" i="1"/>
  <c r="H2202" i="1"/>
  <c r="H2203" i="1"/>
  <c r="H1433" i="1"/>
  <c r="H1434" i="1"/>
  <c r="H1435" i="1"/>
  <c r="H1436" i="1"/>
  <c r="H1437" i="1"/>
  <c r="H798" i="1"/>
  <c r="H799" i="1"/>
  <c r="H2973" i="1"/>
  <c r="H2481" i="1"/>
  <c r="H2482" i="1"/>
  <c r="H2024" i="1"/>
  <c r="H1474" i="1"/>
  <c r="H1475" i="1"/>
  <c r="H1476" i="1"/>
  <c r="H1477" i="1"/>
  <c r="H1478" i="1"/>
  <c r="H467" i="1"/>
  <c r="H2143" i="1"/>
  <c r="H2824" i="1"/>
  <c r="H2825" i="1"/>
  <c r="H2826" i="1"/>
  <c r="H2827" i="1"/>
  <c r="H2828" i="1"/>
  <c r="H2829" i="1"/>
  <c r="H2830" i="1"/>
  <c r="H3228" i="1"/>
  <c r="H3229" i="1"/>
  <c r="H3230" i="1"/>
  <c r="H3231" i="1"/>
  <c r="H2070" i="1"/>
  <c r="H2071" i="1"/>
  <c r="H2072" i="1"/>
  <c r="H1383" i="1"/>
  <c r="H1384" i="1"/>
  <c r="H2204" i="1"/>
  <c r="H1839" i="1"/>
  <c r="H2542" i="1"/>
  <c r="H16" i="1"/>
  <c r="H17" i="1"/>
  <c r="H18" i="1"/>
  <c r="H19" i="1"/>
  <c r="H20" i="1"/>
  <c r="H1931" i="1"/>
  <c r="H1932" i="1"/>
  <c r="H1933" i="1"/>
  <c r="H3299" i="1"/>
  <c r="H3300" i="1"/>
  <c r="H3301" i="1"/>
  <c r="H3302" i="1"/>
  <c r="H3303" i="1"/>
  <c r="H3304" i="1"/>
  <c r="H931" i="1"/>
  <c r="H41" i="1"/>
  <c r="H965" i="1"/>
  <c r="H424" i="1"/>
  <c r="H425" i="1"/>
  <c r="H1618" i="1"/>
  <c r="H1619" i="1"/>
  <c r="H1620" i="1"/>
  <c r="H1621" i="1"/>
  <c r="H1622" i="1"/>
  <c r="H1623" i="1"/>
  <c r="H1624" i="1"/>
  <c r="H1625" i="1"/>
  <c r="H1626" i="1"/>
  <c r="H1627" i="1"/>
  <c r="H1007" i="1"/>
  <c r="H1008" i="1"/>
  <c r="H1628" i="1"/>
  <c r="H1301" i="1"/>
  <c r="H1765" i="1"/>
  <c r="H1629" i="1"/>
  <c r="H1630" i="1"/>
  <c r="H1631" i="1"/>
  <c r="H1632" i="1"/>
  <c r="H1633" i="1"/>
  <c r="H1634" i="1"/>
  <c r="H1635" i="1"/>
  <c r="H1636" i="1"/>
  <c r="H3271" i="1"/>
  <c r="H3272" i="1"/>
  <c r="H42" i="1"/>
  <c r="H43" i="1"/>
  <c r="H44" i="1"/>
  <c r="H2237" i="1"/>
  <c r="H2963" i="1"/>
  <c r="H2964" i="1"/>
  <c r="H2965" i="1"/>
  <c r="H83" i="1"/>
  <c r="H84" i="1"/>
  <c r="H2378" i="1"/>
  <c r="H2379" i="1"/>
  <c r="H2380" i="1"/>
  <c r="H2771" i="1"/>
  <c r="H2772" i="1"/>
  <c r="H2773" i="1"/>
  <c r="H1226" i="1"/>
  <c r="H1227" i="1"/>
  <c r="H1228" i="1"/>
  <c r="H2812" i="1"/>
  <c r="H678" i="1"/>
  <c r="H679" i="1"/>
  <c r="H680" i="1"/>
  <c r="H681" i="1"/>
  <c r="H3256" i="1"/>
  <c r="H535" i="1"/>
  <c r="H536" i="1"/>
  <c r="H537" i="1"/>
  <c r="H3247" i="1"/>
  <c r="H316" i="1"/>
  <c r="H317" i="1"/>
  <c r="H3097" i="1"/>
  <c r="H3098" i="1"/>
  <c r="H3011" i="1"/>
  <c r="H2217" i="1"/>
  <c r="H1536" i="1"/>
  <c r="H1537" i="1"/>
  <c r="H1674" i="1"/>
  <c r="H1244" i="1"/>
  <c r="H1245" i="1"/>
  <c r="H1246" i="1"/>
  <c r="H1247" i="1"/>
  <c r="H1248" i="1"/>
  <c r="H1249" i="1"/>
  <c r="H1250" i="1"/>
  <c r="H1251" i="1"/>
  <c r="H1252" i="1"/>
  <c r="H1253" i="1"/>
  <c r="H1254" i="1"/>
  <c r="H3006" i="1"/>
  <c r="H2370" i="1"/>
  <c r="H2371" i="1"/>
  <c r="H2372" i="1"/>
  <c r="H2373" i="1"/>
  <c r="H2374" i="1"/>
  <c r="H2375" i="1"/>
  <c r="H2376" i="1"/>
  <c r="H2377" i="1"/>
  <c r="H847" i="1"/>
  <c r="H848" i="1"/>
  <c r="H849" i="1"/>
  <c r="H850" i="1"/>
  <c r="H851" i="1"/>
  <c r="H1052" i="1"/>
  <c r="H1053" i="1"/>
  <c r="H1054" i="1"/>
  <c r="H1687" i="1"/>
  <c r="H858" i="1"/>
  <c r="H2061" i="1"/>
  <c r="H2062" i="1"/>
  <c r="H2063" i="1"/>
  <c r="H2064" i="1"/>
  <c r="H2065" i="1"/>
  <c r="H2095" i="1"/>
  <c r="H1287" i="1"/>
  <c r="H2716" i="1"/>
  <c r="H1224" i="1"/>
  <c r="H1201" i="1"/>
  <c r="H1202" i="1"/>
  <c r="H2856" i="1"/>
  <c r="H2857" i="1"/>
  <c r="H2858" i="1"/>
  <c r="H3346" i="1"/>
  <c r="H2239" i="1"/>
  <c r="H950" i="1"/>
  <c r="H951" i="1"/>
  <c r="H952" i="1"/>
  <c r="H953" i="1"/>
  <c r="H954" i="1"/>
  <c r="H955" i="1"/>
  <c r="H956" i="1"/>
  <c r="H957" i="1"/>
  <c r="H958" i="1"/>
  <c r="H959" i="1"/>
  <c r="H2091" i="1"/>
  <c r="H2092" i="1"/>
  <c r="H538" i="1"/>
  <c r="H539" i="1"/>
  <c r="H132" i="1"/>
  <c r="H627" i="1"/>
  <c r="H133" i="1"/>
  <c r="H169" i="1"/>
  <c r="H170" i="1"/>
  <c r="H171" i="1"/>
  <c r="H172" i="1"/>
  <c r="H2552" i="1"/>
  <c r="H2553" i="1"/>
  <c r="H390" i="1"/>
  <c r="H391" i="1"/>
  <c r="H392" i="1"/>
  <c r="H393" i="1"/>
  <c r="H394" i="1"/>
  <c r="H395" i="1"/>
  <c r="H173" i="1"/>
  <c r="H174" i="1"/>
  <c r="H1498" i="1"/>
  <c r="H2939" i="1"/>
  <c r="H2645" i="1"/>
  <c r="H3266" i="1"/>
  <c r="H3267" i="1"/>
  <c r="H1915" i="1"/>
  <c r="H1916" i="1"/>
  <c r="H1127" i="1"/>
  <c r="H1128" i="1"/>
  <c r="H1129" i="1"/>
  <c r="H1130" i="1"/>
  <c r="H1131" i="1"/>
  <c r="H1132" i="1"/>
  <c r="H649" i="1"/>
  <c r="H650" i="1"/>
  <c r="H2040" i="1"/>
  <c r="H2483" i="1"/>
  <c r="H2484" i="1"/>
  <c r="H148" i="1"/>
  <c r="H149" i="1"/>
  <c r="H150" i="1"/>
  <c r="H151" i="1"/>
  <c r="H152" i="1"/>
  <c r="H153" i="1"/>
  <c r="H1744" i="1"/>
  <c r="H1745" i="1"/>
  <c r="H1746" i="1"/>
  <c r="H1747" i="1"/>
  <c r="H1748" i="1"/>
  <c r="H1749" i="1"/>
  <c r="H1133" i="1"/>
  <c r="H1134" i="1"/>
  <c r="H1135" i="1"/>
  <c r="H1136" i="1"/>
  <c r="H3037" i="1"/>
  <c r="H1099" i="1"/>
  <c r="H1100" i="1"/>
  <c r="H1101" i="1"/>
  <c r="H1102" i="1"/>
  <c r="H1103" i="1"/>
  <c r="H1104" i="1"/>
  <c r="H1728" i="1"/>
  <c r="H1729" i="1"/>
  <c r="H1730" i="1"/>
  <c r="H1731" i="1"/>
  <c r="H288" i="1"/>
  <c r="H289" i="1"/>
  <c r="H3038" i="1"/>
  <c r="H1374" i="1"/>
  <c r="H1375" i="1"/>
  <c r="H1376" i="1"/>
  <c r="H1377" i="1"/>
  <c r="H1378" i="1"/>
  <c r="H1908" i="1"/>
  <c r="H3112" i="1"/>
  <c r="H695" i="1"/>
  <c r="H1292" i="1"/>
  <c r="H1293" i="1"/>
  <c r="H1294" i="1"/>
  <c r="H1137" i="1"/>
  <c r="H852" i="1"/>
  <c r="H1069" i="1"/>
  <c r="H1959" i="1"/>
  <c r="H303" i="1"/>
  <c r="H719" i="1"/>
  <c r="H720" i="1"/>
  <c r="H721" i="1"/>
  <c r="H2329" i="1"/>
  <c r="H2330" i="1"/>
  <c r="H2331" i="1"/>
  <c r="H2332" i="1"/>
  <c r="H2567" i="1"/>
  <c r="H2568" i="1"/>
  <c r="H1321" i="1"/>
  <c r="H1911" i="1"/>
  <c r="H1912" i="1"/>
  <c r="H35" i="1"/>
  <c r="H1322" i="1"/>
  <c r="H2795" i="1"/>
  <c r="H2796" i="1"/>
  <c r="H2797" i="1"/>
  <c r="H432" i="1"/>
  <c r="H1307" i="1"/>
  <c r="H1308" i="1"/>
  <c r="H1309" i="1"/>
  <c r="H1331" i="1"/>
  <c r="H1332" i="1"/>
  <c r="H1333" i="1"/>
  <c r="H1334" i="1"/>
  <c r="H1335" i="1"/>
  <c r="H1310" i="1"/>
  <c r="H2519" i="1"/>
  <c r="H3225" i="1"/>
  <c r="H3226" i="1"/>
  <c r="H1796" i="1"/>
  <c r="H1797" i="1"/>
  <c r="H1798" i="1"/>
  <c r="H2520" i="1"/>
  <c r="H2521" i="1"/>
  <c r="H2522" i="1"/>
  <c r="H229" i="1"/>
  <c r="H2523" i="1"/>
  <c r="H2873" i="1"/>
  <c r="H2134" i="1"/>
  <c r="H2135" i="1"/>
  <c r="H2524" i="1"/>
  <c r="H3264" i="1"/>
  <c r="H3265" i="1"/>
  <c r="H10" i="1"/>
  <c r="H11" i="1"/>
  <c r="H12" i="1"/>
  <c r="H13" i="1"/>
  <c r="H1756" i="1"/>
  <c r="H2525" i="1"/>
  <c r="H2526" i="1"/>
  <c r="H2527" i="1"/>
  <c r="H1338" i="1"/>
  <c r="H1339" i="1"/>
  <c r="H1340" i="1"/>
  <c r="H1341" i="1"/>
  <c r="H1342" i="1"/>
  <c r="H1343" i="1"/>
  <c r="H443" i="1"/>
  <c r="H444" i="1"/>
  <c r="H445" i="1"/>
  <c r="H446" i="1"/>
  <c r="H447" i="1"/>
  <c r="H448" i="1"/>
  <c r="H449" i="1"/>
  <c r="H450" i="1"/>
  <c r="H451" i="1"/>
  <c r="H452" i="1"/>
  <c r="H453" i="1"/>
  <c r="H454" i="1"/>
  <c r="H455" i="1"/>
  <c r="H456" i="1"/>
  <c r="H457" i="1"/>
  <c r="H458" i="1"/>
  <c r="H459" i="1"/>
  <c r="H460" i="1"/>
  <c r="H461" i="1"/>
  <c r="H462" i="1"/>
  <c r="H463" i="1"/>
  <c r="H1831" i="1"/>
  <c r="H1832" i="1"/>
  <c r="H1833" i="1"/>
  <c r="H1834" i="1"/>
  <c r="H1835" i="1"/>
  <c r="H1836" i="1"/>
  <c r="H1837" i="1"/>
  <c r="H1807" i="1"/>
  <c r="H240" i="1"/>
  <c r="H241" i="1"/>
  <c r="H242" i="1"/>
  <c r="H243" i="1"/>
  <c r="H244" i="1"/>
  <c r="H1344" i="1"/>
  <c r="H1815" i="1"/>
  <c r="H2798" i="1"/>
  <c r="H2799" i="1"/>
  <c r="H2800" i="1"/>
  <c r="H2801" i="1"/>
  <c r="H2802" i="1"/>
  <c r="H2803" i="1"/>
  <c r="H2804" i="1"/>
  <c r="H2805" i="1"/>
  <c r="H1208" i="1"/>
  <c r="H2096" i="1"/>
  <c r="H2097" i="1"/>
  <c r="H1510" i="1"/>
  <c r="H1511" i="1"/>
  <c r="H1512" i="1"/>
  <c r="H1513" i="1"/>
  <c r="H1514" i="1"/>
  <c r="H1515" i="1"/>
  <c r="H1516" i="1"/>
  <c r="H1517" i="1"/>
  <c r="H1518" i="1"/>
  <c r="H1519" i="1"/>
  <c r="H440" i="1"/>
  <c r="H441" i="1"/>
  <c r="H1021" i="1"/>
  <c r="H1022" i="1"/>
  <c r="H2851" i="1"/>
  <c r="H102" i="1"/>
  <c r="H1493" i="1"/>
  <c r="H1494" i="1"/>
  <c r="H1495" i="1"/>
  <c r="H2353" i="1"/>
  <c r="H1567" i="1"/>
  <c r="H1281" i="1"/>
  <c r="H1282" i="1"/>
  <c r="H1283" i="1"/>
  <c r="H1284" i="1"/>
  <c r="H1285" i="1"/>
  <c r="H732" i="1"/>
  <c r="H733" i="1"/>
  <c r="H734" i="1"/>
  <c r="H735" i="1"/>
  <c r="H87" i="1"/>
  <c r="H88" i="1"/>
  <c r="H89" i="1"/>
  <c r="H90" i="1"/>
  <c r="H1286" i="1"/>
  <c r="H572" i="1"/>
  <c r="H573" i="1"/>
  <c r="H574" i="1"/>
  <c r="H575" i="1"/>
  <c r="H3145" i="1"/>
  <c r="H1011" i="1"/>
  <c r="H103" i="1"/>
  <c r="H104" i="1"/>
  <c r="H105" i="1"/>
  <c r="H106" i="1"/>
  <c r="H107" i="1"/>
  <c r="H785" i="1"/>
  <c r="H786" i="1"/>
  <c r="H2011" i="1"/>
  <c r="H2012" i="1"/>
  <c r="H787" i="1"/>
  <c r="H788" i="1"/>
  <c r="H789" i="1"/>
  <c r="H790" i="1"/>
  <c r="H791" i="1"/>
  <c r="H792" i="1"/>
  <c r="H793" i="1"/>
  <c r="H794" i="1"/>
  <c r="H795" i="1"/>
  <c r="H796" i="1"/>
  <c r="H797" i="1"/>
  <c r="H2806" i="1"/>
  <c r="H2485" i="1"/>
  <c r="H2807" i="1"/>
  <c r="H2808" i="1"/>
  <c r="H2809" i="1"/>
  <c r="H2810" i="1"/>
  <c r="H2811" i="1"/>
  <c r="H1345" i="1"/>
  <c r="H1346" i="1"/>
  <c r="H2950" i="1"/>
  <c r="H182" i="1"/>
  <c r="H183" i="1"/>
  <c r="H1825" i="1"/>
  <c r="H1826" i="1"/>
  <c r="H375" i="1"/>
  <c r="H376" i="1"/>
  <c r="H1347" i="1"/>
  <c r="H1348" i="1"/>
  <c r="H2221" i="1"/>
  <c r="H2222" i="1"/>
  <c r="H1336" i="1"/>
  <c r="H1349" i="1"/>
  <c r="H1616" i="1"/>
  <c r="H1617" i="1"/>
  <c r="H1203" i="1"/>
  <c r="H1350" i="1"/>
  <c r="H1351" i="1"/>
  <c r="H1352" i="1"/>
  <c r="H1353" i="1"/>
  <c r="H1354" i="1"/>
  <c r="H1355" i="1"/>
  <c r="H1356" i="1"/>
  <c r="H1357" i="1"/>
  <c r="H1358" i="1"/>
  <c r="H1359" i="1"/>
  <c r="H3275" i="1"/>
  <c r="H2559" i="1"/>
  <c r="H282" i="1"/>
  <c r="H85" i="1"/>
  <c r="H410" i="1"/>
  <c r="H411" i="1"/>
  <c r="H412" i="1"/>
  <c r="H2528" i="1"/>
  <c r="H2529" i="1"/>
  <c r="H2530" i="1"/>
  <c r="H2531" i="1"/>
  <c r="H2532" i="1"/>
  <c r="H464" i="1"/>
  <c r="H465" i="1"/>
  <c r="H466" i="1"/>
  <c r="H1990" i="1"/>
  <c r="H1991" i="1"/>
  <c r="H1992" i="1"/>
  <c r="H1993" i="1"/>
  <c r="H2556" i="1"/>
  <c r="H2476" i="1"/>
  <c r="H2477" i="1"/>
  <c r="H2478" i="1"/>
  <c r="H2479" i="1"/>
  <c r="H2480" i="1"/>
  <c r="H2533" i="1"/>
  <c r="H2534" i="1"/>
  <c r="H438" i="1"/>
  <c r="H1204" i="1"/>
  <c r="H1205" i="1"/>
  <c r="H30" i="1"/>
  <c r="H31" i="1"/>
  <c r="H32" i="1"/>
  <c r="H33" i="1"/>
  <c r="H1170" i="1"/>
  <c r="H302" i="1"/>
  <c r="H1126" i="1"/>
  <c r="H2922" i="1"/>
  <c r="H2923" i="1"/>
  <c r="H2924" i="1"/>
  <c r="H2535" i="1"/>
  <c r="H2536" i="1"/>
  <c r="H2537" i="1"/>
  <c r="H2538" i="1"/>
  <c r="H2539" i="1"/>
  <c r="H2540" i="1"/>
  <c r="H2541" i="1"/>
  <c r="H1602" i="1"/>
  <c r="H1603" i="1"/>
  <c r="H1604" i="1"/>
  <c r="H2834" i="1"/>
  <c r="H2277" i="1"/>
  <c r="H1573" i="1"/>
  <c r="H1574" i="1"/>
  <c r="H1575" i="1"/>
  <c r="H1576" i="1"/>
  <c r="H407" i="1"/>
  <c r="H408" i="1"/>
  <c r="H409" i="1"/>
  <c r="H2879" i="1"/>
  <c r="H1380" i="1"/>
  <c r="H1381" i="1"/>
  <c r="H1382" i="1"/>
  <c r="H248" i="1"/>
  <c r="H379" i="1"/>
  <c r="H380" i="1"/>
  <c r="H91" i="1"/>
  <c r="H92" i="1"/>
  <c r="H285" i="1"/>
  <c r="H2136" i="1"/>
  <c r="H2835" i="1"/>
  <c r="H2836" i="1"/>
  <c r="H2837" i="1"/>
  <c r="H2838" i="1"/>
  <c r="H1828" i="1"/>
  <c r="H2563" i="1"/>
  <c r="H2564" i="1"/>
  <c r="H2784" i="1"/>
  <c r="H2785" i="1"/>
  <c r="H2786" i="1"/>
  <c r="H2787" i="1"/>
  <c r="H1046" i="1"/>
  <c r="H1047" i="1"/>
  <c r="H1048" i="1"/>
  <c r="H1125" i="1"/>
  <c r="H1784" i="1"/>
  <c r="H1785" i="1"/>
  <c r="H1786" i="1"/>
  <c r="H2004" i="1"/>
  <c r="H1209" i="1"/>
  <c r="H1210" i="1"/>
  <c r="H1211" i="1"/>
  <c r="H1212" i="1"/>
  <c r="H340" i="1"/>
  <c r="H341" i="1"/>
  <c r="H1727" i="1"/>
  <c r="H1407" i="1"/>
  <c r="H342" i="1"/>
  <c r="H343" i="1"/>
  <c r="H344" i="1"/>
  <c r="H345" i="1"/>
  <c r="H1241" i="1"/>
  <c r="H2859" i="1"/>
  <c r="H2860" i="1"/>
  <c r="H2885" i="1"/>
  <c r="H672" i="1"/>
  <c r="H154" i="1"/>
  <c r="H155" i="1"/>
  <c r="H673" i="1"/>
  <c r="H674" i="1"/>
  <c r="H675" i="1"/>
  <c r="H676" i="1"/>
  <c r="H677" i="1"/>
  <c r="H932" i="1"/>
  <c r="H933" i="1"/>
  <c r="H934" i="1"/>
  <c r="H2486" i="1"/>
  <c r="H651" i="1"/>
  <c r="H652" i="1"/>
  <c r="H653" i="1"/>
  <c r="H654" i="1"/>
  <c r="H655" i="1"/>
  <c r="H656" i="1"/>
  <c r="H657" i="1"/>
  <c r="H658" i="1"/>
  <c r="H659" i="1"/>
  <c r="H660" i="1"/>
  <c r="H661" i="1"/>
  <c r="H2925" i="1"/>
  <c r="H2926" i="1"/>
  <c r="H2927" i="1"/>
  <c r="H2928" i="1"/>
  <c r="H2929" i="1"/>
  <c r="H2930" i="1"/>
  <c r="H2931" i="1"/>
  <c r="H2932" i="1"/>
  <c r="H2933" i="1"/>
  <c r="H2934" i="1"/>
  <c r="H2935" i="1"/>
  <c r="H2936" i="1"/>
  <c r="H2414" i="1"/>
  <c r="H2415" i="1"/>
  <c r="H2416" i="1"/>
  <c r="H2417" i="1"/>
  <c r="H129" i="1"/>
  <c r="H130" i="1"/>
  <c r="H131" i="1"/>
  <c r="H2729" i="1"/>
  <c r="H3165" i="1"/>
  <c r="H3166" i="1"/>
  <c r="H3167" i="1"/>
  <c r="H326" i="1"/>
  <c r="H327" i="1"/>
  <c r="H1084" i="1"/>
  <c r="H1085" i="1"/>
  <c r="H1086" i="1"/>
  <c r="H2691" i="1"/>
  <c r="H2692" i="1"/>
  <c r="H2693" i="1"/>
  <c r="H2694" i="1"/>
  <c r="H2815" i="1"/>
  <c r="H2816" i="1"/>
  <c r="H2817" i="1"/>
  <c r="H2818" i="1"/>
  <c r="H2819" i="1"/>
  <c r="H2820" i="1"/>
  <c r="H2821" i="1"/>
  <c r="H2822" i="1"/>
  <c r="H2094" i="1"/>
  <c r="H3281" i="1"/>
  <c r="H2896" i="1"/>
  <c r="H2897" i="1"/>
  <c r="H2898" i="1"/>
  <c r="H2899" i="1"/>
  <c r="H377" i="1"/>
  <c r="H731" i="1"/>
  <c r="H1240" i="1"/>
  <c r="H3113" i="1"/>
  <c r="H3114" i="1"/>
  <c r="H3115" i="1"/>
  <c r="H3116" i="1"/>
  <c r="H2749" i="1"/>
  <c r="H1963" i="1"/>
  <c r="H1964" i="1"/>
  <c r="H1965" i="1"/>
  <c r="H1966" i="1"/>
  <c r="H1967" i="1"/>
  <c r="H1968" i="1"/>
  <c r="H1969" i="1"/>
  <c r="H1970" i="1"/>
  <c r="H1971" i="1"/>
  <c r="H1972" i="1"/>
  <c r="H1973" i="1"/>
  <c r="H1023" i="1"/>
  <c r="H558" i="1"/>
  <c r="H559" i="1"/>
  <c r="H2108" i="1"/>
  <c r="H1366" i="1"/>
  <c r="H1367" i="1"/>
  <c r="H1368" i="1"/>
  <c r="H1369" i="1"/>
  <c r="H1370" i="1"/>
  <c r="H1371" i="1"/>
  <c r="H1372" i="1"/>
  <c r="H1373" i="1"/>
  <c r="H1076" i="1"/>
  <c r="H1077" i="1"/>
  <c r="H1078" i="1"/>
  <c r="H1404" i="1"/>
  <c r="H3257" i="1"/>
  <c r="H3258" i="1"/>
  <c r="H3259" i="1"/>
  <c r="H3221" i="1"/>
  <c r="H3222" i="1"/>
  <c r="H2598" i="1"/>
  <c r="H2776" i="1"/>
  <c r="H2777" i="1"/>
  <c r="H702" i="1"/>
  <c r="H703" i="1"/>
  <c r="H704" i="1"/>
  <c r="H705" i="1"/>
  <c r="H706" i="1"/>
  <c r="H707" i="1"/>
  <c r="H708" i="1"/>
  <c r="H439" i="1"/>
  <c r="H2274" i="1"/>
  <c r="H1808" i="1"/>
  <c r="H1809" i="1"/>
  <c r="H3212" i="1"/>
  <c r="H3213" i="1"/>
  <c r="H1726" i="1"/>
  <c r="H1306" i="1"/>
  <c r="H665" i="1"/>
  <c r="H666" i="1"/>
  <c r="H667" i="1"/>
  <c r="H668" i="1"/>
  <c r="H669" i="1"/>
  <c r="H1961" i="1"/>
  <c r="H1962" i="1"/>
  <c r="H2337" i="1"/>
  <c r="H2338" i="1"/>
  <c r="H1468" i="1"/>
  <c r="H1469" i="1"/>
  <c r="H1470" i="1"/>
  <c r="H1471" i="1"/>
  <c r="H1472" i="1"/>
  <c r="H1473" i="1"/>
  <c r="H1405" i="1"/>
  <c r="H1406" i="1"/>
  <c r="H156" i="1"/>
  <c r="H157" i="1"/>
  <c r="H646" i="1"/>
  <c r="H647" i="1"/>
  <c r="H662" i="1"/>
  <c r="H663" i="1"/>
  <c r="H206" i="1"/>
  <c r="H207" i="1"/>
  <c r="H208" i="1"/>
  <c r="H209" i="1"/>
  <c r="H210" i="1"/>
  <c r="H211" i="1"/>
  <c r="H3131" i="1"/>
  <c r="H3132" i="1"/>
  <c r="H2717" i="1"/>
  <c r="H2718" i="1"/>
  <c r="H2719" i="1"/>
  <c r="H2720" i="1"/>
  <c r="H2721" i="1"/>
  <c r="H2722" i="1"/>
  <c r="H2723" i="1"/>
  <c r="H283" i="1"/>
  <c r="H142" i="1"/>
  <c r="H1830" i="1"/>
  <c r="H2244" i="1"/>
  <c r="H2245" i="1"/>
  <c r="H2246" i="1"/>
  <c r="H2247" i="1"/>
  <c r="H2248" i="1"/>
  <c r="H3133" i="1"/>
  <c r="H3134" i="1"/>
  <c r="H3135" i="1"/>
  <c r="H2554" i="1"/>
  <c r="H2555" i="1"/>
  <c r="H1259" i="1"/>
  <c r="H82" i="1"/>
  <c r="H3319" i="1"/>
  <c r="H2295" i="1"/>
  <c r="H2743" i="1"/>
  <c r="H2744" i="1"/>
  <c r="H2745" i="1"/>
  <c r="H1010" i="1"/>
  <c r="H879" i="1"/>
  <c r="H880" i="1"/>
  <c r="H881" i="1"/>
  <c r="H709" i="1"/>
  <c r="H710" i="1"/>
  <c r="H711" i="1"/>
  <c r="H712" i="1"/>
  <c r="H713" i="1"/>
  <c r="H714" i="1"/>
  <c r="H715" i="1"/>
  <c r="H716" i="1"/>
  <c r="H2084" i="1"/>
  <c r="H1691" i="1"/>
  <c r="H1055" i="1"/>
  <c r="H2995" i="1"/>
  <c r="H2996" i="1"/>
  <c r="H2997" i="1"/>
  <c r="H2998" i="1"/>
  <c r="H2999" i="1"/>
  <c r="H3000" i="1"/>
  <c r="H3001" i="1"/>
  <c r="H3002" i="1"/>
  <c r="H3003" i="1"/>
  <c r="H3004" i="1"/>
  <c r="H1255" i="1"/>
  <c r="H1256" i="1"/>
  <c r="H1257" i="1"/>
  <c r="H1258" i="1"/>
  <c r="H1098" i="1"/>
  <c r="H2703" i="1"/>
  <c r="H2704" i="1"/>
  <c r="H2705" i="1"/>
  <c r="H2706" i="1"/>
  <c r="H2707" i="1"/>
  <c r="H2708" i="1"/>
  <c r="H2709" i="1"/>
  <c r="H2710" i="1"/>
  <c r="H2711" i="1"/>
  <c r="H2712" i="1"/>
  <c r="H1692" i="1"/>
  <c r="H2551" i="1"/>
  <c r="H2034" i="1"/>
  <c r="H2035" i="1"/>
  <c r="H2036" i="1"/>
  <c r="H2037" i="1"/>
  <c r="H2038" i="1"/>
  <c r="H2496" i="1"/>
  <c r="H1579" i="1"/>
  <c r="H1580" i="1"/>
  <c r="H1581" i="1"/>
  <c r="H1582" i="1"/>
  <c r="H1583" i="1"/>
  <c r="H1584" i="1"/>
  <c r="H1585" i="1"/>
  <c r="H1586" i="1"/>
  <c r="H1587" i="1"/>
  <c r="H2617" i="1"/>
  <c r="H2618" i="1"/>
  <c r="H2619" i="1"/>
  <c r="H2620" i="1"/>
  <c r="H2621" i="1"/>
  <c r="H2622" i="1"/>
  <c r="H2623" i="1"/>
  <c r="H2624" i="1"/>
  <c r="H2625" i="1"/>
  <c r="H2023" i="1"/>
  <c r="H3313" i="1"/>
  <c r="H3314" i="1"/>
  <c r="H3315" i="1"/>
  <c r="H2355" i="1"/>
  <c r="H2607" i="1"/>
  <c r="H2608" i="1"/>
  <c r="H2609" i="1"/>
  <c r="H2610" i="1"/>
  <c r="H2611" i="1"/>
  <c r="H2497" i="1"/>
  <c r="H2498" i="1"/>
  <c r="H2499" i="1"/>
  <c r="H2500" i="1"/>
  <c r="H2501" i="1"/>
  <c r="H2502" i="1"/>
  <c r="H2503" i="1"/>
  <c r="H3136" i="1"/>
  <c r="D2" i="1" a="1"/>
  <c r="D2" i="1" s="1"/>
  <c r="S4" i="1"/>
  <c r="N3" i="2"/>
  <c r="S12" i="1"/>
  <c r="S24" i="1"/>
  <c r="S19" i="1"/>
  <c r="S11" i="1"/>
  <c r="S6" i="1"/>
  <c r="S5" i="1"/>
  <c r="S25" i="1"/>
  <c r="S17" i="1"/>
  <c r="S16" i="1"/>
  <c r="S7" i="1"/>
  <c r="S8" i="1"/>
  <c r="S50" i="1"/>
  <c r="S36" i="1"/>
  <c r="S22" i="1"/>
  <c r="S28" i="1"/>
  <c r="S20" i="1"/>
  <c r="S10" i="1"/>
  <c r="S51" i="1"/>
  <c r="S9" i="1"/>
  <c r="S43" i="1"/>
  <c r="S14" i="1"/>
  <c r="S21" i="1"/>
  <c r="S13" i="1"/>
  <c r="S15" i="1"/>
  <c r="S32" i="1"/>
  <c r="S37" i="1"/>
  <c r="S33" i="1"/>
  <c r="S18" i="1"/>
  <c r="S23" i="1"/>
  <c r="S30" i="1"/>
  <c r="S48" i="1"/>
  <c r="S29" i="1"/>
  <c r="S38" i="1"/>
  <c r="S49" i="1"/>
  <c r="S27" i="1"/>
  <c r="S26" i="1"/>
  <c r="S34" i="1"/>
  <c r="S35" i="1"/>
  <c r="S55" i="1"/>
  <c r="S45" i="1"/>
  <c r="S39" i="1"/>
  <c r="S31" i="1"/>
  <c r="S41" i="1"/>
  <c r="S44" i="1"/>
  <c r="S40" i="1"/>
  <c r="S52" i="1"/>
  <c r="S42" i="1"/>
  <c r="S53" i="1"/>
  <c r="S56" i="1"/>
  <c r="S58" i="1"/>
  <c r="S54" i="1"/>
  <c r="S57" i="1"/>
  <c r="S46" i="1"/>
  <c r="S47" i="1"/>
  <c r="S59" i="1"/>
  <c r="R12" i="1"/>
  <c r="R4" i="1"/>
  <c r="R24" i="1"/>
  <c r="R19" i="1"/>
  <c r="R11" i="1"/>
  <c r="R6" i="1"/>
  <c r="R5" i="1"/>
  <c r="R25" i="1"/>
  <c r="R17" i="1"/>
  <c r="R16" i="1"/>
  <c r="R7" i="1"/>
  <c r="R8" i="1"/>
  <c r="R50" i="1"/>
  <c r="R36" i="1"/>
  <c r="R22" i="1"/>
  <c r="R28" i="1"/>
  <c r="R20" i="1"/>
  <c r="R10" i="1"/>
  <c r="R51" i="1"/>
  <c r="R9" i="1"/>
  <c r="R43" i="1"/>
  <c r="R14" i="1"/>
  <c r="R21" i="1"/>
  <c r="R13" i="1"/>
  <c r="R15" i="1"/>
  <c r="R32" i="1"/>
  <c r="R37" i="1"/>
  <c r="R33" i="1"/>
  <c r="R18" i="1"/>
  <c r="R23" i="1"/>
  <c r="R30" i="1"/>
  <c r="R48" i="1"/>
  <c r="R29" i="1"/>
  <c r="R38" i="1"/>
  <c r="R49" i="1"/>
  <c r="R27" i="1"/>
  <c r="R26" i="1"/>
  <c r="R34" i="1"/>
  <c r="R35" i="1"/>
  <c r="R55" i="1"/>
  <c r="R45" i="1"/>
  <c r="R39" i="1"/>
  <c r="R31" i="1"/>
  <c r="R41" i="1"/>
  <c r="R44" i="1"/>
  <c r="R40" i="1"/>
  <c r="R52" i="1"/>
  <c r="R42" i="1"/>
  <c r="R53" i="1"/>
  <c r="R56" i="1"/>
  <c r="R58" i="1"/>
  <c r="R54" i="1"/>
  <c r="R57" i="1"/>
  <c r="R46" i="1"/>
  <c r="R47" i="1"/>
  <c r="R59" i="1"/>
  <c r="C2" i="2"/>
  <c r="T21" i="1" l="1"/>
  <c r="T24" i="1"/>
  <c r="T32" i="1"/>
  <c r="T36" i="1"/>
  <c r="T4" i="1"/>
  <c r="W4" i="1" s="1"/>
  <c r="T7" i="1"/>
  <c r="W7" i="1" s="1"/>
  <c r="T20" i="1"/>
  <c r="T18" i="1"/>
  <c r="T19" i="1"/>
  <c r="T27" i="1"/>
  <c r="T13" i="1"/>
  <c r="T8" i="1"/>
  <c r="W8" i="1" s="1"/>
  <c r="T17" i="1"/>
  <c r="T58" i="1"/>
  <c r="T34" i="1"/>
  <c r="T56" i="1"/>
  <c r="T42" i="1"/>
  <c r="T52" i="1"/>
  <c r="T49" i="1"/>
  <c r="T54" i="1"/>
  <c r="T44" i="1"/>
  <c r="T40" i="1"/>
  <c r="T38" i="1"/>
  <c r="T14" i="1"/>
  <c r="T16" i="1"/>
  <c r="T55" i="1"/>
  <c r="T33" i="1"/>
  <c r="T28" i="1"/>
  <c r="T47" i="1"/>
  <c r="T48" i="1"/>
  <c r="T9" i="1"/>
  <c r="T25" i="1"/>
  <c r="T59" i="1"/>
  <c r="T5" i="1"/>
  <c r="W5" i="1" s="1"/>
  <c r="T41" i="1"/>
  <c r="T31" i="1"/>
  <c r="T30" i="1"/>
  <c r="T51" i="1"/>
  <c r="T35" i="1"/>
  <c r="T37" i="1"/>
  <c r="T22" i="1"/>
  <c r="V8" i="1"/>
  <c r="V7" i="1"/>
  <c r="V5" i="1"/>
  <c r="V6" i="1"/>
  <c r="T29" i="1"/>
  <c r="T43" i="1"/>
  <c r="V4" i="1"/>
  <c r="T46" i="1"/>
  <c r="T39" i="1"/>
  <c r="T23" i="1"/>
  <c r="T10" i="1"/>
  <c r="T6" i="1"/>
  <c r="W6" i="1" s="1"/>
  <c r="T57" i="1"/>
  <c r="T11" i="1"/>
  <c r="T53" i="1"/>
  <c r="T26" i="1"/>
  <c r="T15" i="1"/>
  <c r="T50" i="1"/>
  <c r="T12" i="1"/>
  <c r="T45" i="1"/>
  <c r="I2" i="2"/>
  <c r="J3" i="2" s="1"/>
  <c r="D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tc={CA4F5604-F0FF-4D0A-B3CE-39726DB6BF7E}</author>
  </authors>
  <commentList>
    <comment ref="G3" authorId="0" shapeId="0" xr:uid="{CA4F5604-F0FF-4D0A-B3CE-39726DB6BF7E}">
      <text>
        <t>[Threaded comment]
Your version of Excel allows you to read this threaded comment; however, any edits to it will get removed if the file is opened in a newer version of Excel. Learn more: https://go.microsoft.com/fwlink/?linkid=870924
Comment:
    Get this from another list.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<sst xmlns="http://schemas.openxmlformats.org/spreadsheetml/2006/main" count="26573" uniqueCount="1302">
  <si>
    <t>FIRM</t>
  </si>
  <si>
    <t>IS DBE</t>
  </si>
  <si>
    <t>PRE-QUAL CATEGORIES</t>
  </si>
  <si>
    <t>2IM GROUP</t>
  </si>
  <si>
    <t>Highways - Freeways</t>
  </si>
  <si>
    <t>Highways - Roads and Streets</t>
  </si>
  <si>
    <t>Hydraulic Reports - Pump Stations</t>
  </si>
  <si>
    <t>Hydraulic Reports - Waterways: Complex</t>
  </si>
  <si>
    <t>Hydraulic Reports - Waterways: Typical</t>
  </si>
  <si>
    <t>Location Design Studies - Rehabilitation</t>
  </si>
  <si>
    <t>Special Services - Construction Inspection</t>
  </si>
  <si>
    <t>Special Services - Landscape Architecture</t>
  </si>
  <si>
    <t>Special Services - Sanitary</t>
  </si>
  <si>
    <t>Special Studies - Safety</t>
  </si>
  <si>
    <t>Special Studies - Traffic Studies</t>
  </si>
  <si>
    <t>Special Studies- Location Drainage</t>
  </si>
  <si>
    <t>4HD INC</t>
  </si>
  <si>
    <t>A3 Environmental, LLC</t>
  </si>
  <si>
    <t>Special Services - Hazardous Waste: Simple</t>
  </si>
  <si>
    <t>AAA ENGINEERING</t>
  </si>
  <si>
    <t>Special Plans - Lighting: Typical</t>
  </si>
  <si>
    <t>Special Services - Electrical Engineering</t>
  </si>
  <si>
    <t>Special Services - Mechanical</t>
  </si>
  <si>
    <t>ABNA ENGINEERING, INC.</t>
  </si>
  <si>
    <t>Location Design Studies - New Construction/Major Reconstruction</t>
  </si>
  <si>
    <t>Location Design Studies - Reconstruction/Major Rehabilitation</t>
  </si>
  <si>
    <t>Special Plans - Lighting: Complex</t>
  </si>
  <si>
    <t>Special Plans - Traffic Signals</t>
  </si>
  <si>
    <t>Special Services - Subsurface Utility Engineering</t>
  </si>
  <si>
    <t>Special Services - Surveying</t>
  </si>
  <si>
    <t>Structures - Highway: Advanced Typical</t>
  </si>
  <si>
    <t>Structures - Highway: Simple</t>
  </si>
  <si>
    <t>Structures - Highway: Typical</t>
  </si>
  <si>
    <t>Transportation Studies - Railway Engineering</t>
  </si>
  <si>
    <t>ACCURATE GROUP, INC.</t>
  </si>
  <si>
    <t>Airports - Construction Inspection</t>
  </si>
  <si>
    <t>Airports - Design</t>
  </si>
  <si>
    <t>Special Studies - Feasibility</t>
  </si>
  <si>
    <t>Structures - Railroad</t>
  </si>
  <si>
    <t>Special Services - Public Involvement</t>
  </si>
  <si>
    <t>ADVANCE CONSULTING GROUP INTL</t>
  </si>
  <si>
    <t>AECOM TECHNICAL SERVICES, INC.</t>
  </si>
  <si>
    <t>Airports - Master Planning/Airport Layout Plans (ALP)</t>
  </si>
  <si>
    <t>Environmental Reports - Environmental Assessment</t>
  </si>
  <si>
    <t>Environmental Reports - Environmental Impact Statement</t>
  </si>
  <si>
    <t>Geotechnical Services - Complex Geotech/Major Foundation</t>
  </si>
  <si>
    <t>Geotechnical Services - General Geotechnical Services</t>
  </si>
  <si>
    <t>Geotechnical Services - Structure Geotechnical Reports (SGR)</t>
  </si>
  <si>
    <t>Geotechnical Services - Subsurface Explorations</t>
  </si>
  <si>
    <t>Special Plans - Pumping Stations</t>
  </si>
  <si>
    <t>Special Services - Hazardous Waste: Advance</t>
  </si>
  <si>
    <t>Special Services - Project Controls</t>
  </si>
  <si>
    <t>Special Studies - Signal Coordination &amp; Timing (SCAT)</t>
  </si>
  <si>
    <t>Structures - Highway: Complex</t>
  </si>
  <si>
    <t>Structures - Moveable</t>
  </si>
  <si>
    <t>Structures: Major River Bridges</t>
  </si>
  <si>
    <t>Transportation Studies - Mass Transit</t>
  </si>
  <si>
    <t>Transportation Studies - Railway Planning</t>
  </si>
  <si>
    <t>AltusWorks, Inc.</t>
  </si>
  <si>
    <t>Special Services - Architecture</t>
  </si>
  <si>
    <t>American Engineering Consultants, Inc.</t>
  </si>
  <si>
    <t>American Engineering Testing, Inc.</t>
  </si>
  <si>
    <t>AMERICAN STRUCTUREPOINT, INC.</t>
  </si>
  <si>
    <t>Special Services - Mobile LiDAR</t>
  </si>
  <si>
    <t>AMES ENGINEERING, INC.</t>
  </si>
  <si>
    <t>ANDREWS ENGINEERING, INC.</t>
  </si>
  <si>
    <t>Angelo Construction Services, Inc.</t>
  </si>
  <si>
    <t>APEX CONSULTING ENGINEERS, L.L.C.</t>
  </si>
  <si>
    <t>API SURVEY LLC</t>
  </si>
  <si>
    <t>APPLIED RESEARCH ASSOCIATES, INC</t>
  </si>
  <si>
    <t>Special Services - Specialty Firm</t>
  </si>
  <si>
    <t>APS CONSULTING, INC.</t>
  </si>
  <si>
    <t>Aqua Vitae Engineering, LLC</t>
  </si>
  <si>
    <t>ARC DESIGN RESOURCES, INC.</t>
  </si>
  <si>
    <t xml:space="preserve">ARCADIS U.S., Inc. </t>
  </si>
  <si>
    <t>Special Services - Asbestos Abatement Surveys</t>
  </si>
  <si>
    <t>ARK ENGINEERING ASSOCIATES, LTD.</t>
  </si>
  <si>
    <t>Arora and Associates, P.C.</t>
  </si>
  <si>
    <t>ARTISAN CONSULTING ENGINEERS, LLC</t>
  </si>
  <si>
    <t>ATLAS ENGINEERING GROUP</t>
  </si>
  <si>
    <t>AYRES ASSOCIATES, INC.</t>
  </si>
  <si>
    <t>Special Services - Aerial Mapping/LiDAR</t>
  </si>
  <si>
    <t>BACON FARMER WORKMAN ENGR. &amp; TESTNG</t>
  </si>
  <si>
    <t>Bartlett &amp; West, Inc.</t>
  </si>
  <si>
    <t>BAUER LATOZA STUDIO, LTD.</t>
  </si>
  <si>
    <t>BAXTER &amp; WOODMAN, INC.</t>
  </si>
  <si>
    <t>BENESCH, ALFRED &amp; CO.</t>
  </si>
  <si>
    <t>BERNS, CLANCY &amp; ASSOC., P.C.</t>
  </si>
  <si>
    <t>BLA, Inc.</t>
  </si>
  <si>
    <t>BLANK, WESSELINK, COOK &amp; ASSOC, INC</t>
  </si>
  <si>
    <t>BLOOM COMPANIES, LLC</t>
  </si>
  <si>
    <t>Bowman Consulting Group</t>
  </si>
  <si>
    <t>Bravo Company Engineering, Inc.</t>
  </si>
  <si>
    <t>BROWN &amp; ROBERTS, INC.</t>
  </si>
  <si>
    <t>BRUNER, COOPER &amp; ZUCK, INC.</t>
  </si>
  <si>
    <t>BURKE, CHRISTOPHER B. ENG., LTD.</t>
  </si>
  <si>
    <t>Burns &amp; McDonnell Engineering Company, Inc.</t>
  </si>
  <si>
    <t>C.C. Johnson &amp; Malhotra, P.C.</t>
  </si>
  <si>
    <t>CBB</t>
  </si>
  <si>
    <t>CCS International, Inc.</t>
  </si>
  <si>
    <t>CDG Engineers, Inc</t>
  </si>
  <si>
    <t>CDM SMITH INC.</t>
  </si>
  <si>
    <t>CEMCON LTD.</t>
  </si>
  <si>
    <t>CEP Engineering, LLC</t>
  </si>
  <si>
    <t>CERA Solutions</t>
  </si>
  <si>
    <t>CES, INC.</t>
  </si>
  <si>
    <t>CGMT, Inc.</t>
  </si>
  <si>
    <t>Special Services - Quality Assurance HMA &amp; Aggregate</t>
  </si>
  <si>
    <t>Special Services - Quality Assurance PCC &amp; Aggregate</t>
  </si>
  <si>
    <t>CHAMLIN &amp; ASSOC., INC.</t>
  </si>
  <si>
    <t>Chastain &amp; Associates LLC</t>
  </si>
  <si>
    <t>CHICAGO TESTING LABORATORY, INC.</t>
  </si>
  <si>
    <t>CHIN, R. M. &amp; ASSOC., INC.</t>
  </si>
  <si>
    <t>CIORBA GROUP, INC.</t>
  </si>
  <si>
    <t>Civil &amp; Environmental Consultants, Inc.</t>
  </si>
  <si>
    <t>CIVIL DESIGN, INC.</t>
  </si>
  <si>
    <t>CIVILTECH ENGINEERING, INC.</t>
  </si>
  <si>
    <t>CKL Engineers, LLC</t>
  </si>
  <si>
    <t>CLAASSEN, WHITE &amp; ASSOCIATES, P.C.</t>
  </si>
  <si>
    <t>CLARK DIETZ, INC.</t>
  </si>
  <si>
    <t>COLLINS ENGINEERS, INC.</t>
  </si>
  <si>
    <t>COMPASS, LTD.</t>
  </si>
  <si>
    <t>COTTER CONSULTING, INC.</t>
  </si>
  <si>
    <t>CRAWFORD, MURPHY, &amp; TILLY, INC.</t>
  </si>
  <si>
    <t>Airports - Construction Inspection: Complex Electrical</t>
  </si>
  <si>
    <t>Airports - Design: Complex Electrical</t>
  </si>
  <si>
    <t>CUMMINS ENGINEERING CORPORATION</t>
  </si>
  <si>
    <t>Czaplicki Lopez, PLLC</t>
  </si>
  <si>
    <t>D'ESCOTO, INC.</t>
  </si>
  <si>
    <t>DAMA CONSULTANTS, INC.</t>
  </si>
  <si>
    <t>DAVID ENGINEERING, LLC</t>
  </si>
  <si>
    <t>DELTA ENGINEERING GROUP, LLC</t>
  </si>
  <si>
    <t>DESIGN CONSULTING ENGINEERS, INC.</t>
  </si>
  <si>
    <t>DESIGN NINE, INC.</t>
  </si>
  <si>
    <t>Dewberry Engineers Inc.</t>
  </si>
  <si>
    <t>DLZ ILLINOIS, INC.</t>
  </si>
  <si>
    <t>DLZ Industrial Surveying, Inc.</t>
  </si>
  <si>
    <t>DOLAND ENGINEERING, LLC</t>
  </si>
  <si>
    <t>DONOHUE &amp; ASSOCIATES, INC.</t>
  </si>
  <si>
    <t>DYNASTY GROUP, INC.</t>
  </si>
  <si>
    <t>ECS Midwest, LLC</t>
  </si>
  <si>
    <t>EFK MOEN, LLC</t>
  </si>
  <si>
    <t>ENGINEERING DESIGN SOURCE, INC.</t>
  </si>
  <si>
    <t>ENGINEERING ENTERPRISES, INC.</t>
  </si>
  <si>
    <t>ENGINEERING RESOURCE ASSOC., INC.</t>
  </si>
  <si>
    <t>ENGINEERING SERVICES GROUP, INC.</t>
  </si>
  <si>
    <t>ENVIRONMENTAL DESIGN INTERNATIONAL</t>
  </si>
  <si>
    <t>EPSTEIN, A. &amp; SONS INTERN., INC.</t>
  </si>
  <si>
    <t>ESCA CONSULTANTS, INC.</t>
  </si>
  <si>
    <t>exp US Services, Inc.</t>
  </si>
  <si>
    <t>Facet Engineering, LLC</t>
  </si>
  <si>
    <t>FARNSWORTH GROUP, INC.</t>
  </si>
  <si>
    <t>FEHR-GRAHAM &amp; ASSOC. LLC</t>
  </si>
  <si>
    <t>FLUIDCLARITY</t>
  </si>
  <si>
    <t>Foundation Mechanics, LLC</t>
  </si>
  <si>
    <t>FUHRMANN ENGINEERING, INC.</t>
  </si>
  <si>
    <t>GANDHI &amp; ASSOC., INC.</t>
  </si>
  <si>
    <t>GARZA KARHOFF ENGINEERING, LLC</t>
  </si>
  <si>
    <t>Gasperec Elberts Consulting, LLC</t>
  </si>
  <si>
    <t>GEI Consultants, Inc.</t>
  </si>
  <si>
    <t>GEO SERVICES, INC.</t>
  </si>
  <si>
    <t>GEOCON PROFESSIONAL SERVICES, LLC</t>
  </si>
  <si>
    <t>GEORGE BUTLER ASSOCIATES, INC.</t>
  </si>
  <si>
    <t>GEOSYNTEC CONSULTANTS</t>
  </si>
  <si>
    <t>GEWALT HAMILTON ASSOC., INC.</t>
  </si>
  <si>
    <t>GLOBETROTTERS ENGINEERING CORP.</t>
  </si>
  <si>
    <t>GONZALEZ COMPANIES, LLC</t>
  </si>
  <si>
    <t>GRAEF-USA INC.</t>
  </si>
  <si>
    <t>GREENE &amp; BRADFORD, INC., OF SPFLD.</t>
  </si>
  <si>
    <t>GSG CONSULTANTS, INC.</t>
  </si>
  <si>
    <t>Gulaid Consulting Engineers, P.C.</t>
  </si>
  <si>
    <t>H.N.T.B. CORP.</t>
  </si>
  <si>
    <t>HAMPTON, LENZINI AND RENWICK, INC.</t>
  </si>
  <si>
    <t>HANCOCK, EDWIN ENGINEERING CO.</t>
  </si>
  <si>
    <t>HANSON PROFESSIONAL SERVICES INC.</t>
  </si>
  <si>
    <t>Hardesty &amp; Hanover LLC</t>
  </si>
  <si>
    <t>HBK ENGINEERING, LLC.</t>
  </si>
  <si>
    <t>HBM ENGINEERING GROUP, LLC</t>
  </si>
  <si>
    <t>HDR ENGINEERING, INC.</t>
  </si>
  <si>
    <t>HEINZ, GERALD L. &amp; ASSOC., INC</t>
  </si>
  <si>
    <t>HELIX ENGINEERING LLC</t>
  </si>
  <si>
    <t>HENEGHAN AND ASSOC., P.C.</t>
  </si>
  <si>
    <t>HENRY, MEISENHEIMER &amp; GENDE, INC.</t>
  </si>
  <si>
    <t>HERMANN &amp; ASSOCIATES, LLC</t>
  </si>
  <si>
    <t>HEY AND ASSOC., INC.</t>
  </si>
  <si>
    <t>Hg Consult, Inc.</t>
  </si>
  <si>
    <t>HITCHCOCK DESIGN GROUP</t>
  </si>
  <si>
    <t>HOLCOMB FOUNDATION ENGINEERING CO.</t>
  </si>
  <si>
    <t>HORNER &amp; SHIFRIN, INC.</t>
  </si>
  <si>
    <t>HR Green, Inc.</t>
  </si>
  <si>
    <t xml:space="preserve">HRV Conformance Verification Associates, Inc. </t>
  </si>
  <si>
    <t>HURST-ROSCHE, INC.</t>
  </si>
  <si>
    <t>HUTCHISON ENGINEERING, INC.</t>
  </si>
  <si>
    <t>Illinois Construction &amp; Environmental Consulting, Inc.</t>
  </si>
  <si>
    <t>IMAGES, INC.</t>
  </si>
  <si>
    <t>INFRASTRUCTURE ENGINEERING, INC.</t>
  </si>
  <si>
    <t>Innleadair, LLC</t>
  </si>
  <si>
    <t>INTERRA, Inc.</t>
  </si>
  <si>
    <t>Iteris, Inc.</t>
  </si>
  <si>
    <t>J.T. Blankinship Inc</t>
  </si>
  <si>
    <t>JACOBS ENGINEERING GROUP, INC.</t>
  </si>
  <si>
    <t>JANSSEN &amp; SPAANS ENGINEERING, INC.</t>
  </si>
  <si>
    <t>Johnson Lasky Kindelin Architects, Inc.</t>
  </si>
  <si>
    <t>JORGENSEN &amp; ASSOC., INC.</t>
  </si>
  <si>
    <t>JT Engineering, Inc.</t>
  </si>
  <si>
    <t>Juli Ordower Landscape Architecture LLC</t>
  </si>
  <si>
    <t>JUNEAU ASSOC., INC., P.C.</t>
  </si>
  <si>
    <t>Kaletech</t>
  </si>
  <si>
    <t>KASKASKIA ENGINEERING GROUP, LLC</t>
  </si>
  <si>
    <t>KDM Engineering, PLLC</t>
  </si>
  <si>
    <t>KENIG LINDGREN OHARA ABOONA (KLOA)</t>
  </si>
  <si>
    <t>KIMLEY-HORN AND ASSOC., INC.</t>
  </si>
  <si>
    <t>KLINGNER &amp; ASSOC., P.C.</t>
  </si>
  <si>
    <t>KPFF, Inc. dba KPFF Consulting Engineers</t>
  </si>
  <si>
    <t>KTA-TATOR, INC.</t>
  </si>
  <si>
    <t>Kuhn &amp; Trello Consulting Engineers, LLC</t>
  </si>
  <si>
    <t>LAKESHORE ENGINEERING, LLC</t>
  </si>
  <si>
    <t xml:space="preserve">Lakeside Engineers, LLC. </t>
  </si>
  <si>
    <t xml:space="preserve">Larson Engineering, Inc. </t>
  </si>
  <si>
    <t>LEGAT ARCHITECTS, INC.</t>
  </si>
  <si>
    <t>LIN ENGINEERING, LTD.</t>
  </si>
  <si>
    <t>LIN, T. Y. INTERN.GREAT LAKES, INC.</t>
  </si>
  <si>
    <t>Lochmueller Group, Inc.</t>
  </si>
  <si>
    <t>LOCHNER, H. W., INC.</t>
  </si>
  <si>
    <t>M SQUARED ENGINEERING, LLC</t>
  </si>
  <si>
    <t>M. GINGERICH GEREAUX &amp; ASSOCIATES</t>
  </si>
  <si>
    <t>M3 ENGINEERING GROUP, P.C.</t>
  </si>
  <si>
    <t>MACKIE CONSULTANTS, LLC</t>
  </si>
  <si>
    <t>MARCHESE AND SONS, INC.</t>
  </si>
  <si>
    <t>Marr Arnold Planning, LLC</t>
  </si>
  <si>
    <t>MARTIN, RUSSELL W. ENGINEERING P.C.</t>
  </si>
  <si>
    <t>MASON, DAVID &amp; ASSOC., INC.</t>
  </si>
  <si>
    <t>MASSIE, MASSIE &amp; ASSOC., INC.</t>
  </si>
  <si>
    <t>MATERIAL SERVICE TESTING, INC.</t>
  </si>
  <si>
    <t>MATERIAL SOLUTIONS LABORATORY CORP.</t>
  </si>
  <si>
    <t>MAURER-STUTZ, INC.</t>
  </si>
  <si>
    <t>McMahon Associates, Inc.</t>
  </si>
  <si>
    <t>Mead and Hunt, Inc.</t>
  </si>
  <si>
    <t>MECO ENGINEERING COMPANY, INC.</t>
  </si>
  <si>
    <t>Metro Strategies Group, LLC</t>
  </si>
  <si>
    <t>Michael Baker International, Inc.</t>
  </si>
  <si>
    <t>MIDLAND STANDARD ENG. &amp; TESTING</t>
  </si>
  <si>
    <t>MIDWEST ENGINEERING &amp; TESTING, INC.</t>
  </si>
  <si>
    <t>MIDWEST ENGINEERING ASSOC. INC.</t>
  </si>
  <si>
    <t>MILANO &amp; GRUNLOH ENGRS., LLC</t>
  </si>
  <si>
    <t>MILLENNIA PROF. SERVICES, LTD.</t>
  </si>
  <si>
    <t>MODJESKI &amp; MASTERS, INC.</t>
  </si>
  <si>
    <t>Mott MacDonald, LLC</t>
  </si>
  <si>
    <t>MSA PROFESSIONAL SERVICES, INC</t>
  </si>
  <si>
    <t>MTJ Engineering LLC</t>
  </si>
  <si>
    <t>MULLER &amp; MULLER, LTD.</t>
  </si>
  <si>
    <t>Muse Community + Design</t>
  </si>
  <si>
    <t>NASHnal Soil Testing, LLC</t>
  </si>
  <si>
    <t>NOVOTNY, FRANK &amp; ASSOCIATES, INC.</t>
  </si>
  <si>
    <t>OATES ASSOC., INC.</t>
  </si>
  <si>
    <t>ORION ENGINEERS LLC</t>
  </si>
  <si>
    <t>OSEH INC.</t>
  </si>
  <si>
    <t>PARSONS TRANSPORTATION GROUP, INC.</t>
  </si>
  <si>
    <t>PATRICK ENGINEERING, INC.</t>
  </si>
  <si>
    <t>PDF Engineering, LLC</t>
  </si>
  <si>
    <t>PERALTE-CLARK LLC</t>
  </si>
  <si>
    <t>Piggush Engineering, Inc.</t>
  </si>
  <si>
    <t>Pin Point Precision</t>
  </si>
  <si>
    <t>POSTL - YORE AND ASSOCIATES, INC</t>
  </si>
  <si>
    <t>Prairie Engineers, P.C.</t>
  </si>
  <si>
    <t>PRIMERA ENGINEERS, LTD.</t>
  </si>
  <si>
    <t xml:space="preserve">Princeton Technical Services, Inc. </t>
  </si>
  <si>
    <t>Program Management &amp; Control Services, LLC (PMCS)</t>
  </si>
  <si>
    <t>QRSE, LLC</t>
  </si>
  <si>
    <t>Quandel Consultants, Inc.</t>
  </si>
  <si>
    <t>QUIGG ENGINEERING, INC.</t>
  </si>
  <si>
    <t>R &amp; G ENGINEERING, LLC</t>
  </si>
  <si>
    <t>Range Engineering Inc</t>
  </si>
  <si>
    <t>RENWICK &amp; ASSOC., INC.</t>
  </si>
  <si>
    <t>RJN GROUP, INC.</t>
  </si>
  <si>
    <t>ROBINSON ENGINEERING, LTD.</t>
  </si>
  <si>
    <t>RS&amp;H, Inc.</t>
  </si>
  <si>
    <t>RTM Engineering Consultants, LLC</t>
  </si>
  <si>
    <t>RUBINO ENGINEERING, INC.</t>
  </si>
  <si>
    <t>RUBINOS &amp; MESIA ENGINEERS, INC.</t>
  </si>
  <si>
    <t>Sam Schwartz Engineering, D.P.C</t>
  </si>
  <si>
    <t>SANCHEZ &amp; ASSOCIATES, P.C.</t>
  </si>
  <si>
    <t>SCI ENGINEERING, INC.</t>
  </si>
  <si>
    <t>SE3, LLC</t>
  </si>
  <si>
    <t>SHANNON &amp; WILSON, INC.</t>
  </si>
  <si>
    <t>SHAWNEE SURVEY &amp; CONSULTING, INC.</t>
  </si>
  <si>
    <t>SHEPPARD, MORGAN &amp; SCHWAAB, INC.</t>
  </si>
  <si>
    <t>SHIVE-HATTERY, INC</t>
  </si>
  <si>
    <t>Simpson Gumpertz &amp; Heger lnc.</t>
  </si>
  <si>
    <t>SINGH &amp; ASSOC., INC.</t>
  </si>
  <si>
    <t>SKS Engineers LLC</t>
  </si>
  <si>
    <t>SmithGroup, Inc.</t>
  </si>
  <si>
    <t>SOIL AND MATERIAL CONSULTANTS, INC.</t>
  </si>
  <si>
    <t>SPAAN TECH, INC.</t>
  </si>
  <si>
    <t>SPACECO, INC.</t>
  </si>
  <si>
    <t>SQN ASSOCIATES, LLC</t>
  </si>
  <si>
    <t>SRF CONSULTING GROUP, INC</t>
  </si>
  <si>
    <t>STANTEC CONSULTING SERVICES</t>
  </si>
  <si>
    <t>State Materials Engineering, LLC (DBA S.T.A.T.E. Testing, LLC</t>
  </si>
  <si>
    <t>STERLIN, DB CONSULTANTS, INC.</t>
  </si>
  <si>
    <t>STRAND ASSOC., INC.</t>
  </si>
  <si>
    <t>Strategic Value Solutions, Inc.</t>
  </si>
  <si>
    <t>STV Architects, Inc.</t>
  </si>
  <si>
    <t>STV INCORPORATED</t>
  </si>
  <si>
    <t>Surveying and Mapping, LLC</t>
  </si>
  <si>
    <t>SW CONSULTING &amp; ENGINEERING SERVICES, LLC dba SWE SOLUTIONS</t>
  </si>
  <si>
    <t>T&amp;I Engineers, LLC</t>
  </si>
  <si>
    <t>T2 UES, Inc.</t>
  </si>
  <si>
    <t>Talman Consultants LLC</t>
  </si>
  <si>
    <t>TECMA ASSOCIATES</t>
  </si>
  <si>
    <t>TERRA ENGINEERING, LTD.</t>
  </si>
  <si>
    <t>TERRACON CONSULTANTS, INC.</t>
  </si>
  <si>
    <t>TESKA ASSOC., INC.</t>
  </si>
  <si>
    <t>TESTING SERVICE CORPORATION</t>
  </si>
  <si>
    <t>The Aviation Planning Group, LLC</t>
  </si>
  <si>
    <t>The HOH Group, Inc.</t>
  </si>
  <si>
    <t>THE LAKOTA GROUP, INC.</t>
  </si>
  <si>
    <t>THOMAS ENGINEERING GROUP, LLC</t>
  </si>
  <si>
    <t>Thompson Civil, LLC</t>
  </si>
  <si>
    <t>THOMSON SURVEYING, LTD.</t>
  </si>
  <si>
    <t>THOUVENOT, WADE AND MOERCHEN, INC.</t>
  </si>
  <si>
    <t>TKDA(TOLTZ, KING, DUVALL, ANDERSON)</t>
  </si>
  <si>
    <t>TOWER ENGINEERING GROUP, LLC</t>
  </si>
  <si>
    <t>TransLand Engineering Group, LLC</t>
  </si>
  <si>
    <t>TRANSYSTEMS CORPORATION</t>
  </si>
  <si>
    <t>TREKK Design Group, LLC</t>
  </si>
  <si>
    <t>TROTTER AND ASSOCIATES, INC.</t>
  </si>
  <si>
    <t>True North Consultants, Inc.</t>
  </si>
  <si>
    <t>UPCHURCH GROUP, The,  INC.</t>
  </si>
  <si>
    <t>UPLAND DESIGN LTD.</t>
  </si>
  <si>
    <t xml:space="preserve">V3 Companies, Ltd. </t>
  </si>
  <si>
    <t>VANDERSTAPPEN SURVEYING, INC.</t>
  </si>
  <si>
    <t>VEENSTRA &amp; KIMM, INC.</t>
  </si>
  <si>
    <t>Volkert, Inc.</t>
  </si>
  <si>
    <t>WANG ENGINEERING, INC.</t>
  </si>
  <si>
    <t>WATTS, J. A., INC.</t>
  </si>
  <si>
    <t>WBK Engineering, LLC</t>
  </si>
  <si>
    <t>Weis Design Group</t>
  </si>
  <si>
    <t>WESTBROOK ASSOCIATED ENGINEERS INC.</t>
  </si>
  <si>
    <t>WESTON SOLUTIONS, INC</t>
  </si>
  <si>
    <t>Westwood Professional Services, Inc.</t>
  </si>
  <si>
    <t>WGI, Inc.</t>
  </si>
  <si>
    <t>WHKS &amp; CO.</t>
  </si>
  <si>
    <t>Wi-Skies, LLC</t>
  </si>
  <si>
    <t>WIGHT AND COMPANY</t>
  </si>
  <si>
    <t>WILLETT, HOFMANN &amp; ASSOC., INC.</t>
  </si>
  <si>
    <t>WISS, JANNEY, ELSTNER ASSOC., INC</t>
  </si>
  <si>
    <t>WOOLPERT, INC.</t>
  </si>
  <si>
    <t>WSP USA Inc.</t>
  </si>
  <si>
    <t>Report: Consultants Pre-qualifications EXCEL</t>
  </si>
  <si>
    <t>Row Labels</t>
  </si>
  <si>
    <t>Total Firms</t>
  </si>
  <si>
    <t>Total DBE Firms</t>
  </si>
  <si>
    <t xml:space="preserve"># Firms:   </t>
  </si>
  <si>
    <t>SUMMARY</t>
  </si>
  <si>
    <t>Data as of:</t>
  </si>
  <si>
    <t>IL</t>
  </si>
  <si>
    <t>Lombard</t>
  </si>
  <si>
    <t>Lisle</t>
  </si>
  <si>
    <t>Lincolnshire</t>
  </si>
  <si>
    <t>St. Charles</t>
  </si>
  <si>
    <t>MO</t>
  </si>
  <si>
    <t>Saint Paul</t>
  </si>
  <si>
    <t>MN</t>
  </si>
  <si>
    <t>Indianapolis</t>
  </si>
  <si>
    <t>IN</t>
  </si>
  <si>
    <t>DOWNERS GROVE</t>
  </si>
  <si>
    <t>Springfield</t>
  </si>
  <si>
    <t>Lincolnwood</t>
  </si>
  <si>
    <t>Nashville</t>
  </si>
  <si>
    <t>Schaumburg</t>
  </si>
  <si>
    <t>Urbana</t>
  </si>
  <si>
    <t>Champaign</t>
  </si>
  <si>
    <t>Arlington Heights</t>
  </si>
  <si>
    <t>Loves Park</t>
  </si>
  <si>
    <t>Chapin</t>
  </si>
  <si>
    <t>Northbrook</t>
  </si>
  <si>
    <t>Eau Claire</t>
  </si>
  <si>
    <t>WI</t>
  </si>
  <si>
    <t>Paducah</t>
  </si>
  <si>
    <t>KY</t>
  </si>
  <si>
    <t>Jefferson City</t>
  </si>
  <si>
    <t>Crystal Lake</t>
  </si>
  <si>
    <t>Jacksonville</t>
  </si>
  <si>
    <t>Decatur</t>
  </si>
  <si>
    <t>Milwaukee</t>
  </si>
  <si>
    <t>VA</t>
  </si>
  <si>
    <t>Belleville</t>
  </si>
  <si>
    <t>Harrisburg</t>
  </si>
  <si>
    <t>TN</t>
  </si>
  <si>
    <t>Galesburg</t>
  </si>
  <si>
    <t>Rosemont</t>
  </si>
  <si>
    <t>Rockville</t>
  </si>
  <si>
    <t>MD</t>
  </si>
  <si>
    <t>St. Louis</t>
  </si>
  <si>
    <t>Oakbrook Terrace</t>
  </si>
  <si>
    <t>Aurora</t>
  </si>
  <si>
    <t>Madison</t>
  </si>
  <si>
    <t>Belvidere</t>
  </si>
  <si>
    <t>Elk Grove Village</t>
  </si>
  <si>
    <t>Peru</t>
  </si>
  <si>
    <t>Thornton</t>
  </si>
  <si>
    <t>Naperville</t>
  </si>
  <si>
    <t>Saint Louis</t>
  </si>
  <si>
    <t>Itasca</t>
  </si>
  <si>
    <t>Joliet</t>
  </si>
  <si>
    <t>Marion</t>
  </si>
  <si>
    <t>Carterville</t>
  </si>
  <si>
    <t>Burr Ridge</t>
  </si>
  <si>
    <t>Peoria</t>
  </si>
  <si>
    <t>Palatine</t>
  </si>
  <si>
    <t>Buffalo Grove</t>
  </si>
  <si>
    <t>Chesterfield</t>
  </si>
  <si>
    <t>Sugar Grove</t>
  </si>
  <si>
    <t>Warrenville</t>
  </si>
  <si>
    <t>Bloomington</t>
  </si>
  <si>
    <t>Rockford</t>
  </si>
  <si>
    <t>Oak Park</t>
  </si>
  <si>
    <t>Downers Grove</t>
  </si>
  <si>
    <t>Frankfort</t>
  </si>
  <si>
    <t>Lenexa</t>
  </si>
  <si>
    <t>KS</t>
  </si>
  <si>
    <t>Boca Raton</t>
  </si>
  <si>
    <t>FL</t>
  </si>
  <si>
    <t>Memphis</t>
  </si>
  <si>
    <t>Vernon Hills</t>
  </si>
  <si>
    <t>NY</t>
  </si>
  <si>
    <t>Elgin</t>
  </si>
  <si>
    <t>Westchester</t>
  </si>
  <si>
    <t>New York</t>
  </si>
  <si>
    <t>Hillside</t>
  </si>
  <si>
    <t>East Dundee</t>
  </si>
  <si>
    <t>Jerseyville</t>
  </si>
  <si>
    <t>Breese</t>
  </si>
  <si>
    <t>Peoria Heights</t>
  </si>
  <si>
    <t>Volo</t>
  </si>
  <si>
    <t>Kansas City</t>
  </si>
  <si>
    <t>Carbondale</t>
  </si>
  <si>
    <t>O'Fallon</t>
  </si>
  <si>
    <t>Moon Township</t>
  </si>
  <si>
    <t>PA</t>
  </si>
  <si>
    <t>Hillsboro</t>
  </si>
  <si>
    <t>Wheeling</t>
  </si>
  <si>
    <t>Dubuque</t>
  </si>
  <si>
    <t>IA</t>
  </si>
  <si>
    <t>Rolling Meadows</t>
  </si>
  <si>
    <t>Bolingbrook</t>
  </si>
  <si>
    <t>Murphysboro</t>
  </si>
  <si>
    <t>Indianapoils</t>
  </si>
  <si>
    <t>Lake Villa</t>
  </si>
  <si>
    <t>Hobart</t>
  </si>
  <si>
    <t>Granite City</t>
  </si>
  <si>
    <t>Quincy</t>
  </si>
  <si>
    <t>Paris</t>
  </si>
  <si>
    <t>Evanston</t>
  </si>
  <si>
    <t>Pittsburgh</t>
  </si>
  <si>
    <t>Wauwatosa</t>
  </si>
  <si>
    <t>OH</t>
  </si>
  <si>
    <t>Westmont</t>
  </si>
  <si>
    <t>Bradley</t>
  </si>
  <si>
    <t>Roselle</t>
  </si>
  <si>
    <t>Ames</t>
  </si>
  <si>
    <t>Neenah</t>
  </si>
  <si>
    <t>Middleton</t>
  </si>
  <si>
    <t xml:space="preserve">Pittsfield </t>
  </si>
  <si>
    <t>South Elgin</t>
  </si>
  <si>
    <t>East Peoria</t>
  </si>
  <si>
    <t>Effingham</t>
  </si>
  <si>
    <t>Morton</t>
  </si>
  <si>
    <t>Plainfield</t>
  </si>
  <si>
    <t>Willowbrook</t>
  </si>
  <si>
    <t>Collinsville</t>
  </si>
  <si>
    <t>Wheaton</t>
  </si>
  <si>
    <t>Glenview</t>
  </si>
  <si>
    <t>Island lake</t>
  </si>
  <si>
    <t>Columbia</t>
  </si>
  <si>
    <t>La Grange</t>
  </si>
  <si>
    <t>HI</t>
  </si>
  <si>
    <t>Sheboygan Falls</t>
  </si>
  <si>
    <t>Ottawa</t>
  </si>
  <si>
    <t>Vienna</t>
  </si>
  <si>
    <t>Alton</t>
  </si>
  <si>
    <t>Edwardsville</t>
  </si>
  <si>
    <t>Minneapolis</t>
  </si>
  <si>
    <t>Lee's Summit</t>
  </si>
  <si>
    <t>Hoffman Estates</t>
  </si>
  <si>
    <t>Ashland</t>
  </si>
  <si>
    <t>Glendale Heights</t>
  </si>
  <si>
    <t>Carol Stream</t>
  </si>
  <si>
    <t>Fredericksburg</t>
  </si>
  <si>
    <t>Swansea</t>
  </si>
  <si>
    <t>Saint Charles</t>
  </si>
  <si>
    <t>Mattoon</t>
  </si>
  <si>
    <t>Woodridge</t>
  </si>
  <si>
    <t>Woodstock</t>
  </si>
  <si>
    <t>Ellisville</t>
  </si>
  <si>
    <t>Dixon</t>
  </si>
  <si>
    <t>Spring Green</t>
  </si>
  <si>
    <t>Las Vegas</t>
  </si>
  <si>
    <t>NV</t>
  </si>
  <si>
    <t>West Palm Beach</t>
  </si>
  <si>
    <t xml:space="preserve">Springfield </t>
  </si>
  <si>
    <t>Spanish Fort</t>
  </si>
  <si>
    <t>AL</t>
  </si>
  <si>
    <t>Darien</t>
  </si>
  <si>
    <t>Dayton</t>
  </si>
  <si>
    <t>CITY</t>
  </si>
  <si>
    <t>STATE</t>
  </si>
  <si>
    <t>CONCATE</t>
  </si>
  <si>
    <t xml:space="preserve"> &lt;---REFRESH</t>
  </si>
  <si>
    <t>Honolulu, HI</t>
  </si>
  <si>
    <t>CITY, STATE</t>
  </si>
  <si>
    <t>MORRIS ENGINEERING, INC.</t>
  </si>
  <si>
    <t>TX</t>
  </si>
  <si>
    <t>Baysinger Architects, LLC</t>
  </si>
  <si>
    <t>HUFF &amp; HUFF, INC.</t>
  </si>
  <si>
    <t>Oak Brook</t>
  </si>
  <si>
    <t>KAD Engineering PLLC</t>
  </si>
  <si>
    <t>Bettendorf</t>
  </si>
  <si>
    <t>STANLEY CONSULTANTS, INC.</t>
  </si>
  <si>
    <t>GEOTILL. Inc.</t>
  </si>
  <si>
    <t>Fishers</t>
  </si>
  <si>
    <t>NV5 Geospatial, Inc.</t>
  </si>
  <si>
    <t>Short-Elliott-Hendrickson, Incorporated</t>
  </si>
  <si>
    <t>#</t>
  </si>
  <si>
    <t>DBE</t>
  </si>
  <si>
    <t>NON DBE</t>
  </si>
  <si>
    <t>AURORA</t>
  </si>
  <si>
    <t>ASM CONSULTANTS, INC.</t>
  </si>
  <si>
    <t>Batavia</t>
  </si>
  <si>
    <t>Allied Engineering P.C.</t>
  </si>
  <si>
    <t>SDI ENGR</t>
  </si>
  <si>
    <t>Deerfield</t>
  </si>
  <si>
    <t>KALGEN CONSULTANTS, INC.</t>
  </si>
  <si>
    <t>MAS Engineering PLLC</t>
  </si>
  <si>
    <t>APPLIED PAVEMENT TECHNOLOGY, INC.</t>
  </si>
  <si>
    <t>BEAMAN INCORPORATED</t>
  </si>
  <si>
    <t>DB Engineering &amp; Consulting USA Inc.</t>
  </si>
  <si>
    <t>JACOBS/RYAN ASSOCIATES</t>
  </si>
  <si>
    <t>Origin Design Co.</t>
  </si>
  <si>
    <t>Resource Systems Group, Inc.</t>
  </si>
  <si>
    <t>White River Junction</t>
  </si>
  <si>
    <t>VT</t>
  </si>
  <si>
    <t>Valdes Engineering Company</t>
  </si>
  <si>
    <t>EMAIL</t>
  </si>
  <si>
    <t>luis.m@2imgroup.com</t>
  </si>
  <si>
    <t>ralrousan@4hdconsultants.com</t>
  </si>
  <si>
    <t>Alisa@A3E.com</t>
  </si>
  <si>
    <t>rborenstein@aaaengineering.net</t>
  </si>
  <si>
    <t>businessadmin@abnacorp.com</t>
  </si>
  <si>
    <t>jhomedi@accgi.com</t>
  </si>
  <si>
    <t>eyad@acgintl.com</t>
  </si>
  <si>
    <t>tim.whalen@aecom.com</t>
  </si>
  <si>
    <t>sayeed87@gmail.com</t>
  </si>
  <si>
    <t>hmohammed@americanengconsultants.com</t>
  </si>
  <si>
    <t>ccanfield@structurepoint.com</t>
  </si>
  <si>
    <t>c.fidis@americansurvey.com</t>
  </si>
  <si>
    <t>ahsan.siddiqi@amesengineeringinc.com</t>
  </si>
  <si>
    <t>kliss@andrews-eng.com</t>
  </si>
  <si>
    <t>dbrazil@apexconsults.com</t>
  </si>
  <si>
    <t>gary@apisurvey.com</t>
  </si>
  <si>
    <t>prequal@appliedpavement.com</t>
  </si>
  <si>
    <t>jmitchaner@ara.com</t>
  </si>
  <si>
    <t>sjoshi@apsae.com</t>
  </si>
  <si>
    <t>gparadoski@aqua-vitaegroup.com</t>
  </si>
  <si>
    <t>ryans@arcdesign.com</t>
  </si>
  <si>
    <t>nlevans@artisancivil.com</t>
  </si>
  <si>
    <t>advanced@advct.com</t>
  </si>
  <si>
    <t>nhomedi@aegroupltd.com</t>
  </si>
  <si>
    <t>braunp@ayresassociates.com</t>
  </si>
  <si>
    <t>mworkman@bfwengineers.com</t>
  </si>
  <si>
    <t>todd.kempker@bartwest.com</t>
  </si>
  <si>
    <t>jambrose@baxterwoodman.com</t>
  </si>
  <si>
    <t>michael@baysingerarchitects.com</t>
  </si>
  <si>
    <t>rbeaman@beamaninc.com</t>
  </si>
  <si>
    <t>akeaschall@benesch.com</t>
  </si>
  <si>
    <t>info@bentonassociates.com</t>
  </si>
  <si>
    <t>eclancy@bernsclancy.com</t>
  </si>
  <si>
    <t>dbruckelmeyer@bla-inc.com</t>
  </si>
  <si>
    <t>mhannemann@bowman.com</t>
  </si>
  <si>
    <t>jkozial@bravocoeng.com</t>
  </si>
  <si>
    <t>jwb@brownandroberts.com</t>
  </si>
  <si>
    <t>asw@bczengineering.com</t>
  </si>
  <si>
    <t>mkerr@cbbel.com</t>
  </si>
  <si>
    <t>tmccay@burnsmcd.com</t>
  </si>
  <si>
    <t>smease@ccjm.com</t>
  </si>
  <si>
    <t>Cambridge Systematics, Inc.</t>
  </si>
  <si>
    <t>Medford</t>
  </si>
  <si>
    <t>MA</t>
  </si>
  <si>
    <t>scapecci@camsys.com</t>
  </si>
  <si>
    <t>syanamanamanda@cbbtraffic.com</t>
  </si>
  <si>
    <t>jmclaren@ccsdifference.com</t>
  </si>
  <si>
    <t>jellington@cdgengineers.com</t>
  </si>
  <si>
    <t>pasinskiss@cdmsmith.com</t>
  </si>
  <si>
    <t>mattw@cemcon.com</t>
  </si>
  <si>
    <t>najim@cepcompany.com</t>
  </si>
  <si>
    <t>svaughn@cerasolutions.com</t>
  </si>
  <si>
    <t>kevin.bunge@civilideas.com</t>
  </si>
  <si>
    <t>pkpatel@cgmtinc.com</t>
  </si>
  <si>
    <t>dand@chamlin.com</t>
  </si>
  <si>
    <t>jbuening@chastainengineers.com</t>
  </si>
  <si>
    <t>Pyerkes@Chicagotestinglab.com</t>
  </si>
  <si>
    <t>eileenc@rmchin.com</t>
  </si>
  <si>
    <t>sdibernardo@ciorba.com</t>
  </si>
  <si>
    <t>vlarose@civildesigninc.com</t>
  </si>
  <si>
    <t>jvana@civiltechinc.com</t>
  </si>
  <si>
    <t>mwhiteside@ckleng.com</t>
  </si>
  <si>
    <t>rwhite@cwasurvey.com</t>
  </si>
  <si>
    <t>jerry.payonk@clarkdietz.com</t>
  </si>
  <si>
    <t>jhamelka@collinsengr.com</t>
  </si>
  <si>
    <t>hbelgio@clsurveying.com</t>
  </si>
  <si>
    <t>a.cotter@cotterconsulting.com</t>
  </si>
  <si>
    <t>rodney.potts@yahoo.com</t>
  </si>
  <si>
    <t>rdriskell@cmtengr.com</t>
  </si>
  <si>
    <t>kim@cumminsengineering.com</t>
  </si>
  <si>
    <t>Paul.Lopez@czaplickilopez.com</t>
  </si>
  <si>
    <t>fcdescoto@descotoinc.com</t>
  </si>
  <si>
    <t>bhafeez@damaconsultants.com</t>
  </si>
  <si>
    <t>scoleman@davidengcorp.com</t>
  </si>
  <si>
    <t>shujak@deg-america.com</t>
  </si>
  <si>
    <t>chicago@dceint.com</t>
  </si>
  <si>
    <t>gthay@design9.com</t>
  </si>
  <si>
    <t>mbreitbach@dewberry.com</t>
  </si>
  <si>
    <t>jzwierzynski@dlz.com</t>
  </si>
  <si>
    <t>kschmiegel@dlz.com</t>
  </si>
  <si>
    <t>ddoland@dolandengineering.com</t>
  </si>
  <si>
    <t>zchen@dynastygrp.com</t>
  </si>
  <si>
    <t>clopez@ecslimited.com</t>
  </si>
  <si>
    <t>llmoen@efkmoen.com</t>
  </si>
  <si>
    <t>dlw@engdesignsource.com</t>
  </si>
  <si>
    <t>bsanderson@eeiweb.com</t>
  </si>
  <si>
    <t>jmayer@eraconsultants.com</t>
  </si>
  <si>
    <t>imtiaz@esgcorp.us</t>
  </si>
  <si>
    <t>lsawyer@envdesigni.com</t>
  </si>
  <si>
    <t>tsmiles@epsteinglobal.com</t>
  </si>
  <si>
    <t>elh@escaconsultants.com</t>
  </si>
  <si>
    <t>brian.umbright@exp.com</t>
  </si>
  <si>
    <t>smathew@facetengineering.net</t>
  </si>
  <si>
    <t>ebachman@f-w.com</t>
  </si>
  <si>
    <t>jon@foundationmech.com</t>
  </si>
  <si>
    <t>gfuhrmann@fuhrmann-eng.com</t>
  </si>
  <si>
    <t>dpgandhi@pkgandhi.com</t>
  </si>
  <si>
    <t>brenda.karhoff@gke-llc.com</t>
  </si>
  <si>
    <t>melberts@geconsultllc.com</t>
  </si>
  <si>
    <t>rrusk@geiconsultants.com</t>
  </si>
  <si>
    <t>julianrueda@geoservicesinc.net</t>
  </si>
  <si>
    <t>jzabrocki@reltd.com</t>
  </si>
  <si>
    <t>smoeder@gbateam.com</t>
  </si>
  <si>
    <t>ktownsend@geotechnology.com</t>
  </si>
  <si>
    <t>msmadi@geotill.com</t>
  </si>
  <si>
    <t>apenn@gha-engineers.com</t>
  </si>
  <si>
    <t>marketing@gec-group.com</t>
  </si>
  <si>
    <t>peter.johnston@graef-usa.com</t>
  </si>
  <si>
    <t>Kashif.Syed@gnbil.com</t>
  </si>
  <si>
    <t>asassila@gsg-consultants.com</t>
  </si>
  <si>
    <t>rashed@gulaidce.com</t>
  </si>
  <si>
    <t>asosa@hntb.com</t>
  </si>
  <si>
    <t>jlyon@hlreng.com</t>
  </si>
  <si>
    <t>dstreichel@ehancock.com</t>
  </si>
  <si>
    <t>pskelton@hardestyhanover.com</t>
  </si>
  <si>
    <t>bturk@hbkengineering.com</t>
  </si>
  <si>
    <t>hayat.issa@hbmeng.com</t>
  </si>
  <si>
    <t>Thomas.Hein@hdrinc.com</t>
  </si>
  <si>
    <t>writeranh@gmail.com</t>
  </si>
  <si>
    <t>will.watkins@helixengineeringllc.com</t>
  </si>
  <si>
    <t>bhummert@hmgengineers.com</t>
  </si>
  <si>
    <t>ahermann@hermannassoc.com</t>
  </si>
  <si>
    <t>volo@heyassoc.com</t>
  </si>
  <si>
    <t>eharrison@hgcons.com</t>
  </si>
  <si>
    <t>binman@hitchcockdesigngroup.com</t>
  </si>
  <si>
    <t>beriechmann@hornershifrin.com</t>
  </si>
  <si>
    <t>amrowicki@hrgreen.com</t>
  </si>
  <si>
    <t>hrstachel@hrvinc.com</t>
  </si>
  <si>
    <t>margaret.panatera@gza.com</t>
  </si>
  <si>
    <t>jroth@hurst-rosche.com</t>
  </si>
  <si>
    <t>chamano@iceillinois.com</t>
  </si>
  <si>
    <t>tracy.morse@imagesinc.net</t>
  </si>
  <si>
    <t>peter.stephenson@innleadair.com</t>
  </si>
  <si>
    <t>dsrao@interraservices.com</t>
  </si>
  <si>
    <t>CAchillides@iteris.com</t>
  </si>
  <si>
    <t>t.beggs@jtblankinship.com</t>
  </si>
  <si>
    <t>tryan@jacobsryan.com</t>
  </si>
  <si>
    <t>bslagle@jsengr.com</t>
  </si>
  <si>
    <t>mkindelin@jlkarch.com</t>
  </si>
  <si>
    <t>dougs@jt-engineering.com</t>
  </si>
  <si>
    <t>juli@juliordower.com</t>
  </si>
  <si>
    <t>pbridges@jaipc.com</t>
  </si>
  <si>
    <t>lien.dastgir@kadengineeringgroup.com</t>
  </si>
  <si>
    <t>kaletechllc@gmail.com</t>
  </si>
  <si>
    <t>atri@kalgeninc.com</t>
  </si>
  <si>
    <t>gboyer@kaskaskiaeng.com</t>
  </si>
  <si>
    <t>mwerthmann@kloainc.com</t>
  </si>
  <si>
    <t>Sagar.Sonar@Kimley-Horn.com</t>
  </si>
  <si>
    <t>scott.wyatt@kpff.com</t>
  </si>
  <si>
    <t>kcline@kta.com</t>
  </si>
  <si>
    <t>mtrello@ktengr.com</t>
  </si>
  <si>
    <t>sainath@lse-eng.com</t>
  </si>
  <si>
    <t>kelly.langer@lakesideengineers.com</t>
  </si>
  <si>
    <t>jtinder@larsonengr.com</t>
  </si>
  <si>
    <t>flin@lineng.com</t>
  </si>
  <si>
    <t>daniel.drew@tylin.com</t>
  </si>
  <si>
    <t>ploete@hwlochner.com</t>
  </si>
  <si>
    <t>minal@msquaredengineering.com</t>
  </si>
  <si>
    <t>mging@mg2a.com</t>
  </si>
  <si>
    <t>marjorie.melton@m3eg.com</t>
  </si>
  <si>
    <t>mburke@mackieconsult.com</t>
  </si>
  <si>
    <t>pnm@marchese-sons.com</t>
  </si>
  <si>
    <t>summer@marrarnoldplanning.com</t>
  </si>
  <si>
    <t>pmartin@martinengineeringco.com</t>
  </si>
  <si>
    <t>rmacklin@masengineeringpllc.com</t>
  </si>
  <si>
    <t>tmason@davidmason.com</t>
  </si>
  <si>
    <t>admin@massie-massie-associates.com</t>
  </si>
  <si>
    <t>chamano@mstli.com</t>
  </si>
  <si>
    <t>tiltgesd@msl-corp.com</t>
  </si>
  <si>
    <t>jdspiller@mstutz.com</t>
  </si>
  <si>
    <t>vlutz@mcmgrp.com</t>
  </si>
  <si>
    <t>paul.strege@meadhunt.com</t>
  </si>
  <si>
    <t>mmiddendorf@mecoengineering.com</t>
  </si>
  <si>
    <t>swadia@metrostratgroup.com</t>
  </si>
  <si>
    <t>joseph.catalano@mbakerintl.com</t>
  </si>
  <si>
    <t>dhorton@mweainc.com</t>
  </si>
  <si>
    <t>dgrunloh@mgengineers.com</t>
  </si>
  <si>
    <t>tngo@millennia.pro</t>
  </si>
  <si>
    <t>DWPetermeier@modjeski.com</t>
  </si>
  <si>
    <t>kruhland@msa-ps.com</t>
  </si>
  <si>
    <t>cmuller@muller2.com</t>
  </si>
  <si>
    <t>courtney@musecommunitydesign.com</t>
  </si>
  <si>
    <t>uahmad@nstengr.com</t>
  </si>
  <si>
    <t>tgeary@novotnyengineering.com</t>
  </si>
  <si>
    <t>robert.vandermeer@nv5.com</t>
  </si>
  <si>
    <t>bruce.schopp@oatesassociates.com</t>
  </si>
  <si>
    <t>cfrangos@orionengineersllc.com</t>
  </si>
  <si>
    <t>aattawia@osehinc.com</t>
  </si>
  <si>
    <t>amar.rajpurkar@parsons.com</t>
  </si>
  <si>
    <t>leah.davila@pdfeng.com</t>
  </si>
  <si>
    <t>npiggush@piggusheng.com</t>
  </si>
  <si>
    <t>michael.b@pinpointpe.com</t>
  </si>
  <si>
    <t>bpostl@postl-yore.com</t>
  </si>
  <si>
    <t>lkramer@prairieengineers.com</t>
  </si>
  <si>
    <t>einman@primeraeng.com</t>
  </si>
  <si>
    <t>thughes@princetontechnical.com</t>
  </si>
  <si>
    <t>Sally@pmcsconsulting.com</t>
  </si>
  <si>
    <t>cquandel@quandel.com</t>
  </si>
  <si>
    <t>lquigg@quiggengineering.com</t>
  </si>
  <si>
    <t>RRivera@rgengineering.net</t>
  </si>
  <si>
    <t>jimpatel50@gmail.com</t>
  </si>
  <si>
    <t>renwick@renwick-associates.com</t>
  </si>
  <si>
    <t>proposals@rsginc.com</t>
  </si>
  <si>
    <t>myoung@rjnmail.com</t>
  </si>
  <si>
    <t>james.shaw@rsandh.com</t>
  </si>
  <si>
    <t>matt.whisler@rtmec.com</t>
  </si>
  <si>
    <t>michelle.lipinski@rubinoeng.com</t>
  </si>
  <si>
    <t>rmauch@sciengineering.com</t>
  </si>
  <si>
    <t>dajao@sdiengr.com</t>
  </si>
  <si>
    <t>jmartin@se3.us</t>
  </si>
  <si>
    <t>babernathy@shawneepsi.com</t>
  </si>
  <si>
    <t>bchamplin@smsengineers.com</t>
  </si>
  <si>
    <t>dfortney@sehinc.com</t>
  </si>
  <si>
    <t>nsanderson@sgh.com</t>
  </si>
  <si>
    <t>hkaur@singhinc.com</t>
  </si>
  <si>
    <t>adrienne.lynch@sksengineers.com</t>
  </si>
  <si>
    <t>tjohnson@soilandmaterialconsultants.com</t>
  </si>
  <si>
    <t>submittals@spaantech.com</t>
  </si>
  <si>
    <t>rstawik@spacecoinc.com</t>
  </si>
  <si>
    <t>admin@sqna.com</t>
  </si>
  <si>
    <t>marketing@srfconsulting.com</t>
  </si>
  <si>
    <t>jbehnke@statetestingllc.com</t>
  </si>
  <si>
    <t>rjeune@dbsterlin.com</t>
  </si>
  <si>
    <t>Korene.robinson@svs-inc.com</t>
  </si>
  <si>
    <t>aubrey.tetreault-folmsbee@stvinc.com</t>
  </si>
  <si>
    <t>BEspinosa@sam.biz</t>
  </si>
  <si>
    <t>swong@swe-solutions.com</t>
  </si>
  <si>
    <t>mike.lee@tandiellc.com</t>
  </si>
  <si>
    <t>michael.woods@t2ue.com</t>
  </si>
  <si>
    <t>klatham@talmanconsultants.com</t>
  </si>
  <si>
    <t>manesh@tecmaengineering.com</t>
  </si>
  <si>
    <t>jbousaab@terraengineering.com</t>
  </si>
  <si>
    <t>Linda.Yang@terracon.com</t>
  </si>
  <si>
    <t>svoelz@teskaassociates.com</t>
  </si>
  <si>
    <t>jmassa@tsccorp.com</t>
  </si>
  <si>
    <t>leah@theaviationplanninggroup.com</t>
  </si>
  <si>
    <t>sgarcia@hohgroup.com</t>
  </si>
  <si>
    <t>npetrovic@thelakotagrou.com</t>
  </si>
  <si>
    <t>rashod@ardmoreroderick.com</t>
  </si>
  <si>
    <t>tomg@thomas-engineering.com</t>
  </si>
  <si>
    <t>lorenzo.thompson@tcivil.com</t>
  </si>
  <si>
    <t>dsporina@thomsonltd.com</t>
  </si>
  <si>
    <t>rdeconcini@twm-inc.com</t>
  </si>
  <si>
    <t>matt.christensen@tkda.com</t>
  </si>
  <si>
    <t>ysafo@translandengineering.com</t>
  </si>
  <si>
    <t>cli@transmartinc.com</t>
  </si>
  <si>
    <t>krobinett@trekkdesigngroup.com</t>
  </si>
  <si>
    <t>s.cieslica@trotter-inc.com</t>
  </si>
  <si>
    <t>mschmidt@consulttruenorth.com</t>
  </si>
  <si>
    <t>dhoelscher@upchurchgroup.com</t>
  </si>
  <si>
    <t>mkelly@uplanddesign.com</t>
  </si>
  <si>
    <t>lgallucci@v3co.com</t>
  </si>
  <si>
    <t>bmvaldes@valdeseng.com</t>
  </si>
  <si>
    <t>mhenderson@v-k.net</t>
  </si>
  <si>
    <t>jason.watters@volkert.com</t>
  </si>
  <si>
    <t>ccarter@jwincorporated.com</t>
  </si>
  <si>
    <t>lweis-smith@weisdesigngroup.com</t>
  </si>
  <si>
    <t>aknutson@westbrookeng.com</t>
  </si>
  <si>
    <t>Andris.Slesers@westonsolutions.com</t>
  </si>
  <si>
    <t>cherie.guzman@westwoodps.com</t>
  </si>
  <si>
    <t>sima.narcus@wginc.com</t>
  </si>
  <si>
    <t>ssanford@whks.com</t>
  </si>
  <si>
    <t>joe@wi-skies.com</t>
  </si>
  <si>
    <t>mmcmurray@wightco.com</t>
  </si>
  <si>
    <t>bconverse@willetthofmann.com</t>
  </si>
  <si>
    <t>jmcgormley@wje.com</t>
  </si>
  <si>
    <t>jprinz@reltd.com</t>
  </si>
  <si>
    <t>The Roderick Group, LLC dba Ardmore Roderick</t>
  </si>
  <si>
    <t>Acclaim Collier Engineering</t>
  </si>
  <si>
    <t>lanyea@acclaimcollier.com</t>
  </si>
  <si>
    <t>CUSTOM ENGINEERING, INC.</t>
  </si>
  <si>
    <t>Independence</t>
  </si>
  <si>
    <t>jtdavis@customengr.com</t>
  </si>
  <si>
    <t>Gurnee</t>
  </si>
  <si>
    <t>sjahn@legat.com</t>
  </si>
  <si>
    <t>Synnov Group, Inc.</t>
  </si>
  <si>
    <t>asha.singh@synnovgroup.com</t>
  </si>
  <si>
    <t>AMERICAN SURVEYING &amp; ENGINEERING, Ltd.</t>
  </si>
  <si>
    <t>APPLIED GEOSCIENCE, INCORPORATED</t>
  </si>
  <si>
    <t>adam@appliedgeo.net</t>
  </si>
  <si>
    <t>Added Dimension, LLC.</t>
  </si>
  <si>
    <t>mtaylorcrate@added-dimension.com</t>
  </si>
  <si>
    <t>Morreale Communications</t>
  </si>
  <si>
    <t>Geneva</t>
  </si>
  <si>
    <t>admin@fluidclarity.com</t>
  </si>
  <si>
    <t>H K M Engineers, LLC</t>
  </si>
  <si>
    <t>abdul@hkmeng.com</t>
  </si>
  <si>
    <t>McClure Engineering Co.</t>
  </si>
  <si>
    <t>Clive</t>
  </si>
  <si>
    <t>ssmith@mcclurevision.com</t>
  </si>
  <si>
    <t>vicki@ecivil.com</t>
  </si>
  <si>
    <t>TranSmart, LLC</t>
  </si>
  <si>
    <t>jhutchison@hutchisoneng.com</t>
  </si>
  <si>
    <t>InNova Consulting, Inc.</t>
  </si>
  <si>
    <t>ssaleem@innovaconsultinc.com</t>
  </si>
  <si>
    <t>Onyx Architectural Services</t>
  </si>
  <si>
    <t>vsimpkins@onyxchicago.com</t>
  </si>
  <si>
    <t>NShah@RME-i.com</t>
  </si>
  <si>
    <t>clayton.johanson@db-eco.us</t>
  </si>
  <si>
    <t>ecockerill@donohue-associates.com</t>
  </si>
  <si>
    <t>Kankakee</t>
  </si>
  <si>
    <t>Stantec Architecture Inc.</t>
  </si>
  <si>
    <t>joe.cliggott@stantec.com</t>
  </si>
  <si>
    <t>AtkinsRéalis USA Inc.</t>
  </si>
  <si>
    <t>Braodview</t>
  </si>
  <si>
    <t>Eco Solutions Inc</t>
  </si>
  <si>
    <t>JSAUCEDO@angelo-cs.com</t>
  </si>
  <si>
    <t>kshaikh@arkengrg.com</t>
  </si>
  <si>
    <t>khayes@eco-solinc.com</t>
  </si>
  <si>
    <t>edward.coffey@stvinc.com</t>
  </si>
  <si>
    <t>beth.haun@woolpert.com</t>
  </si>
  <si>
    <t>John.Trotta@wsp.com</t>
  </si>
  <si>
    <t>Guidehouse Inc.</t>
  </si>
  <si>
    <t>rrao@guidehouse.com</t>
  </si>
  <si>
    <t>Ssutton@infrastructure-eng.com</t>
  </si>
  <si>
    <t>ptobias@arorapc.com</t>
  </si>
  <si>
    <t>mtharaniyil@bloomcos.com</t>
  </si>
  <si>
    <t>CHAWLA AND ASSOCIATES, INC.</t>
  </si>
  <si>
    <t>msschawla@outlook.com</t>
  </si>
  <si>
    <t>peter@towerengineeringgroup.com</t>
  </si>
  <si>
    <t>peter.wojtkiewicz@samschwartz.com</t>
  </si>
  <si>
    <t>VIRGINKAR &amp; ASSOCIATES, INC.</t>
  </si>
  <si>
    <t>Fullerton</t>
  </si>
  <si>
    <t>CA</t>
  </si>
  <si>
    <t>qin.james@va-inc.com</t>
  </si>
  <si>
    <t>MGronewold@fehrgraham.com</t>
  </si>
  <si>
    <t>marketing@gocos.net</t>
  </si>
  <si>
    <t>IMEG Consultants Corp.</t>
  </si>
  <si>
    <t>corey.j.stout@imegcorp.com</t>
  </si>
  <si>
    <t>jholzer@vandersinc.com</t>
  </si>
  <si>
    <t>POEPPING, STONE, BACH &amp; ASSOC., INC</t>
  </si>
  <si>
    <t>alia@psba.com</t>
  </si>
  <si>
    <t>10-4 Engineering, PLLC</t>
  </si>
  <si>
    <t>hemal.patel@10-4eng.com</t>
  </si>
  <si>
    <t>Brorsen Appraisal Service, P.C.</t>
  </si>
  <si>
    <t>Bourbonnais</t>
  </si>
  <si>
    <t>mvbrorsen@gmail.com</t>
  </si>
  <si>
    <t>DECA Properties</t>
  </si>
  <si>
    <t>washingtoned48@gmail.com</t>
  </si>
  <si>
    <t>DJ Howard &amp; Associates, Inc.</t>
  </si>
  <si>
    <t>HIGHLAND</t>
  </si>
  <si>
    <t>dhoward@djhowardrea.com</t>
  </si>
  <si>
    <t>Equity Network, Inc</t>
  </si>
  <si>
    <t>New Lenox</t>
  </si>
  <si>
    <t>mark@equitynetwork.com</t>
  </si>
  <si>
    <t>Irving</t>
  </si>
  <si>
    <t>jennifer.drake@railpros.com</t>
  </si>
  <si>
    <t>tristan@holcombengineering.com</t>
  </si>
  <si>
    <t>LARSON AND DARBY, INC.</t>
  </si>
  <si>
    <t>gbuttice@larsondarby.com</t>
  </si>
  <si>
    <t>kmueller@metgeotech.com</t>
  </si>
  <si>
    <t>Potts, Smoot &amp; Crawford Civil Engineering &amp; Land Surveying</t>
  </si>
  <si>
    <t>The Woodard Group, Inc.</t>
  </si>
  <si>
    <t>woodard.jeffrey@gmail.com</t>
  </si>
  <si>
    <t>WSP USA Environment &amp; Infrastructure Inc.</t>
  </si>
  <si>
    <t>Comprehensive Construction Consulting, Inc.</t>
  </si>
  <si>
    <t>ldixon@comprehensivecc.com</t>
  </si>
  <si>
    <t>abystrov@geosyntec.com</t>
  </si>
  <si>
    <t>robert.tipton@stantec.com</t>
  </si>
  <si>
    <t>Saray Design Group, Inc.</t>
  </si>
  <si>
    <t>info@saraydesigngroup.com</t>
  </si>
  <si>
    <t>SHERRILL ASSOC., INC.</t>
  </si>
  <si>
    <t>GROUND ENGINEERING CONSULTANTS INC.</t>
  </si>
  <si>
    <t>safdar_gill@yahoo.com</t>
  </si>
  <si>
    <t>Indigo Ecologica Design, LLC</t>
  </si>
  <si>
    <t>Tower Lakes</t>
  </si>
  <si>
    <t>slibra@indigoecological.com</t>
  </si>
  <si>
    <t>wprigge@msetinc.com</t>
  </si>
  <si>
    <t>RailPros of Illinois</t>
  </si>
  <si>
    <t>Colliers Engineering &amp; Design, Inc.</t>
  </si>
  <si>
    <t>Holmdel</t>
  </si>
  <si>
    <t>NJ</t>
  </si>
  <si>
    <t>Omni Ecosystems</t>
  </si>
  <si>
    <t>Polach Appraisal Group, Inc.</t>
  </si>
  <si>
    <t>Elmhurst</t>
  </si>
  <si>
    <t>WEINBACH, DANIEL &amp; PARTNERS, LTD.</t>
  </si>
  <si>
    <t>bwozniak@cecinc.com</t>
  </si>
  <si>
    <t>maria.thorp@collierseng.com</t>
  </si>
  <si>
    <t>sswango@hanson-inc.com</t>
  </si>
  <si>
    <t>mmeyer@omniecosytems.com</t>
  </si>
  <si>
    <t>Mark@polachappraisal.com</t>
  </si>
  <si>
    <t>wschulenberg@dwpltd.com</t>
  </si>
  <si>
    <t>Mt Zion</t>
  </si>
  <si>
    <t>swallis@bwcinc.com</t>
  </si>
  <si>
    <t>gba Systems Integrators, LLC</t>
  </si>
  <si>
    <t>jgilbert@gbasi.com</t>
  </si>
  <si>
    <t>ses@sherrillassoc.com</t>
  </si>
  <si>
    <t>tony.standish@strand.com</t>
  </si>
  <si>
    <t>Bollman Engineering, PLLC</t>
  </si>
  <si>
    <t>jbollman@bollmaneng.com</t>
  </si>
  <si>
    <t>ebb@klingner.com</t>
  </si>
  <si>
    <t>jason.buenker@shanwil.com</t>
  </si>
  <si>
    <t>jafortmann@transystems.com</t>
  </si>
  <si>
    <t>Bulthuis Realty Consultants, Inc.</t>
  </si>
  <si>
    <t>matt@brcnet.com</t>
  </si>
  <si>
    <t>Goetz Group PLLC</t>
  </si>
  <si>
    <t>theresa@ggstl.com</t>
  </si>
  <si>
    <t>jorgensen@cwasurvey.com</t>
  </si>
  <si>
    <t>Triple D Valuation Services, INC.</t>
  </si>
  <si>
    <t>jdounias@mac.com</t>
  </si>
  <si>
    <t>cfarez@wangeng.com</t>
  </si>
  <si>
    <t>"T" Engineering Service, Ltd.</t>
  </si>
  <si>
    <t>Chicago</t>
  </si>
  <si>
    <t>ktadrowski@tengineering.net</t>
  </si>
  <si>
    <t>1st AEROW Valuation Group</t>
  </si>
  <si>
    <t>smed@1staerow.com</t>
  </si>
  <si>
    <t>D. L. DuBOIS &amp; ASSOCIATES, LTD.</t>
  </si>
  <si>
    <t>Hickory Hills</t>
  </si>
  <si>
    <t>Dan Brown and Associates, LLC</t>
  </si>
  <si>
    <t>Knoxville</t>
  </si>
  <si>
    <t>rthompson@dba.world</t>
  </si>
  <si>
    <t>DELVE UNDERGROUND</t>
  </si>
  <si>
    <t>brouwer@delveunderground.com</t>
  </si>
  <si>
    <t>Executive Real Estate Consulting Services, Inc. (ERCS)</t>
  </si>
  <si>
    <t>j-a.peralte@peralte-clark.com</t>
  </si>
  <si>
    <t>Santacruz Land Acquisitions</t>
  </si>
  <si>
    <t>Northfield</t>
  </si>
  <si>
    <t>jsteve@santacruz-associates.com</t>
  </si>
  <si>
    <t>URBAN PLANNING &amp; DEVELOPMENT</t>
  </si>
  <si>
    <t>gbrown@updc.com</t>
  </si>
  <si>
    <t>Chicago, IL</t>
  </si>
  <si>
    <t>ADO ENGINEERING</t>
  </si>
  <si>
    <t>aoshana@adoengineering.com</t>
  </si>
  <si>
    <t>zhowell@shive-hattery.com</t>
  </si>
  <si>
    <t>False</t>
  </si>
  <si>
    <t>True</t>
  </si>
  <si>
    <t>CHICAGO</t>
  </si>
  <si>
    <t>Los Angeles</t>
  </si>
  <si>
    <t>jacqueline.berger@arcadis.com</t>
  </si>
  <si>
    <t xml:space="preserve">Chicago </t>
  </si>
  <si>
    <t>CBRE, Inc</t>
  </si>
  <si>
    <t xml:space="preserve">Specialty Agents - Appraiser </t>
  </si>
  <si>
    <t>corey.sell@cbre.com</t>
  </si>
  <si>
    <t>Specialty Agents - Review Appraiser</t>
  </si>
  <si>
    <t>kmoore@kdmengineering.com</t>
  </si>
  <si>
    <t>SITE DESIGN GROUP, LTD</t>
  </si>
  <si>
    <t>rksit@site-design.com</t>
  </si>
  <si>
    <t>Valu Pros</t>
  </si>
  <si>
    <t>Byron</t>
  </si>
  <si>
    <t>ken@valupros.us</t>
  </si>
  <si>
    <t>JLL Valuation &amp; Advisory Services LLC</t>
  </si>
  <si>
    <t>patrick.smith2@jll.com</t>
  </si>
  <si>
    <t>Resilient Analytics, Inc</t>
  </si>
  <si>
    <t>Broomfield</t>
  </si>
  <si>
    <t>CO</t>
  </si>
  <si>
    <t>jhelman@resilient-analytics.com</t>
  </si>
  <si>
    <t>American Veteran Engineering LLC</t>
  </si>
  <si>
    <t>aaron@aviveterans.com</t>
  </si>
  <si>
    <t>Special Studies - Pavement Analysis and Evaluation</t>
  </si>
  <si>
    <t>MILHOUSE ENG. &amp; CONSTRUCTION, INC.</t>
  </si>
  <si>
    <t>MilhouseBD@milhouseinc.com</t>
  </si>
  <si>
    <t>Fresh Coast Capital, LLC d/b/a Greenprint Partners</t>
  </si>
  <si>
    <t>nicole@greenprintpartners.com</t>
  </si>
  <si>
    <t>LANSING</t>
  </si>
  <si>
    <t>UES Professional Solutions 25, LLC</t>
  </si>
  <si>
    <t>lauren.ray@origindesign.com</t>
  </si>
  <si>
    <t>kfitzgerald@altusworks.com</t>
  </si>
  <si>
    <t>McMillanDolan@stanleygroup.com</t>
  </si>
  <si>
    <t>Swanson and Brown, Ltd.</t>
  </si>
  <si>
    <t>Specialty Agents - Negotiator</t>
  </si>
  <si>
    <t>PALOS HEIGHTS</t>
  </si>
  <si>
    <t>tab@swansonandbrown.com</t>
  </si>
  <si>
    <t>yoyewole@wbkengineering.com</t>
  </si>
  <si>
    <t>Specialty Agents - Relocation Agent</t>
  </si>
  <si>
    <t>chicago</t>
  </si>
  <si>
    <t>Christie.kersey@atkinsrealis.com</t>
  </si>
  <si>
    <t>BUREAU VERITAS NORTH AMERICA, INC.</t>
  </si>
  <si>
    <t>ray.momsen@us.bureauveritas.com</t>
  </si>
  <si>
    <t>Hydraulic Reports - Waterways: Two-Dimensional Hydraulics (2D)</t>
  </si>
  <si>
    <t>marie.glynn@jacobs.com</t>
  </si>
  <si>
    <t>MANHARD CONSULTING, LTD.</t>
  </si>
  <si>
    <t>jbaker@manhard.com</t>
  </si>
  <si>
    <t>Purpose Brand LLC</t>
  </si>
  <si>
    <t>slucas@purporsebrand.com</t>
  </si>
  <si>
    <t>The W-T Group, LLC</t>
  </si>
  <si>
    <t>HOFFMAN ESTATES</t>
  </si>
  <si>
    <t>pcasey@wtgroup.com</t>
  </si>
  <si>
    <t>Toole Design Group, LLC</t>
  </si>
  <si>
    <t xml:space="preserve">Silver Spring </t>
  </si>
  <si>
    <t>compliance@tooledesign.com</t>
  </si>
  <si>
    <t>CHICAGO METRO REALTY VALUATION CORP.</t>
  </si>
  <si>
    <t>nsolano@chicagometrovalue.com</t>
  </si>
  <si>
    <t>Elder Valuation Services</t>
  </si>
  <si>
    <t>michael.elder@eldervaluationservices.com</t>
  </si>
  <si>
    <t>Encompass Services, LLC</t>
  </si>
  <si>
    <t>Duluth</t>
  </si>
  <si>
    <t>s.Marsolek@encompassservices.com</t>
  </si>
  <si>
    <t>Parametrix, Inc.</t>
  </si>
  <si>
    <t>Park Rige</t>
  </si>
  <si>
    <t>jfrantz@parametrix.com</t>
  </si>
  <si>
    <t>aterry@ardadesign.com</t>
  </si>
  <si>
    <t>David Peshkin PLLC</t>
  </si>
  <si>
    <t>david.peshkin@gmail.com</t>
  </si>
  <si>
    <t>LANDRUM &amp; BROWN, INCORPORATED</t>
  </si>
  <si>
    <t>jeffrey.jackson@landrumbrown.com</t>
  </si>
  <si>
    <t>mark@mtjengineering.com</t>
  </si>
  <si>
    <t>Planning &amp; Valuation Consultants, Inc.</t>
  </si>
  <si>
    <t>bayoadanri@pvc-inc.net</t>
  </si>
  <si>
    <t>Admin@qrse.com</t>
  </si>
  <si>
    <t>SABUR SURVEYING, INC.</t>
  </si>
  <si>
    <t>selder@sabur-inc.com</t>
  </si>
  <si>
    <t>gpsanchez@sanchez-pc.com</t>
  </si>
  <si>
    <t>Strata Earth Services, LLC</t>
  </si>
  <si>
    <t>sara.knight@strataearth.com</t>
  </si>
  <si>
    <t>cferguson@gfnet.com</t>
  </si>
  <si>
    <t>Garver, LLC</t>
  </si>
  <si>
    <t>JEFrank@GarverUSA.com</t>
  </si>
  <si>
    <t>Nelson\Nygaard Consulting Associates, Inc.</t>
  </si>
  <si>
    <t>San Francisco</t>
  </si>
  <si>
    <t>compliance@nelsonnygaard.com</t>
  </si>
  <si>
    <t>Infrasense, Inc.</t>
  </si>
  <si>
    <t>Woburn</t>
  </si>
  <si>
    <t>acarmichael@infrasense.com</t>
  </si>
  <si>
    <t>Jay Heap &amp; Associates, Ltd.</t>
  </si>
  <si>
    <t>Morris</t>
  </si>
  <si>
    <t>r_heap@yahoo.com</t>
  </si>
  <si>
    <t>Marvin R. Jenkins &amp; Assoc. Inc.</t>
  </si>
  <si>
    <t>Centralia</t>
  </si>
  <si>
    <t>mrjsurvey@yahoo.com</t>
  </si>
  <si>
    <t>Atlas Technical Consultants LLC</t>
  </si>
  <si>
    <t>Christine.Hoagland@oneatlas.com</t>
  </si>
  <si>
    <t>GREENMAN-PEDERSEN, INC</t>
  </si>
  <si>
    <t>Babylon</t>
  </si>
  <si>
    <t>ethorkildsen@gpinet.com</t>
  </si>
  <si>
    <t>JGMA</t>
  </si>
  <si>
    <t>anita.dockett@lopezcpas.com</t>
  </si>
  <si>
    <t>Marine Solutions, Inc.</t>
  </si>
  <si>
    <t>Nicholasville</t>
  </si>
  <si>
    <t>schapman@msimarinesolutions.com</t>
  </si>
  <si>
    <t>MOHR &amp; KERR ENG. &amp; LAND SURVEYING</t>
  </si>
  <si>
    <t>sdkerr@mohrandkerr.com</t>
  </si>
  <si>
    <t>kmorreale@morrealecomm.com</t>
  </si>
  <si>
    <t>keng@patrickco.com</t>
  </si>
  <si>
    <t>michael.hoffman@wsp.com</t>
  </si>
  <si>
    <t>ercs-acquisitions@outlook.com</t>
  </si>
  <si>
    <t>Whitehouse Group Inc.</t>
  </si>
  <si>
    <t>Fort Lauderdale</t>
  </si>
  <si>
    <t>tbrauer@whitehousegroup.com</t>
  </si>
  <si>
    <t>GESTRA ENGINEERING, INC</t>
  </si>
  <si>
    <t>katherine.greene@gestrainc.com</t>
  </si>
  <si>
    <t>scott.piazza@mottmac.com</t>
  </si>
  <si>
    <t>Acumen Building Enterprise, Inc.</t>
  </si>
  <si>
    <t>Oakland</t>
  </si>
  <si>
    <t>registrations@acumentransit.com</t>
  </si>
  <si>
    <t>ASK Engineering, PLLC</t>
  </si>
  <si>
    <t>Glen Ellyn</t>
  </si>
  <si>
    <t>askengservice@gmail.com</t>
  </si>
  <si>
    <t>BENTON ENGINEERING</t>
  </si>
  <si>
    <t>ssmith@lochgroup.com</t>
  </si>
  <si>
    <t>Triant Professional Services, PLLC</t>
  </si>
  <si>
    <t>atate@tpspllc.com</t>
  </si>
  <si>
    <t>Webster &amp; Associates, Inc.</t>
  </si>
  <si>
    <t>jim@websterappraisals.com</t>
  </si>
  <si>
    <t>jknapp@amengtest.com</t>
  </si>
  <si>
    <t>Commonwealth Associates, Inc.</t>
  </si>
  <si>
    <t>Jackson</t>
  </si>
  <si>
    <t>MI</t>
  </si>
  <si>
    <t>lake.lund@cai-engr.com</t>
  </si>
  <si>
    <t>llbowlin@heneghanassoc.com</t>
  </si>
  <si>
    <t>Salem Land</t>
  </si>
  <si>
    <t>TJones@salemland.com</t>
  </si>
  <si>
    <t>SKI Engineering, LLC</t>
  </si>
  <si>
    <t>ibraheem@skiengrg.com</t>
  </si>
  <si>
    <t>paul.wiese@smithgroup.com</t>
  </si>
  <si>
    <t>TWIG TECHNOLOGIES LLC DBA RT&amp;A</t>
  </si>
  <si>
    <t>Shorewood</t>
  </si>
  <si>
    <t>kpesavento@thewillgroup.com</t>
  </si>
  <si>
    <t>BEHNKE MATERIALS ENGINEERING, LLC</t>
  </si>
  <si>
    <t>Beloit</t>
  </si>
  <si>
    <t>smreichelt@behnkematerialsengineering.com</t>
  </si>
  <si>
    <t>dld1@prodigy.net</t>
  </si>
  <si>
    <t>GFT Infrastructure, Inc</t>
  </si>
  <si>
    <t>LORENZ and ASSOCIATES, LTD.</t>
  </si>
  <si>
    <t>florenz@lorenzassociates.com</t>
  </si>
  <si>
    <t>Oneida Engineering Solutions, LLC</t>
  </si>
  <si>
    <t>mwiedoff@oescgroup.com</t>
  </si>
  <si>
    <t>Shonkwiler &amp; Shonkwiler Appraisers</t>
  </si>
  <si>
    <t>craigshonkwiler@gmail.com</t>
  </si>
  <si>
    <t>Lombard, IL</t>
  </si>
  <si>
    <t>Lisle, IL</t>
  </si>
  <si>
    <t>Burr Ridge, IL</t>
  </si>
  <si>
    <t>Lincolnshire, IL</t>
  </si>
  <si>
    <t>Oakland, CA</t>
  </si>
  <si>
    <t>St. Charles, MO</t>
  </si>
  <si>
    <t>South Elgin, IL</t>
  </si>
  <si>
    <t>Aurora, IL</t>
  </si>
  <si>
    <t>Saint Paul, MN</t>
  </si>
  <si>
    <t>Indianapolis, IN</t>
  </si>
  <si>
    <t>DOWNERS GROVE, IL</t>
  </si>
  <si>
    <t>Springfield, IL</t>
  </si>
  <si>
    <t>Braodview, IL</t>
  </si>
  <si>
    <t>Nashville, IL</t>
  </si>
  <si>
    <t>Schaumburg, IL</t>
  </si>
  <si>
    <t>Champaign, IL</t>
  </si>
  <si>
    <t>Arlington Heights, IL</t>
  </si>
  <si>
    <t>Loves Park, IL</t>
  </si>
  <si>
    <t>Los Angeles, CA</t>
  </si>
  <si>
    <t>Chapin, IL</t>
  </si>
  <si>
    <t>Glen Ellyn, IL</t>
  </si>
  <si>
    <t>Batavia, IL</t>
  </si>
  <si>
    <t>Deerfield, IL</t>
  </si>
  <si>
    <t>Chicago , IL</t>
  </si>
  <si>
    <t>Eau Claire, WI</t>
  </si>
  <si>
    <t>Paducah, KY</t>
  </si>
  <si>
    <t>Jefferson City, MO</t>
  </si>
  <si>
    <t>Crystal Lake, IL</t>
  </si>
  <si>
    <t>Marion, IL</t>
  </si>
  <si>
    <t>Beloit, WI</t>
  </si>
  <si>
    <t>Jacksonville, IL</t>
  </si>
  <si>
    <t>Urbana, IL</t>
  </si>
  <si>
    <t>Itasca, IL</t>
  </si>
  <si>
    <t>Mt Zion, IL</t>
  </si>
  <si>
    <t>Bourbonnais, IL</t>
  </si>
  <si>
    <t>Harrisburg, IL</t>
  </si>
  <si>
    <t>Galesburg, IL</t>
  </si>
  <si>
    <t>Rosemont, IL</t>
  </si>
  <si>
    <t>Rockville, MD</t>
  </si>
  <si>
    <t>Medford, MA</t>
  </si>
  <si>
    <t>St. Louis, MO</t>
  </si>
  <si>
    <t>Milwaukee, WI</t>
  </si>
  <si>
    <t>Oakbrook Terrace, IL</t>
  </si>
  <si>
    <t>Madison, WI</t>
  </si>
  <si>
    <t>Belvidere, IL</t>
  </si>
  <si>
    <t>Elk Grove Village, IL</t>
  </si>
  <si>
    <t>Peru, IL</t>
  </si>
  <si>
    <t>Decatur, IL</t>
  </si>
  <si>
    <t>Glenview, IL</t>
  </si>
  <si>
    <t>Northbrook, IL</t>
  </si>
  <si>
    <t>Thornton, IL</t>
  </si>
  <si>
    <t>Naperville, IL</t>
  </si>
  <si>
    <t>Saint Louis, MO</t>
  </si>
  <si>
    <t>Joliet, IL</t>
  </si>
  <si>
    <t>Holmdel, NJ</t>
  </si>
  <si>
    <t>Jackson, MI</t>
  </si>
  <si>
    <t>Independence, MO</t>
  </si>
  <si>
    <t>Hickory Hills, IL</t>
  </si>
  <si>
    <t>Knoxville, TN</t>
  </si>
  <si>
    <t>Peoria, IL</t>
  </si>
  <si>
    <t>Pittsburgh, PA</t>
  </si>
  <si>
    <t>HIGHLAND, IL</t>
  </si>
  <si>
    <t>Palatine, IL</t>
  </si>
  <si>
    <t>Buffalo Grove, IL</t>
  </si>
  <si>
    <t>Duluth, MN</t>
  </si>
  <si>
    <t>Chesterfield, MO</t>
  </si>
  <si>
    <t>Sugar Grove, IL</t>
  </si>
  <si>
    <t>Warrenville, IL</t>
  </si>
  <si>
    <t>New Lenox, IL</t>
  </si>
  <si>
    <t>Belleville, IL</t>
  </si>
  <si>
    <t>Bloomington, IL</t>
  </si>
  <si>
    <t>Rockford, IL</t>
  </si>
  <si>
    <t>Oak Park, IL</t>
  </si>
  <si>
    <t>Lenexa, KS</t>
  </si>
  <si>
    <t>Frankfort, IL</t>
  </si>
  <si>
    <t>Boca Raton, FL</t>
  </si>
  <si>
    <t>Fishers, IN</t>
  </si>
  <si>
    <t>Vernon Hills, IL</t>
  </si>
  <si>
    <t>Babylon, NY</t>
  </si>
  <si>
    <t>Elgin, IL</t>
  </si>
  <si>
    <t>Westchester, IL</t>
  </si>
  <si>
    <t>New York, NY</t>
  </si>
  <si>
    <t>Hillside, IL</t>
  </si>
  <si>
    <t>East Dundee, IL</t>
  </si>
  <si>
    <t>Plainfield, IL</t>
  </si>
  <si>
    <t>Jerseyville, IL</t>
  </si>
  <si>
    <t>Breese, IL</t>
  </si>
  <si>
    <t>Peoria Heights, IL</t>
  </si>
  <si>
    <t>Volo, IL</t>
  </si>
  <si>
    <t>Kansas City, MO</t>
  </si>
  <si>
    <t>Carbondale, IL</t>
  </si>
  <si>
    <t>O'Fallon, IL</t>
  </si>
  <si>
    <t>Moon Township, PA</t>
  </si>
  <si>
    <t>Oak Brook, IL</t>
  </si>
  <si>
    <t>Hillsboro, IL</t>
  </si>
  <si>
    <t>Wheeling, IL</t>
  </si>
  <si>
    <t>Tower Lakes, IL</t>
  </si>
  <si>
    <t>Woburn, MA</t>
  </si>
  <si>
    <t>Rolling Meadows, IL</t>
  </si>
  <si>
    <t>Lincolnwood, IL</t>
  </si>
  <si>
    <t>Bolingbrook, IL</t>
  </si>
  <si>
    <t>Geneva, IL</t>
  </si>
  <si>
    <t>Murphysboro, IL</t>
  </si>
  <si>
    <t>Indianapoils, IN</t>
  </si>
  <si>
    <t>Morris, IL</t>
  </si>
  <si>
    <t>Lake Villa, IL</t>
  </si>
  <si>
    <t>Hobart, WI</t>
  </si>
  <si>
    <t>Granite City, IL</t>
  </si>
  <si>
    <t>Woodridge, IL</t>
  </si>
  <si>
    <t>Quincy, IL</t>
  </si>
  <si>
    <t>Wauwatosa, WI</t>
  </si>
  <si>
    <t>Gurnee, IL</t>
  </si>
  <si>
    <t>Westmont, IL</t>
  </si>
  <si>
    <t>Edwardsville, IL</t>
  </si>
  <si>
    <t>Bradley, IL</t>
  </si>
  <si>
    <t>Roselle, IL</t>
  </si>
  <si>
    <t>Nicholasville, KY</t>
  </si>
  <si>
    <t>Ames, IA</t>
  </si>
  <si>
    <t>Centralia, IL</t>
  </si>
  <si>
    <t>Paris, IL</t>
  </si>
  <si>
    <t>Clive, IA</t>
  </si>
  <si>
    <t>Neenah, WI</t>
  </si>
  <si>
    <t>Middleton, WI</t>
  </si>
  <si>
    <t>Pittsfield , IL</t>
  </si>
  <si>
    <t>East Peoria, IL</t>
  </si>
  <si>
    <t>Effingham, IL</t>
  </si>
  <si>
    <t>Morton, IL</t>
  </si>
  <si>
    <t>San Francisco, CA</t>
  </si>
  <si>
    <t>Willowbrook, IL</t>
  </si>
  <si>
    <t>Sheboygan Falls, WI</t>
  </si>
  <si>
    <t>Collinsville, IL</t>
  </si>
  <si>
    <t>Dubuque, IA</t>
  </si>
  <si>
    <t>Wheaton, IL</t>
  </si>
  <si>
    <t>Park Rige, IL</t>
  </si>
  <si>
    <t>Kankakee, IL</t>
  </si>
  <si>
    <t>Elmhurst, IL</t>
  </si>
  <si>
    <t>Island lake, IL</t>
  </si>
  <si>
    <t>Carterville, IL</t>
  </si>
  <si>
    <t>Columbia, IL</t>
  </si>
  <si>
    <t>La Grange, IL</t>
  </si>
  <si>
    <t>Honolulu, HI, HI</t>
  </si>
  <si>
    <t>Irving, TX</t>
  </si>
  <si>
    <t>Ottawa, IL</t>
  </si>
  <si>
    <t>Broomfield, CO</t>
  </si>
  <si>
    <t>White River Junction, VT</t>
  </si>
  <si>
    <t>St. Charles, IL</t>
  </si>
  <si>
    <t>Northfield, IL</t>
  </si>
  <si>
    <t>Vienna, IL</t>
  </si>
  <si>
    <t>Alton, IL</t>
  </si>
  <si>
    <t>Bettendorf, IA</t>
  </si>
  <si>
    <t>Minneapolis, MN</t>
  </si>
  <si>
    <t>Joliet, WI</t>
  </si>
  <si>
    <t>Lee's Summit, MO</t>
  </si>
  <si>
    <t>PALOS HEIGHTS, IL</t>
  </si>
  <si>
    <t>Hoffman Estates, IL</t>
  </si>
  <si>
    <t>Ashland, VA</t>
  </si>
  <si>
    <t>Glendale Heights, IL</t>
  </si>
  <si>
    <t>Evanston, IL</t>
  </si>
  <si>
    <t>Carol Stream, IL</t>
  </si>
  <si>
    <t>Fredericksburg, VA</t>
  </si>
  <si>
    <t>Swansea, IL</t>
  </si>
  <si>
    <t>Silver Spring , MD</t>
  </si>
  <si>
    <t>LANSING, IL</t>
  </si>
  <si>
    <t>Saint Charles, IL</t>
  </si>
  <si>
    <t>Shorewood, IL</t>
  </si>
  <si>
    <t>Memphis, TN</t>
  </si>
  <si>
    <t>Mattoon, IL</t>
  </si>
  <si>
    <t>Byron, IL</t>
  </si>
  <si>
    <t>Woodstock, IL</t>
  </si>
  <si>
    <t>Fullerton, CA</t>
  </si>
  <si>
    <t>Ellisville, MO</t>
  </si>
  <si>
    <t>Spring Green, WI</t>
  </si>
  <si>
    <t>Las Vegas, NV</t>
  </si>
  <si>
    <t>West Palm Beach, FL</t>
  </si>
  <si>
    <t>Fort Lauderdale, FL</t>
  </si>
  <si>
    <t>Springfield , IL</t>
  </si>
  <si>
    <t>Spanish Fort, AL</t>
  </si>
  <si>
    <t>Darien, IL</t>
  </si>
  <si>
    <t>Dayton, 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</si>
</sst>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x14ac:knownFonts="1">
    <font>
      <sz val="11"/>
      <color theme="1"/>
      <name val="Calibri"/>
      <family val="2"/>
      <scheme val="minor"/>
    </font>
    <font>
      <sz val="11"/>
      <color theme="1"/>
      <name val="Calibri"/>
      <family val="2"/>
      <scheme val="minor"/>
    </font>
    <font>
      <sz val="11"/>
      <color theme="0"/>
      <name val="Calibri"/>
      <family val="2"/>
      <scheme val="minor"/>
    </font>
    <font>
      <sz val="12"/>
      <color theme="1"/>
      <name val="Calibri"/>
      <family val="2"/>
      <scheme val="minor"/>
    </font>
    <font>
      <b/>
      <sz val="12"/>
      <color theme="0"/>
      <name val="Calibri"/>
      <family val="2"/>
      <scheme val="minor"/>
    </font>
    <font>
      <b/>
      <sz val="14"/>
      <color theme="0"/>
      <name val="Calibri"/>
      <family val="2"/>
      <scheme val="minor"/>
    </font>
    <font>
      <sz val="11"/>
      <name val="Calibri"/>
      <family val="2"/>
      <scheme val="minor"/>
    </font>
    <font>
      <b/>
      <sz val="11"/>
      <name val="Calibri"/>
      <family val="2"/>
      <scheme val="minor"/>
    </font>
    <font>
      <b/>
      <sz val="12"/>
      <name val="Calibri"/>
      <family val="2"/>
      <scheme val="minor"/>
    </font>
    <font>
      <b/>
      <sz val="18"/>
      <color theme="0"/>
      <name val="Arial"/>
      <family val="2"/>
    </font>
    <font>
      <sz val="12"/>
      <color theme="0" tint="-0.14999847407452621"/>
      <name val="Calibri"/>
      <family val="2"/>
      <scheme val="minor"/>
    </font>
    <font>
      <sz val="11"/>
      <color theme="0" tint="-0.14999847407452621"/>
      <name val="Calibri"/>
      <family val="2"/>
      <scheme val="minor"/>
    </font>
    <font>
      <sz val="8"/>
      <name val="Calibri"/>
      <family val="2"/>
      <scheme val="minor"/>
    </font>
    <font>
      <b/>
      <i/>
      <u/>
      <sz val="11"/>
      <color rgb="FFFF0000"/>
      <name val="Calibri"/>
      <family val="2"/>
      <scheme val="minor"/>
    </font>
    <font>
      <sz val="10"/>
      <color rgb="FF000000"/>
      <name val="Arial"/>
      <family val="2"/>
    </font>
    <font>
      <sz val="10"/>
      <color rgb="FF000000"/>
      <name val="Arial"/>
      <family val="2"/>
    </font>
    <font>
      <u/>
      <sz val="11"/>
      <color theme="10"/>
      <name val="Calibri"/>
      <family val="2"/>
      <scheme val="minor"/>
    </font>
    <font>
      <sz val="10"/>
      <color rgb="FF000000"/>
      <name val="Arial"/>
      <family val="2"/>
    </font>
    <font>
      <sz val="10"/>
      <color rgb="FF000000"/>
      <name val="Arial"/>
      <family val="2"/>
    </font>
    <font>
      <sz val="10"/>
      <color rgb="FF000000"/>
      <name val="Arial"/>
      <family val="2"/>
    </font>
  </fonts>
  <fills count="6">
    <fill>
      <patternFill patternType="none"/>
    </fill>
    <fill>
      <patternFill patternType="gray125"/>
    </fill>
    <fill>
      <patternFill patternType="solid">
        <fgColor theme="1" tint="0.499984740745262"/>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theme="1"/>
        <bgColor indexed="64"/>
      </patternFill>
    </fill>
  </fills>
  <borders count="5">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6" fillId="0" borderId="0" applyNumberFormat="0" applyFill="0" applyBorder="0" applyAlignment="0" applyProtection="0"/>
  </cellStyleXfs>
  <cellXfs count="56">
    <xf numFmtId="0" fontId="0" fillId="0" borderId="0" xfId="0"/>
    <xf numFmtId="1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0" fillId="2" borderId="0" xfId="0" applyFill="1"/>
    <xf numFmtId="0" fontId="3" fillId="2" borderId="0" xfId="0" applyFont="1" applyFill="1" applyAlignment="1">
      <alignment vertical="center"/>
    </xf>
    <xf numFmtId="164" fontId="0" fillId="0" borderId="0" xfId="1" applyNumberFormat="1" applyFont="1"/>
    <xf numFmtId="0" fontId="5" fillId="3" borderId="0" xfId="0" applyFont="1" applyFill="1" applyAlignment="1">
      <alignment horizontal="left"/>
    </xf>
    <xf numFmtId="9" fontId="2" fillId="3" borderId="0" xfId="2" applyFont="1" applyFill="1" applyAlignment="1">
      <alignment horizontal="left"/>
    </xf>
    <xf numFmtId="0" fontId="0" fillId="3" borderId="0" xfId="0" applyFill="1"/>
    <xf numFmtId="0" fontId="6" fillId="4" borderId="0" xfId="0" applyFont="1" applyFill="1"/>
    <xf numFmtId="0" fontId="7" fillId="4" borderId="0" xfId="0" applyFont="1" applyFill="1" applyAlignment="1">
      <alignment horizontal="right"/>
    </xf>
    <xf numFmtId="0" fontId="8" fillId="4" borderId="0" xfId="0" applyFont="1" applyFill="1" applyAlignment="1">
      <alignment horizontal="center"/>
    </xf>
    <xf numFmtId="0" fontId="7" fillId="4" borderId="0" xfId="0" applyFont="1" applyFill="1" applyAlignment="1">
      <alignment horizontal="right" vertical="top"/>
    </xf>
    <xf numFmtId="0" fontId="8" fillId="4" borderId="0" xfId="0" applyFont="1" applyFill="1" applyAlignment="1">
      <alignment horizontal="center" vertical="top"/>
    </xf>
    <xf numFmtId="0" fontId="9" fillId="3" borderId="0" xfId="0" applyFont="1" applyFill="1" applyAlignment="1">
      <alignment vertical="center"/>
    </xf>
    <xf numFmtId="0" fontId="10" fillId="2" borderId="0" xfId="0" applyFont="1" applyFill="1" applyAlignment="1">
      <alignment vertical="center"/>
    </xf>
    <xf numFmtId="0" fontId="10" fillId="2" borderId="0" xfId="0" applyFont="1" applyFill="1" applyAlignment="1">
      <alignment horizontal="right" vertical="center"/>
    </xf>
    <xf numFmtId="9" fontId="11" fillId="2" borderId="0" xfId="2" applyFont="1" applyFill="1" applyAlignment="1">
      <alignment horizontal="left" vertical="top"/>
    </xf>
    <xf numFmtId="0" fontId="2" fillId="5" borderId="0" xfId="0" applyFont="1" applyFill="1"/>
    <xf numFmtId="0" fontId="13" fillId="0" borderId="0" xfId="0" applyFont="1"/>
    <xf numFmtId="0" fontId="9" fillId="3" borderId="0" xfId="0" applyFont="1" applyFill="1" applyAlignment="1">
      <alignment vertical="center" wrapText="1"/>
    </xf>
    <xf numFmtId="0" fontId="5" fillId="3" borderId="0" xfId="0" applyFont="1" applyFill="1" applyAlignment="1">
      <alignment horizontal="right" wrapText="1"/>
    </xf>
    <xf numFmtId="9" fontId="0" fillId="0" borderId="0" xfId="2" applyFont="1"/>
    <xf numFmtId="164" fontId="0" fillId="0" borderId="0" xfId="1" applyNumberFormat="1" applyFont="1" applyAlignment="1">
      <alignment horizontal="left"/>
    </xf>
    <xf numFmtId="0" fontId="0" fillId="2" borderId="0" xfId="0" applyFill="1" applyAlignment="1">
      <alignment wrapText="1"/>
    </xf>
    <xf numFmtId="0" fontId="14" fillId="0" borderId="1" xfId="0" applyFont="1" applyBorder="1" applyAlignment="1">
      <alignment vertical="top" readingOrder="1"/>
    </xf>
    <xf numFmtId="0" fontId="14" fillId="0" borderId="2" xfId="0" applyFont="1" applyBorder="1" applyAlignment="1">
      <alignment horizontal="center" vertical="top" readingOrder="1"/>
    </xf>
    <xf numFmtId="0" fontId="14" fillId="0" borderId="2" xfId="0" applyFont="1" applyBorder="1" applyAlignment="1">
      <alignment vertical="top" readingOrder="1"/>
    </xf>
    <xf numFmtId="0" fontId="14" fillId="0" borderId="2" xfId="0" applyFont="1" applyBorder="1" applyAlignment="1">
      <alignment horizontal="left" vertical="top" readingOrder="1"/>
    </xf>
    <xf numFmtId="0" fontId="15" fillId="0" borderId="1" xfId="0" applyFont="1" applyBorder="1" applyAlignment="1">
      <alignment vertical="top" readingOrder="1"/>
    </xf>
    <xf numFmtId="0" fontId="15" fillId="0" borderId="2" xfId="0" applyFont="1" applyBorder="1" applyAlignment="1">
      <alignment horizontal="center" vertical="top" readingOrder="1"/>
    </xf>
    <xf numFmtId="0" fontId="15" fillId="0" borderId="2" xfId="0" applyFont="1" applyBorder="1" applyAlignment="1">
      <alignment vertical="top" readingOrder="1"/>
    </xf>
    <xf numFmtId="0" fontId="15" fillId="0" borderId="2" xfId="0" applyFont="1" applyBorder="1" applyAlignment="1">
      <alignment horizontal="left" vertical="top" readingOrder="1"/>
    </xf>
    <xf numFmtId="0" fontId="14" fillId="0" borderId="4" xfId="0" applyFont="1" applyBorder="1" applyAlignment="1">
      <alignment horizontal="left" vertical="top" readingOrder="1"/>
    </xf>
    <xf numFmtId="0" fontId="15" fillId="0" borderId="3" xfId="0" applyFont="1" applyBorder="1" applyAlignment="1">
      <alignment vertical="top" readingOrder="1"/>
    </xf>
    <xf numFmtId="0" fontId="15" fillId="0" borderId="4" xfId="0" applyFont="1" applyBorder="1" applyAlignment="1">
      <alignment vertical="top" readingOrder="1"/>
    </xf>
    <xf numFmtId="0" fontId="15" fillId="0" borderId="4" xfId="0" applyFont="1" applyBorder="1" applyAlignment="1">
      <alignment horizontal="left" vertical="top" readingOrder="1"/>
    </xf>
    <xf numFmtId="0" fontId="15" fillId="0" borderId="4" xfId="0" applyFont="1" applyBorder="1" applyAlignment="1">
      <alignment horizontal="center" vertical="top" readingOrder="1"/>
    </xf>
    <xf numFmtId="0" fontId="16" fillId="0" borderId="2" xfId="3" applyNumberFormat="1" applyFill="1" applyBorder="1" applyAlignment="1">
      <alignment horizontal="left" vertical="top" readingOrder="1"/>
    </xf>
    <xf numFmtId="0" fontId="17" fillId="0" borderId="1" xfId="0" applyFont="1" applyBorder="1" applyAlignment="1">
      <alignment vertical="top" readingOrder="1"/>
    </xf>
    <xf numFmtId="0" fontId="17" fillId="0" borderId="2" xfId="0" applyFont="1" applyBorder="1" applyAlignment="1">
      <alignment horizontal="center" vertical="top" readingOrder="1"/>
    </xf>
    <xf numFmtId="0" fontId="17" fillId="0" borderId="2" xfId="0" applyFont="1" applyBorder="1" applyAlignment="1">
      <alignment vertical="top" readingOrder="1"/>
    </xf>
    <xf numFmtId="0" fontId="17" fillId="0" borderId="2" xfId="0" applyFont="1" applyBorder="1" applyAlignment="1">
      <alignment horizontal="left" vertical="top" readingOrder="1"/>
    </xf>
    <xf numFmtId="0" fontId="18" fillId="0" borderId="1" xfId="0" applyFont="1" applyBorder="1" applyAlignment="1">
      <alignment vertical="top" readingOrder="1"/>
    </xf>
    <xf numFmtId="0" fontId="18" fillId="0" borderId="2" xfId="0" applyFont="1" applyBorder="1" applyAlignment="1">
      <alignment horizontal="center" vertical="top" readingOrder="1"/>
    </xf>
    <xf numFmtId="0" fontId="18" fillId="0" borderId="2" xfId="0" applyFont="1" applyBorder="1" applyAlignment="1">
      <alignment vertical="top" readingOrder="1"/>
    </xf>
    <xf numFmtId="0" fontId="18" fillId="0" borderId="2" xfId="0" applyFont="1" applyBorder="1" applyAlignment="1">
      <alignment horizontal="left" vertical="top" readingOrder="1"/>
    </xf>
    <xf numFmtId="0" fontId="19" fillId="0" borderId="1" xfId="0" applyFont="1" applyBorder="1" applyAlignment="1">
      <alignment vertical="top" readingOrder="1"/>
    </xf>
    <xf numFmtId="0" fontId="19" fillId="0" borderId="2" xfId="0" applyFont="1" applyBorder="1" applyAlignment="1">
      <alignment horizontal="center" vertical="top" readingOrder="1"/>
    </xf>
    <xf numFmtId="0" fontId="19" fillId="0" borderId="2" xfId="0" applyFont="1" applyBorder="1" applyAlignment="1">
      <alignment vertical="top" readingOrder="1"/>
    </xf>
    <xf numFmtId="0" fontId="19" fillId="0" borderId="2" xfId="0" applyFont="1" applyBorder="1" applyAlignment="1">
      <alignment horizontal="left" vertical="top" readingOrder="1"/>
    </xf>
    <xf numFmtId="14" fontId="10" fillId="2" borderId="0" xfId="0" applyNumberFormat="1" applyFont="1" applyFill="1" applyAlignment="1">
      <alignment horizontal="left" vertical="center"/>
    </xf>
    <xf numFmtId="0" fontId="4" fillId="3" borderId="0" xfId="0" applyFont="1" applyFill="1" applyAlignment="1">
      <alignment horizontal="center" wrapText="1"/>
    </xf>
    <xf numFmtId="0" fontId="0" fillId="0" borderId="0" xfId="0" applyAlignment="1">
      <alignment horizontal="left"/>
    </xf>
  </cellXfs>
  <cellStyles count="4">
    <cellStyle name="Comma" xfId="1" builtinId="3"/>
    <cellStyle name="Hyperlink" xfId="3" builtinId="8"/>
    <cellStyle name="Normal" xfId="0" builtinId="0"/>
    <cellStyle name="Per cent" xfId="2" builtinId="5"/>
  </cellStyles>
  <dxfs count="12">
    <dxf>
      <fill>
        <patternFill>
          <bgColor theme="7" tint="0.59996337778862885"/>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fill>
        <patternFill patternType="none">
          <fgColor indexed="64"/>
          <bgColor auto="1"/>
        </patternFill>
      </fill>
      <alignment textRotation="0" wrapText="0" indent="0" justifyLastLine="0" shrinkToFit="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left"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center"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center"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top" textRotation="0" wrapText="0" indent="0" justifyLastLine="0" shrinkToFit="0" readingOrder="1"/>
      <border diagonalUp="0" diagonalDown="0" outline="0">
        <left/>
        <right style="thin">
          <color rgb="FF000000"/>
        </right>
        <top style="thin">
          <color rgb="FF000000"/>
        </top>
        <bottom style="thin">
          <color rgb="FF000000"/>
        </bottom>
      </border>
    </dxf>
    <dxf>
      <fill>
        <patternFill patternType="none">
          <fgColor indexed="64"/>
          <bgColor auto="1"/>
        </patternFill>
      </fill>
      <alignment textRotation="0" wrapText="0" indent="0" justifyLastLine="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eetMetadata" Target="metadata.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140278</xdr:colOff>
      <xdr:row>3</xdr:row>
      <xdr:rowOff>113436</xdr:rowOff>
    </xdr:from>
    <xdr:to>
      <xdr:col>8</xdr:col>
      <xdr:colOff>129886</xdr:colOff>
      <xdr:row>10</xdr:row>
      <xdr:rowOff>72572</xdr:rowOff>
    </xdr:to>
    <mc:AlternateContent xmlns:mc="http://schemas.openxmlformats.org/markup-compatibility/2006" xmlns:a14="http://schemas.microsoft.com/office/drawing/2010/main">
      <mc:Choice Requires="a14">
        <xdr:graphicFrame macro="">
          <xdr:nvGraphicFramePr>
            <xdr:cNvPr id="2" name="IS DBE">
              <a:extLst>
                <a:ext uri="{FF2B5EF4-FFF2-40B4-BE49-F238E27FC236}">
                  <a16:creationId xmlns:a16="http://schemas.microsoft.com/office/drawing/2014/main" id="{B3FDB329-1A5D-4283-87F3-3A769BD181D9}"/>
                </a:ext>
              </a:extLst>
            </xdr:cNvPr>
            <xdr:cNvGraphicFramePr/>
          </xdr:nvGraphicFramePr>
          <xdr:xfrm>
            <a:off x="0" y="0"/>
            <a:ext cx="0" cy="0"/>
          </xdr:xfrm>
          <a:graphic>
            <a:graphicData uri="http://schemas.microsoft.com/office/drawing/2010/slicer">
              <sle:slicer xmlns:sle="http://schemas.microsoft.com/office/drawing/2010/slicer" name="IS DBE"/>
            </a:graphicData>
          </a:graphic>
        </xdr:graphicFrame>
      </mc:Choice>
      <mc:Fallback xmlns="">
        <xdr:sp macro="" textlink="">
          <xdr:nvSpPr>
            <xdr:cNvPr id="0" name=""/>
            <xdr:cNvSpPr>
              <a:spLocks noTextEdit="1"/>
            </xdr:cNvSpPr>
          </xdr:nvSpPr>
          <xdr:spPr>
            <a:xfrm>
              <a:off x="11533992" y="1029650"/>
              <a:ext cx="1205180" cy="1012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3</xdr:row>
      <xdr:rowOff>114299</xdr:rowOff>
    </xdr:from>
    <xdr:to>
      <xdr:col>14</xdr:col>
      <xdr:colOff>276225</xdr:colOff>
      <xdr:row>33</xdr:row>
      <xdr:rowOff>104774</xdr:rowOff>
    </xdr:to>
    <mc:AlternateContent xmlns:mc="http://schemas.openxmlformats.org/markup-compatibility/2006" xmlns:a14="http://schemas.microsoft.com/office/drawing/2010/main">
      <mc:Choice Requires="a14">
        <xdr:graphicFrame macro="">
          <xdr:nvGraphicFramePr>
            <xdr:cNvPr id="3" name="PRE-QUAL CATEGORIES">
              <a:extLst>
                <a:ext uri="{FF2B5EF4-FFF2-40B4-BE49-F238E27FC236}">
                  <a16:creationId xmlns:a16="http://schemas.microsoft.com/office/drawing/2014/main" id="{DEC32BDA-A302-4A8E-8C7D-C367CB3C3056}"/>
                </a:ext>
              </a:extLst>
            </xdr:cNvPr>
            <xdr:cNvGraphicFramePr/>
          </xdr:nvGraphicFramePr>
          <xdr:xfrm>
            <a:off x="0" y="0"/>
            <a:ext cx="0" cy="0"/>
          </xdr:xfrm>
          <a:graphic>
            <a:graphicData uri="http://schemas.microsoft.com/office/drawing/2010/slicer">
              <sle:slicer xmlns:sle="http://schemas.microsoft.com/office/drawing/2010/slicer" name="PRE-QUAL CATEGORIES"/>
            </a:graphicData>
          </a:graphic>
        </xdr:graphicFrame>
      </mc:Choice>
      <mc:Fallback xmlns="">
        <xdr:sp macro="" textlink="">
          <xdr:nvSpPr>
            <xdr:cNvPr id="0" name=""/>
            <xdr:cNvSpPr>
              <a:spLocks noTextEdit="1"/>
            </xdr:cNvSpPr>
          </xdr:nvSpPr>
          <xdr:spPr>
            <a:xfrm>
              <a:off x="12761686" y="1030513"/>
              <a:ext cx="3879396" cy="570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19050</xdr:rowOff>
    </xdr:from>
    <xdr:to>
      <xdr:col>2</xdr:col>
      <xdr:colOff>474519</xdr:colOff>
      <xdr:row>1</xdr:row>
      <xdr:rowOff>183695</xdr:rowOff>
    </xdr:to>
    <xdr:pic>
      <xdr:nvPicPr>
        <xdr:cNvPr id="7" name="Picture 6">
          <a:extLst>
            <a:ext uri="{FF2B5EF4-FFF2-40B4-BE49-F238E27FC236}">
              <a16:creationId xmlns:a16="http://schemas.microsoft.com/office/drawing/2014/main" id="{4D82FC86-8564-4BC8-951C-38F7A2C0E2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3449948" cy="581931"/>
        </a:xfrm>
        <a:prstGeom prst="rect">
          <a:avLst/>
        </a:prstGeom>
      </xdr:spPr>
    </xdr:pic>
    <xdr:clientData/>
  </xdr:twoCellAnchor>
  <xdr:twoCellAnchor>
    <xdr:from>
      <xdr:col>2</xdr:col>
      <xdr:colOff>466271</xdr:colOff>
      <xdr:row>0</xdr:row>
      <xdr:rowOff>142876</xdr:rowOff>
    </xdr:from>
    <xdr:to>
      <xdr:col>5</xdr:col>
      <xdr:colOff>463550</xdr:colOff>
      <xdr:row>1</xdr:row>
      <xdr:rowOff>28576</xdr:rowOff>
    </xdr:to>
    <xdr:sp macro="" textlink="">
      <xdr:nvSpPr>
        <xdr:cNvPr id="8" name="TextBox 7">
          <a:extLst>
            <a:ext uri="{FF2B5EF4-FFF2-40B4-BE49-F238E27FC236}">
              <a16:creationId xmlns:a16="http://schemas.microsoft.com/office/drawing/2014/main" id="{954BF74E-EBBB-4BCA-A27A-354A99235DF0}"/>
            </a:ext>
          </a:extLst>
        </xdr:cNvPr>
        <xdr:cNvSpPr txBox="1"/>
      </xdr:nvSpPr>
      <xdr:spPr>
        <a:xfrm>
          <a:off x="3441700" y="142876"/>
          <a:ext cx="4369707" cy="302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solidFill>
              <a:latin typeface="Arial" panose="020B0604020202020204" pitchFamily="34" charset="0"/>
              <a:cs typeface="Arial" panose="020B0604020202020204" pitchFamily="34" charset="0"/>
            </a:rPr>
            <a:t>List of prequalified Engineering Consultant Firms</a:t>
          </a:r>
          <a:r>
            <a:rPr lang="en-US" sz="1100" b="0" i="0" u="none" strike="noStrike">
              <a:solidFill>
                <a:schemeClr val="dk1"/>
              </a:solidFill>
              <a:effectLst/>
              <a:latin typeface="+mn-lt"/>
              <a:ea typeface="+mn-ea"/>
              <a:cs typeface="+mn-cs"/>
            </a:rPr>
            <a:t> </a:t>
          </a:r>
          <a:r>
            <a:rPr lang="en-US" sz="1400"/>
            <a:t> </a:t>
          </a:r>
          <a:endParaRPr lang="en-US" sz="1400" b="1">
            <a:solidFill>
              <a:schemeClr val="bg2"/>
            </a:solidFill>
            <a:latin typeface="Arial" panose="020B0604020202020204" pitchFamily="34" charset="0"/>
            <a:cs typeface="Arial" panose="020B06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LeSeure, Jenni" id="{28F25C40-DD9D-4378-85A8-8396EA2C8547}" userId="S::Jenni.LeSeure@Illinois.gov::38e4805d-c4db-4184-9319-5c8716a03b0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Seure, Jenni" refreshedDate="45828.547534722224" missingItemsLimit="0" createdVersion="7" refreshedVersion="8" minRefreshableVersion="3" recordCount="3528" xr:uid="{7D5DC7A4-6FFF-4753-B21F-DD450136080F}">
  <cacheSource type="worksheet">
    <worksheetSource name="Prequal"/>
  </cacheSource>
  <cacheFields count="7">
    <cacheField name="FIRM" numFmtId="0">
      <sharedItems count="415">
        <s v="&quot;T&quot; Engineering Service, Ltd."/>
        <s v="10-4 Engineering, PLLC"/>
        <s v="1st AEROW Valuation Group"/>
        <s v="2IM GROUP"/>
        <s v="4HD INC"/>
        <s v="A3 Environmental, LLC"/>
        <s v="AAA ENGINEERING"/>
        <s v="ABNA ENGINEERING, INC."/>
        <s v="Acclaim Collier Engineering"/>
        <s v="ACCURATE GROUP, INC."/>
        <s v="Acumen Building Enterprise, Inc."/>
        <s v="Added Dimension, LLC."/>
        <s v="ADO ENGINEERING"/>
        <s v="ADVANCE CONSULTING GROUP INTL"/>
        <s v="AECOM TECHNICAL SERVICES, INC."/>
        <s v="Allied Engineering P.C."/>
        <s v="AltusWorks, Inc."/>
        <s v="American Engineering Consultants, Inc."/>
        <s v="American Engineering Testing, Inc."/>
        <s v="AMERICAN STRUCTUREPOINT, INC."/>
        <s v="AMERICAN SURVEYING &amp; ENGINEERING, Ltd."/>
        <s v="American Veteran Engineering LLC"/>
        <s v="AMES ENGINEERING, INC."/>
        <s v="ANDREWS ENGINEERING, INC."/>
        <s v="Angelo Construction Services, Inc."/>
        <s v="APEX CONSULTING ENGINEERS, L.L.C."/>
        <s v="API SURVEY LLC"/>
        <s v="APPLIED GEOSCIENCE, INCORPORATED"/>
        <s v="APPLIED PAVEMENT TECHNOLOGY, INC."/>
        <s v="APPLIED RESEARCH ASSOCIATES, INC"/>
        <s v="APS CONSULTING, INC."/>
        <s v="Aqua Vitae Engineering, LLC"/>
        <s v="ARC DESIGN RESOURCES, INC."/>
        <s v="ARCADIS U.S., Inc. "/>
        <s v="ARK ENGINEERING ASSOCIATES, LTD."/>
        <s v="Arora and Associates, P.C."/>
        <s v="ARTISAN CONSULTING ENGINEERS, LLC"/>
        <s v="ASK Engineering, PLLC"/>
        <s v="ASM CONSULTANTS, INC."/>
        <s v="AtkinsRéalis USA Inc."/>
        <s v="ATLAS ENGINEERING GROUP"/>
        <s v="Atlas Technical Consultants LLC"/>
        <s v="AYRES ASSOCIATES, INC."/>
        <s v="BACON FARMER WORKMAN ENGR. &amp; TESTNG"/>
        <s v="Bartlett &amp; West, Inc."/>
        <s v="BAUER LATOZA STUDIO, LTD."/>
        <s v="BAXTER &amp; WOODMAN, INC."/>
        <s v="Baysinger Architects, LLC"/>
        <s v="BEAMAN INCORPORATED"/>
        <s v="BEHNKE MATERIALS ENGINEERING, LLC"/>
        <s v="BENESCH, ALFRED &amp; CO."/>
        <s v="BENTON ENGINEERING"/>
        <s v="BERNS, CLANCY &amp; ASSOC., P.C."/>
        <s v="BLA, Inc."/>
        <s v="BLANK, WESSELINK, COOK &amp; ASSOC, INC"/>
        <s v="BLOOM COMPANIES, LLC"/>
        <s v="Bollman Engineering, PLLC"/>
        <s v="Bowman Consulting Group"/>
        <s v="Bravo Company Engineering, Inc."/>
        <s v="Brorsen Appraisal Service, P.C."/>
        <s v="BROWN &amp; ROBERTS, INC."/>
        <s v="BRUNER, COOPER &amp; ZUCK, INC."/>
        <s v="Bulthuis Realty Consultants, Inc."/>
        <s v="BUREAU VERITAS NORTH AMERICA, INC."/>
        <s v="BURKE, CHRISTOPHER B. ENG., LTD."/>
        <s v="Burns &amp; McDonnell Engineering Company, Inc."/>
        <s v="C.C. Johnson &amp; Malhotra, P.C."/>
        <s v="Cambridge Systematics, Inc."/>
        <s v="CBB"/>
        <s v="CBRE, Inc"/>
        <s v="CCS International, Inc."/>
        <s v="CDG Engineers, Inc"/>
        <s v="CDM SMITH INC."/>
        <s v="CEMCON LTD."/>
        <s v="CEP Engineering, LLC"/>
        <s v="CERA Solutions"/>
        <s v="CES, INC."/>
        <s v="CGMT, Inc."/>
        <s v="CHAMLIN &amp; ASSOC., INC."/>
        <s v="Chastain &amp; Associates LLC"/>
        <s v="CHAWLA AND ASSOCIATES, INC."/>
        <s v="CHICAGO METRO REALTY VALUATION CORP."/>
        <s v="CHICAGO TESTING LABORATORY, INC."/>
        <s v="CHIN, R. M. &amp; ASSOC., INC."/>
        <s v="CIORBA GROUP, INC."/>
        <s v="Civil &amp; Environmental Consultants, Inc."/>
        <s v="CIVIL DESIGN, INC."/>
        <s v="CIVILTECH ENGINEERING, INC."/>
        <s v="CKL Engineers, LLC"/>
        <s v="CLAASSEN, WHITE &amp; ASSOCIATES, P.C."/>
        <s v="CLARK DIETZ, INC."/>
        <s v="Colliers Engineering &amp; Design, Inc."/>
        <s v="COLLINS ENGINEERS, INC."/>
        <s v="Commonwealth Associates, Inc."/>
        <s v="COMPASS, LTD."/>
        <s v="Comprehensive Construction Consulting, Inc."/>
        <s v="COTTER CONSULTING, INC."/>
        <s v="CRAWFORD, MURPHY, &amp; TILLY, INC."/>
        <s v="CUMMINS ENGINEERING CORPORATION"/>
        <s v="CUSTOM ENGINEERING, INC."/>
        <s v="Czaplicki Lopez, PLLC"/>
        <s v="D'ESCOTO, INC."/>
        <s v="D. L. DuBOIS &amp; ASSOCIATES, LTD."/>
        <s v="DAMA CONSULTANTS, INC."/>
        <s v="Dan Brown and Associates, LLC"/>
        <s v="DAVID ENGINEERING, LLC"/>
        <s v="David Peshkin PLLC"/>
        <s v="DB Engineering &amp; Consulting USA Inc."/>
        <s v="DECA Properties"/>
        <s v="DELTA ENGINEERING GROUP, LLC"/>
        <s v="DELVE UNDERGROUND"/>
        <s v="DESIGN CONSULTING ENGINEERS, INC."/>
        <s v="DESIGN NINE, INC."/>
        <s v="Dewberry Engineers Inc."/>
        <s v="DJ Howard &amp; Associates, Inc."/>
        <s v="DLZ ILLINOIS, INC."/>
        <s v="DLZ Industrial Surveying, Inc."/>
        <s v="DOLAND ENGINEERING, LLC"/>
        <s v="DONOHUE &amp; ASSOCIATES, INC."/>
        <s v="DYNASTY GROUP, INC."/>
        <s v="Eco Solutions Inc"/>
        <s v="ECS Midwest, LLC"/>
        <s v="EFK MOEN, LLC"/>
        <s v="Elder Valuation Services"/>
        <s v="Encompass Services, LLC"/>
        <s v="ENGINEERING DESIGN SOURCE, INC."/>
        <s v="ENGINEERING ENTERPRISES, INC."/>
        <s v="ENGINEERING RESOURCE ASSOC., INC."/>
        <s v="ENGINEERING SERVICES GROUP, INC."/>
        <s v="ENVIRONMENTAL DESIGN INTERNATIONAL"/>
        <s v="EPSTEIN, A. &amp; SONS INTERN., INC."/>
        <s v="Equity Network, Inc"/>
        <s v="ESCA CONSULTANTS, INC."/>
        <s v="Executive Real Estate Consulting Services, Inc. (ERCS)"/>
        <s v="exp US Services, Inc."/>
        <s v="Facet Engineering, LLC"/>
        <s v="FARNSWORTH GROUP, INC."/>
        <s v="FEHR-GRAHAM &amp; ASSOC. LLC"/>
        <s v="FLUIDCLARITY"/>
        <s v="Foundation Mechanics, LLC"/>
        <s v="Fresh Coast Capital, LLC d/b/a Greenprint Partners"/>
        <s v="FUHRMANN ENGINEERING, INC."/>
        <s v="GANDHI &amp; ASSOC., INC."/>
        <s v="Garver, LLC"/>
        <s v="GARZA KARHOFF ENGINEERING, LLC"/>
        <s v="Gasperec Elberts Consulting, LLC"/>
        <s v="gba Systems Integrators, LLC"/>
        <s v="GEI Consultants, Inc."/>
        <s v="GEO SERVICES, INC."/>
        <s v="GEOCON PROFESSIONAL SERVICES, LLC"/>
        <s v="GEORGE BUTLER ASSOCIATES, INC."/>
        <s v="GEOSYNTEC CONSULTANTS"/>
        <s v="GEOTILL. Inc."/>
        <s v="GESTRA ENGINEERING, INC"/>
        <s v="GEWALT HAMILTON ASSOC., INC."/>
        <s v="GFT Infrastructure, Inc"/>
        <s v="GLOBETROTTERS ENGINEERING CORP."/>
        <s v="Goetz Group PLLC"/>
        <s v="GONZALEZ COMPANIES, LLC"/>
        <s v="GRAEF-USA INC."/>
        <s v="GREENE &amp; BRADFORD, INC., OF SPFLD."/>
        <s v="GREENMAN-PEDERSEN, INC"/>
        <s v="GROUND ENGINEERING CONSULTANTS INC."/>
        <s v="GSG CONSULTANTS, INC."/>
        <s v="Guidehouse Inc."/>
        <s v="Gulaid Consulting Engineers, P.C."/>
        <s v="H K M Engineers, LLC"/>
        <s v="H.N.T.B. CORP."/>
        <s v="HAMPTON, LENZINI AND RENWICK, INC."/>
        <s v="HANCOCK, EDWIN ENGINEERING CO."/>
        <s v="HANSON PROFESSIONAL SERVICES INC."/>
        <s v="Hardesty &amp; Hanover LLC"/>
        <s v="HBK ENGINEERING, LLC."/>
        <s v="HBM ENGINEERING GROUP, LLC"/>
        <s v="HDR ENGINEERING, INC."/>
        <s v="HEINZ, GERALD L. &amp; ASSOC., INC"/>
        <s v="HELIX ENGINEERING LLC"/>
        <s v="HENEGHAN AND ASSOC., P.C."/>
        <s v="HENRY, MEISENHEIMER &amp; GENDE, INC."/>
        <s v="HERMANN &amp; ASSOCIATES, LLC"/>
        <s v="HEY AND ASSOC., INC."/>
        <s v="Hg Consult, Inc."/>
        <s v="HITCHCOCK DESIGN GROUP"/>
        <s v="HOLCOMB FOUNDATION ENGINEERING CO."/>
        <s v="HORNER &amp; SHIFRIN, INC."/>
        <s v="HR Green, Inc."/>
        <s v="HRV Conformance Verification Associates, Inc. "/>
        <s v="HUFF &amp; HUFF, INC."/>
        <s v="HURST-ROSCHE, INC."/>
        <s v="HUTCHISON ENGINEERING, INC."/>
        <s v="Illinois Construction &amp; Environmental Consulting, Inc."/>
        <s v="IMAGES, INC."/>
        <s v="IMEG Consultants Corp."/>
        <s v="Indigo Ecologica Design, LLC"/>
        <s v="Infrasense, Inc."/>
        <s v="INFRASTRUCTURE ENGINEERING, INC."/>
        <s v="Innleadair, LLC"/>
        <s v="InNova Consulting, Inc."/>
        <s v="INTERRA, Inc."/>
        <s v="Iteris, Inc."/>
        <s v="J.T. Blankinship Inc"/>
        <s v="JACOBS ENGINEERING GROUP, INC."/>
        <s v="JACOBS/RYAN ASSOCIATES"/>
        <s v="JANSSEN &amp; SPAANS ENGINEERING, INC."/>
        <s v="Jay Heap &amp; Associates, Ltd."/>
        <s v="JGMA"/>
        <s v="JLL Valuation &amp; Advisory Services LLC"/>
        <s v="Johnson Lasky Kindelin Architects, Inc."/>
        <s v="JORGENSEN &amp; ASSOC., INC."/>
        <s v="JT Engineering, Inc."/>
        <s v="Juli Ordower Landscape Architecture LLC"/>
        <s v="JUNEAU ASSOC., INC., P.C."/>
        <s v="KAD Engineering PLLC"/>
        <s v="Kaletech"/>
        <s v="KALGEN CONSULTANTS, INC."/>
        <s v="KASKASKIA ENGINEERING GROUP, LLC"/>
        <s v="KDM Engineering, PLLC"/>
        <s v="KENIG LINDGREN OHARA ABOONA (KLOA)"/>
        <s v="KIMLEY-HORN AND ASSOC., INC."/>
        <s v="KLINGNER &amp; ASSOC., P.C."/>
        <s v="KPFF, Inc. dba KPFF Consulting Engineers"/>
        <s v="KTA-TATOR, INC."/>
        <s v="Kuhn &amp; Trello Consulting Engineers, LLC"/>
        <s v="LAKESHORE ENGINEERING, LLC"/>
        <s v="Lakeside Engineers, LLC. "/>
        <s v="LANDRUM &amp; BROWN, INCORPORATED"/>
        <s v="LARSON AND DARBY, INC."/>
        <s v="Larson Engineering, Inc. "/>
        <s v="LEGAT ARCHITECTS, INC."/>
        <s v="LIN ENGINEERING, LTD."/>
        <s v="LIN, T. Y. INTERN.GREAT LAKES, INC."/>
        <s v="Lochmueller Group, Inc."/>
        <s v="LOCHNER, H. W., INC."/>
        <s v="LORENZ and ASSOCIATES, LTD."/>
        <s v="M SQUARED ENGINEERING, LLC"/>
        <s v="M. GINGERICH GEREAUX &amp; ASSOCIATES"/>
        <s v="M3 ENGINEERING GROUP, P.C."/>
        <s v="MACKIE CONSULTANTS, LLC"/>
        <s v="MANHARD CONSULTING, LTD."/>
        <s v="MARCHESE AND SONS, INC."/>
        <s v="Marine Solutions, Inc."/>
        <s v="Marr Arnold Planning, LLC"/>
        <s v="MARTIN, RUSSELL W. ENGINEERING P.C."/>
        <s v="Marvin R. Jenkins &amp; Assoc. Inc."/>
        <s v="MAS Engineering PLLC"/>
        <s v="MASON, DAVID &amp; ASSOC., INC."/>
        <s v="MASSIE, MASSIE &amp; ASSOC., INC."/>
        <s v="MATERIAL SERVICE TESTING, INC."/>
        <s v="MATERIAL SOLUTIONS LABORATORY CORP."/>
        <s v="MAURER-STUTZ, INC."/>
        <s v="McClure Engineering Co."/>
        <s v="McMahon Associates, Inc."/>
        <s v="Mead and Hunt, Inc."/>
        <s v="MECO ENGINEERING COMPANY, INC."/>
        <s v="Metro Strategies Group, LLC"/>
        <s v="Michael Baker International, Inc."/>
        <s v="MIDLAND STANDARD ENG. &amp; TESTING"/>
        <s v="MIDWEST ENGINEERING &amp; TESTING, INC."/>
        <s v="MIDWEST ENGINEERING ASSOC. INC."/>
        <s v="MILANO &amp; GRUNLOH ENGRS., LLC"/>
        <s v="MILHOUSE ENG. &amp; CONSTRUCTION, INC."/>
        <s v="MILLENNIA PROF. SERVICES, LTD."/>
        <s v="MODJESKI &amp; MASTERS, INC."/>
        <s v="MOHR &amp; KERR ENG. &amp; LAND SURVEYING"/>
        <s v="Morreale Communications"/>
        <s v="MORRIS ENGINEERING, INC."/>
        <s v="Mott MacDonald, LLC"/>
        <s v="MSA PROFESSIONAL SERVICES, INC"/>
        <s v="MTJ Engineering LLC"/>
        <s v="MULLER &amp; MULLER, LTD."/>
        <s v="Muse Community + Design"/>
        <s v="NASHnal Soil Testing, LLC"/>
        <s v="Nelson\Nygaard Consulting Associates, Inc."/>
        <s v="NOVOTNY, FRANK &amp; ASSOCIATES, INC."/>
        <s v="NV5 Geospatial, Inc."/>
        <s v="OATES ASSOC., INC."/>
        <s v="Omni Ecosystems"/>
        <s v="Oneida Engineering Solutions, LLC"/>
        <s v="Onyx Architectural Services"/>
        <s v="Origin Design Co."/>
        <s v="ORION ENGINEERS LLC"/>
        <s v="OSEH INC."/>
        <s v="Parametrix, Inc."/>
        <s v="PARSONS TRANSPORTATION GROUP, INC."/>
        <s v="PATRICK ENGINEERING, INC."/>
        <s v="PDF Engineering, LLC"/>
        <s v="PERALTE-CLARK LLC"/>
        <s v="Piggush Engineering, Inc."/>
        <s v="Pin Point Precision"/>
        <s v="Planning &amp; Valuation Consultants, Inc."/>
        <s v="POEPPING, STONE, BACH &amp; ASSOC., INC"/>
        <s v="Polach Appraisal Group, Inc."/>
        <s v="POSTL - YORE AND ASSOCIATES, INC"/>
        <s v="Potts, Smoot &amp; Crawford Civil Engineering &amp; Land Surveying"/>
        <s v="Prairie Engineers, P.C."/>
        <s v="PRIMERA ENGINEERS, LTD."/>
        <s v="Princeton Technical Services, Inc. "/>
        <s v="Program Management &amp; Control Services, LLC (PMCS)"/>
        <s v="Purpose Brand LLC"/>
        <s v="QRSE, LLC"/>
        <s v="Quandel Consultants, Inc."/>
        <s v="QUIGG ENGINEERING, INC."/>
        <s v="R &amp; G ENGINEERING, LLC"/>
        <s v="RailPros of Illinois"/>
        <s v="Range Engineering Inc"/>
        <s v="RENWICK &amp; ASSOC., INC."/>
        <s v="Resilient Analytics, Inc"/>
        <s v="Resource Systems Group, Inc."/>
        <s v="RJN GROUP, INC."/>
        <s v="ROBINSON ENGINEERING, LTD."/>
        <s v="RS&amp;H, Inc."/>
        <s v="RTM Engineering Consultants, LLC"/>
        <s v="RUBINO ENGINEERING, INC."/>
        <s v="RUBINOS &amp; MESIA ENGINEERS, INC."/>
        <s v="SABUR SURVEYING, INC."/>
        <s v="Salem Land"/>
        <s v="Sam Schwartz Engineering, D.P.C"/>
        <s v="SANCHEZ &amp; ASSOCIATES, P.C."/>
        <s v="Santacruz Land Acquisitions"/>
        <s v="Saray Design Group, Inc."/>
        <s v="SCI ENGINEERING, INC."/>
        <s v="SDI ENGR"/>
        <s v="SE3, LLC"/>
        <s v="SHANNON &amp; WILSON, INC."/>
        <s v="SHAWNEE SURVEY &amp; CONSULTING, INC."/>
        <s v="SHEPPARD, MORGAN &amp; SCHWAAB, INC."/>
        <s v="SHERRILL ASSOC., INC."/>
        <s v="SHIVE-HATTERY, INC"/>
        <s v="Shonkwiler &amp; Shonkwiler Appraisers"/>
        <s v="Short-Elliott-Hendrickson, Incorporated"/>
        <s v="Simpson Gumpertz &amp; Heger lnc."/>
        <s v="SINGH &amp; ASSOC., INC."/>
        <s v="SITE DESIGN GROUP, LTD"/>
        <s v="SKI Engineering, LLC"/>
        <s v="SKS Engineers LLC"/>
        <s v="SmithGroup, Inc."/>
        <s v="SOIL AND MATERIAL CONSULTANTS, INC."/>
        <s v="SPAAN TECH, INC."/>
        <s v="SPACECO, INC."/>
        <s v="SQN ASSOCIATES, LLC"/>
        <s v="SRF CONSULTING GROUP, INC"/>
        <s v="STANLEY CONSULTANTS, INC."/>
        <s v="Stantec Architecture Inc."/>
        <s v="STANTEC CONSULTING SERVICES"/>
        <s v="State Materials Engineering, LLC (DBA S.T.A.T.E. Testing, LLC"/>
        <s v="STERLIN, DB CONSULTANTS, INC."/>
        <s v="STRAND ASSOC., INC."/>
        <s v="Strata Earth Services, LLC"/>
        <s v="Strategic Value Solutions, Inc."/>
        <s v="STV Architects, Inc."/>
        <s v="STV INCORPORATED"/>
        <s v="Surveying and Mapping, LLC"/>
        <s v="SW CONSULTING &amp; ENGINEERING SERVICES, LLC dba SWE SOLUTIONS"/>
        <s v="Swanson and Brown, Ltd."/>
        <s v="Synnov Group, Inc."/>
        <s v="T&amp;I Engineers, LLC"/>
        <s v="T2 UES, Inc."/>
        <s v="Talman Consultants LLC"/>
        <s v="TECMA ASSOCIATES"/>
        <s v="TERRA ENGINEERING, LTD."/>
        <s v="TERRACON CONSULTANTS, INC."/>
        <s v="TESKA ASSOC., INC."/>
        <s v="TESTING SERVICE CORPORATION"/>
        <s v="The Aviation Planning Group, LLC"/>
        <s v="The HOH Group, Inc."/>
        <s v="THE LAKOTA GROUP, INC."/>
        <s v="The Roderick Group, LLC dba Ardmore Roderick"/>
        <s v="The W-T Group, LLC"/>
        <s v="The Woodard Group, Inc."/>
        <s v="THOMAS ENGINEERING GROUP, LLC"/>
        <s v="Thompson Civil, LLC"/>
        <s v="THOMSON SURVEYING, LTD."/>
        <s v="THOUVENOT, WADE AND MOERCHEN, INC."/>
        <s v="TKDA(TOLTZ, KING, DUVALL, ANDERSON)"/>
        <s v="Toole Design Group, LLC"/>
        <s v="TOWER ENGINEERING GROUP, LLC"/>
        <s v="TransLand Engineering Group, LLC"/>
        <s v="TranSmart, LLC"/>
        <s v="TRANSYSTEMS CORPORATION"/>
        <s v="TREKK Design Group, LLC"/>
        <s v="Triant Professional Services, PLLC"/>
        <s v="Triple D Valuation Services, INC."/>
        <s v="TROTTER AND ASSOCIATES, INC."/>
        <s v="True North Consultants, Inc."/>
        <s v="TWIG TECHNOLOGIES LLC DBA RT&amp;A"/>
        <s v="UES Professional Solutions 25, LLC"/>
        <s v="UPCHURCH GROUP, The,  INC."/>
        <s v="UPLAND DESIGN LTD."/>
        <s v="URBAN PLANNING &amp; DEVELOPMENT"/>
        <s v="V3 Companies, Ltd. "/>
        <s v="Valdes Engineering Company"/>
        <s v="Valu Pros"/>
        <s v="VANDERSTAPPEN SURVEYING, INC."/>
        <s v="VEENSTRA &amp; KIMM, INC."/>
        <s v="VIRGINKAR &amp; ASSOCIATES, INC."/>
        <s v="Volkert, Inc."/>
        <s v="WANG ENGINEERING, INC."/>
        <s v="WATTS, J. A., INC."/>
        <s v="WBK Engineering, LLC"/>
        <s v="Webster &amp; Associates, Inc."/>
        <s v="WEINBACH, DANIEL &amp; PARTNERS, LTD."/>
        <s v="Weis Design Group"/>
        <s v="WESTBROOK ASSOCIATED ENGINEERS INC."/>
        <s v="WESTON SOLUTIONS, INC"/>
        <s v="Westwood Professional Services, Inc."/>
        <s v="WGI, Inc."/>
        <s v="Whitehouse Group Inc."/>
        <s v="WHKS &amp; CO."/>
        <s v="Wi-Skies, LLC"/>
        <s v="WIGHT AND COMPANY"/>
        <s v="WILLETT, HOFMANN &amp; ASSOC., INC."/>
        <s v="WISS, JANNEY, ELSTNER ASSOC., INC"/>
        <s v="WOOLPERT, INC."/>
        <s v="WSP USA Environment &amp; Infrastructure Inc."/>
        <s v="WSP USA Inc."/>
      </sharedItems>
    </cacheField>
    <cacheField name="IS DBE" numFmtId="0">
      <sharedItems count="2">
        <s v="False"/>
        <s v="True"/>
      </sharedItems>
    </cacheField>
    <cacheField name="PRE-QUAL CATEGORIES" numFmtId="0">
      <sharedItems count="62">
        <s v="Special Services - Specialty Firm"/>
        <s v="Specialty Agents - Appraiser "/>
        <s v="Specialty Agents - Review Appraiser"/>
        <s v="Structures - Highway: Advanced Typical"/>
        <s v="Structures - Highway: Simple"/>
        <s v="Structures - Highway: Typical"/>
        <s v="Structures - Railroad"/>
        <s v="Highways - Freeways"/>
        <s v="Highways - Roads and Streets"/>
        <s v="Hydraulic Reports - Pump Stations"/>
        <s v="Hydraulic Reports - Waterways: Complex"/>
        <s v="Hydraulic Reports - Waterways: Typical"/>
        <s v="Location Design Studies - Rehabilitation"/>
        <s v="Special Services - Construction Inspection"/>
        <s v="Special Services - Landscape Architecture"/>
        <s v="Special Services - Project Controls"/>
        <s v="Special Services - Sanitary"/>
        <s v="Special Studies - Safety"/>
        <s v="Special Studies - Traffic Studies"/>
        <s v="Special Studies- Location Drainage"/>
        <s v="Special Services - Hazardous Waste: Simple"/>
        <s v="Special Plans - Lighting: Typical"/>
        <s v="Special Services - Electrical Engineering"/>
        <s v="Special Services - Mechanical"/>
        <s v="Location Design Studies - New Construction/Major Reconstruction"/>
        <s v="Location Design Studies - Reconstruction/Major Rehabilitation"/>
        <s v="Special Plans - Lighting: Complex"/>
        <s v="Special Plans - Traffic Signals"/>
        <s v="Special Services - Subsurface Utility Engineering"/>
        <s v="Special Services - Surveying"/>
        <s v="Specialty Agents - Negotiator"/>
        <s v="Specialty Agents - Relocation Agent"/>
        <s v="Transportation Studies - Railway Engineering"/>
        <s v="Airports - Construction Inspection"/>
        <s v="Airports - Design"/>
        <s v="Special Studies - Feasibility"/>
        <s v="Special Services - Public Involvement"/>
        <s v="Airports - Design: Complex Electrical"/>
        <s v="Airports - Master Planning/Airport Layout Plans (ALP)"/>
        <s v="Environmental Reports - Environmental Assessment"/>
        <s v="Environmental Reports - Environmental Impact Statement"/>
        <s v="Geotechnical Services - General Geotechnical Services"/>
        <s v="Geotechnical Services - Structure Geotechnical Reports (SGR)"/>
        <s v="Geotechnical Services - Subsurface Explorations"/>
        <s v="Special Plans - Pumping Stations"/>
        <s v="Special Studies - Pavement Analysis and Evaluation"/>
        <s v="Special Studies - Signal Coordination &amp; Timing (SCAT)"/>
        <s v="Structures - Highway: Complex"/>
        <s v="Structures - Moveable"/>
        <s v="Structures: Major River Bridges"/>
        <s v="Transportation Studies - Mass Transit"/>
        <s v="Transportation Studies - Railway Planning"/>
        <s v="Special Services - Architecture"/>
        <s v="Special Services - Mobile LiDAR"/>
        <s v="Special Services - Hazardous Waste: Advance"/>
        <s v="Special Services - Asbestos Abatement Surveys"/>
        <s v="Special Services - Aerial Mapping/LiDAR"/>
        <s v="Special Services - Quality Assurance HMA &amp; Aggregate"/>
        <s v="Special Services - Quality Assurance PCC &amp; Aggregate"/>
        <s v="Geotechnical Services - Complex Geotech/Major Foundation"/>
        <s v="Hydraulic Reports - Waterways: Two-Dimensional Hydraulics (2D)"/>
        <s v="Airports - Construction Inspection: Complex Electrical"/>
      </sharedItems>
    </cacheField>
    <cacheField name="CITY" numFmtId="0">
      <sharedItems/>
    </cacheField>
    <cacheField name="STATE" numFmtId="0">
      <sharedItems/>
    </cacheField>
    <cacheField name="EMAIL" numFmtId="0">
      <sharedItems count="415">
        <s v="ktadrowski@tengineering.net"/>
        <s v="hemal.patel@10-4eng.com"/>
        <s v="smed@1staerow.com"/>
        <s v="luis.m@2imgroup.com"/>
        <s v="ralrousan@4hdconsultants.com"/>
        <s v="Alisa@A3E.com"/>
        <s v="rborenstein@aaaengineering.net"/>
        <s v="businessadmin@abnacorp.com"/>
        <s v="lanyea@acclaimcollier.com"/>
        <s v="jhomedi@accgi.com"/>
        <s v="registrations@acumentransit.com"/>
        <s v="mtaylorcrate@added-dimension.com"/>
        <s v="aoshana@adoengineering.com"/>
        <s v="eyad@acgintl.com"/>
        <s v="tim.whalen@aecom.com"/>
        <s v="sayeed87@gmail.com"/>
        <s v="kfitzgerald@altusworks.com"/>
        <s v="hmohammed@americanengconsultants.com"/>
        <s v="jknapp@amengtest.com"/>
        <s v="ccanfield@structurepoint.com"/>
        <s v="c.fidis@americansurvey.com"/>
        <s v="aaron@aviveterans.com"/>
        <s v="ahsan.siddiqi@amesengineeringinc.com"/>
        <s v="kliss@andrews-eng.com"/>
        <s v="JSAUCEDO@angelo-cs.com"/>
        <s v="dbrazil@apexconsults.com"/>
        <s v="gary@apisurvey.com"/>
        <s v="adam@appliedgeo.net"/>
        <s v="prequal@appliedpavement.com"/>
        <s v="jmitchaner@ara.com"/>
        <s v="sjoshi@apsae.com"/>
        <s v="gparadoski@aqua-vitaegroup.com"/>
        <s v="ryans@arcdesign.com"/>
        <s v="jacqueline.berger@arcadis.com"/>
        <s v="kshaikh@arkengrg.com"/>
        <s v="ptobias@arorapc.com"/>
        <s v="nlevans@artisancivil.com"/>
        <s v="askengservice@gmail.com"/>
        <s v="advanced@advct.com"/>
        <s v="Christie.kersey@atkinsrealis.com"/>
        <s v="nhomedi@aegroupltd.com"/>
        <s v="Christine.Hoagland@oneatlas.com"/>
        <s v="braunp@ayresassociates.com"/>
        <s v="mworkman@bfwengineers.com"/>
        <s v="todd.kempker@bartwest.com"/>
        <s v="aterry@ardadesign.com"/>
        <s v="jambrose@baxterwoodman.com"/>
        <s v="michael@baysingerarchitects.com"/>
        <s v="rbeaman@beamaninc.com"/>
        <s v="smreichelt@behnkematerialsengineering.com"/>
        <s v="akeaschall@benesch.com"/>
        <s v="info@bentonassociates.com"/>
        <s v="eclancy@bernsclancy.com"/>
        <s v="dbruckelmeyer@bla-inc.com"/>
        <s v="swallis@bwcinc.com"/>
        <s v="mtharaniyil@bloomcos.com"/>
        <s v="jbollman@bollmaneng.com"/>
        <s v="mhannemann@bowman.com"/>
        <s v="jkozial@bravocoeng.com"/>
        <s v="mvbrorsen@gmail.com"/>
        <s v="jwb@brownandroberts.com"/>
        <s v="asw@bczengineering.com"/>
        <s v="matt@brcnet.com"/>
        <s v="ray.momsen@us.bureauveritas.com"/>
        <s v="mkerr@cbbel.com"/>
        <s v="tmccay@burnsmcd.com"/>
        <s v="smease@ccjm.com"/>
        <s v="scapecci@camsys.com"/>
        <s v="syanamanamanda@cbbtraffic.com"/>
        <s v="corey.sell@cbre.com"/>
        <s v="jmclaren@ccsdifference.com"/>
        <s v="jellington@cdgengineers.com"/>
        <s v="pasinskiss@cdmsmith.com"/>
        <s v="mattw@cemcon.com"/>
        <s v="najim@cepcompany.com"/>
        <s v="svaughn@cerasolutions.com"/>
        <s v="kevin.bunge@civilideas.com"/>
        <s v="pkpatel@cgmtinc.com"/>
        <s v="dand@chamlin.com"/>
        <s v="jbuening@chastainengineers.com"/>
        <s v="msschawla@outlook.com"/>
        <s v="nsolano@chicagometrovalue.com"/>
        <s v="Pyerkes@Chicagotestinglab.com"/>
        <s v="eileenc@rmchin.com"/>
        <s v="sdibernardo@ciorba.com"/>
        <s v="bwozniak@cecinc.com"/>
        <s v="vlarose@civildesigninc.com"/>
        <s v="jvana@civiltechinc.com"/>
        <s v="mwhiteside@ckleng.com"/>
        <s v="rwhite@cwasurvey.com"/>
        <s v="jerry.payonk@clarkdietz.com"/>
        <s v="maria.thorp@collierseng.com"/>
        <s v="jhamelka@collinsengr.com"/>
        <s v="lake.lund@cai-engr.com"/>
        <s v="hbelgio@clsurveying.com"/>
        <s v="ldixon@comprehensivecc.com"/>
        <s v="a.cotter@cotterconsulting.com"/>
        <s v="rdriskell@cmtengr.com"/>
        <s v="kim@cumminsengineering.com"/>
        <s v="jtdavis@customengr.com"/>
        <s v="Paul.Lopez@czaplickilopez.com"/>
        <s v="fcdescoto@descotoinc.com"/>
        <s v="dld1@prodigy.net"/>
        <s v="bhafeez@damaconsultants.com"/>
        <s v="rthompson@dba.world"/>
        <s v="scoleman@davidengcorp.com"/>
        <s v="david.peshkin@gmail.com"/>
        <s v="clayton.johanson@db-eco.us"/>
        <s v="washingtoned48@gmail.com"/>
        <s v="shujak@deg-america.com"/>
        <s v="brouwer@delveunderground.com"/>
        <s v="chicago@dceint.com"/>
        <s v="gthay@design9.com"/>
        <s v="mbreitbach@dewberry.com"/>
        <s v="dhoward@djhowardrea.com"/>
        <s v="jzwierzynski@dlz.com"/>
        <s v="kschmiegel@dlz.com"/>
        <s v="ddoland@dolandengineering.com"/>
        <s v="ecockerill@donohue-associates.com"/>
        <s v="zchen@dynastygrp.com"/>
        <s v="khayes@eco-solinc.com"/>
        <s v="clopez@ecslimited.com"/>
        <s v="llmoen@efkmoen.com"/>
        <s v="michael.elder@eldervaluationservices.com"/>
        <s v="s.Marsolek@encompassservices.com"/>
        <s v="dlw@engdesignsource.com"/>
        <s v="bsanderson@eeiweb.com"/>
        <s v="jmayer@eraconsultants.com"/>
        <s v="imtiaz@esgcorp.us"/>
        <s v="lsawyer@envdesigni.com"/>
        <s v="tsmiles@epsteinglobal.com"/>
        <s v="mark@equitynetwork.com"/>
        <s v="elh@escaconsultants.com"/>
        <s v="ercs-acquisitions@outlook.com"/>
        <s v="brian.umbright@exp.com"/>
        <s v="smathew@facetengineering.net"/>
        <s v="ebachman@f-w.com"/>
        <s v="MGronewold@fehrgraham.com"/>
        <s v="admin@fluidclarity.com"/>
        <s v="jon@foundationmech.com"/>
        <s v="nicole@greenprintpartners.com"/>
        <s v="gfuhrmann@fuhrmann-eng.com"/>
        <s v="dpgandhi@pkgandhi.com"/>
        <s v="JEFrank@GarverUSA.com"/>
        <s v="brenda.karhoff@gke-llc.com"/>
        <s v="melberts@geconsultllc.com"/>
        <s v="jgilbert@gbasi.com"/>
        <s v="rrusk@geiconsultants.com"/>
        <s v="julianrueda@geoservicesinc.net"/>
        <s v="jzabrocki@reltd.com"/>
        <s v="smoeder@gbateam.com"/>
        <s v="abystrov@geosyntec.com"/>
        <s v="msmadi@geotill.com"/>
        <s v="katherine.greene@gestrainc.com"/>
        <s v="apenn@gha-engineers.com"/>
        <s v="cferguson@gfnet.com"/>
        <s v="marketing@gec-group.com"/>
        <s v="theresa@ggstl.com"/>
        <s v="marketing@gocos.net"/>
        <s v="peter.johnston@graef-usa.com"/>
        <s v="Kashif.Syed@gnbil.com"/>
        <s v="ethorkildsen@gpinet.com"/>
        <s v="safdar_gill@yahoo.com"/>
        <s v="asassila@gsg-consultants.com"/>
        <s v="rrao@guidehouse.com"/>
        <s v="rashed@gulaidce.com"/>
        <s v="abdul@hkmeng.com"/>
        <s v="asosa@hntb.com"/>
        <s v="jlyon@hlreng.com"/>
        <s v="dstreichel@ehancock.com"/>
        <s v="sswango@hanson-inc.com"/>
        <s v="pskelton@hardestyhanover.com"/>
        <s v="bturk@hbkengineering.com"/>
        <s v="hayat.issa@hbmeng.com"/>
        <s v="Thomas.Hein@hdrinc.com"/>
        <s v="writeranh@gmail.com"/>
        <s v="will.watkins@helixengineeringllc.com"/>
        <s v="llbowlin@heneghanassoc.com"/>
        <s v="bhummert@hmgengineers.com"/>
        <s v="ahermann@hermannassoc.com"/>
        <s v="volo@heyassoc.com"/>
        <s v="eharrison@hgcons.com"/>
        <s v="binman@hitchcockdesigngroup.com"/>
        <s v="tristan@holcombengineering.com"/>
        <s v="beriechmann@hornershifrin.com"/>
        <s v="amrowicki@hrgreen.com"/>
        <s v="hrstachel@hrvinc.com"/>
        <s v="margaret.panatera@gza.com"/>
        <s v="jroth@hurst-rosche.com"/>
        <s v="jhutchison@hutchisoneng.com"/>
        <s v="chamano@iceillinois.com"/>
        <s v="tracy.morse@imagesinc.net"/>
        <s v="corey.j.stout@imegcorp.com"/>
        <s v="slibra@indigoecological.com"/>
        <s v="acarmichael@infrasense.com"/>
        <s v="Ssutton@infrastructure-eng.com"/>
        <s v="peter.stephenson@innleadair.com"/>
        <s v="ssaleem@innovaconsultinc.com"/>
        <s v="dsrao@interraservices.com"/>
        <s v="CAchillides@iteris.com"/>
        <s v="t.beggs@jtblankinship.com"/>
        <s v="marie.glynn@jacobs.com"/>
        <s v="tryan@jacobsryan.com"/>
        <s v="bslagle@jsengr.com"/>
        <s v="r_heap@yahoo.com"/>
        <s v="anita.dockett@lopezcpas.com"/>
        <s v="patrick.smith2@jll.com"/>
        <s v="mkindelin@jlkarch.com"/>
        <s v="jorgensen@cwasurvey.com"/>
        <s v="dougs@jt-engineering.com"/>
        <s v="juli@juliordower.com"/>
        <s v="pbridges@jaipc.com"/>
        <s v="lien.dastgir@kadengineeringgroup.com"/>
        <s v="kaletechllc@gmail.com"/>
        <s v="atri@kalgeninc.com"/>
        <s v="gboyer@kaskaskiaeng.com"/>
        <s v="kmoore@kdmengineering.com"/>
        <s v="mwerthmann@kloainc.com"/>
        <s v="Sagar.Sonar@Kimley-Horn.com"/>
        <s v="ebb@klingner.com"/>
        <s v="scott.wyatt@kpff.com"/>
        <s v="kcline@kta.com"/>
        <s v="mtrello@ktengr.com"/>
        <s v="sainath@lse-eng.com"/>
        <s v="kelly.langer@lakesideengineers.com"/>
        <s v="jeffrey.jackson@landrumbrown.com"/>
        <s v="gbuttice@larsondarby.com"/>
        <s v="jtinder@larsonengr.com"/>
        <s v="sjahn@legat.com"/>
        <s v="flin@lineng.com"/>
        <s v="daniel.drew@tylin.com"/>
        <s v="ssmith@lochgroup.com"/>
        <s v="ploete@hwlochner.com"/>
        <s v="florenz@lorenzassociates.com"/>
        <s v="minal@msquaredengineering.com"/>
        <s v="mging@mg2a.com"/>
        <s v="marjorie.melton@m3eg.com"/>
        <s v="mburke@mackieconsult.com"/>
        <s v="jbaker@manhard.com"/>
        <s v="pnm@marchese-sons.com"/>
        <s v="schapman@msimarinesolutions.com"/>
        <s v="summer@marrarnoldplanning.com"/>
        <s v="pmartin@martinengineeringco.com"/>
        <s v="mrjsurvey@yahoo.com"/>
        <s v="rmacklin@masengineeringpllc.com"/>
        <s v="tmason@davidmason.com"/>
        <s v="admin@massie-massie-associates.com"/>
        <s v="chamano@mstli.com"/>
        <s v="tiltgesd@msl-corp.com"/>
        <s v="jdspiller@mstutz.com"/>
        <s v="ssmith@mcclurevision.com"/>
        <s v="vlutz@mcmgrp.com"/>
        <s v="paul.strege@meadhunt.com"/>
        <s v="mmiddendorf@mecoengineering.com"/>
        <s v="swadia@metrostratgroup.com"/>
        <s v="joseph.catalano@mbakerintl.com"/>
        <s v="wprigge@msetinc.com"/>
        <s v="kmueller@metgeotech.com"/>
        <s v="dhorton@mweainc.com"/>
        <s v="dgrunloh@mgengineers.com"/>
        <s v="MilhouseBD@milhouseinc.com"/>
        <s v="tngo@millennia.pro"/>
        <s v="DWPetermeier@modjeski.com"/>
        <s v="sdkerr@mohrandkerr.com"/>
        <s v="kmorreale@morrealecomm.com"/>
        <s v="vicki@ecivil.com"/>
        <s v="scott.piazza@mottmac.com"/>
        <s v="kruhland@msa-ps.com"/>
        <s v="mark@mtjengineering.com"/>
        <s v="cmuller@muller2.com"/>
        <s v="courtney@musecommunitydesign.com"/>
        <s v="uahmad@nstengr.com"/>
        <s v="compliance@nelsonnygaard.com"/>
        <s v="tgeary@novotnyengineering.com"/>
        <s v="robert.vandermeer@nv5.com"/>
        <s v="bruce.schopp@oatesassociates.com"/>
        <s v="mmeyer@omniecosytems.com"/>
        <s v="mwiedoff@oescgroup.com"/>
        <s v="vsimpkins@onyxchicago.com"/>
        <s v="lauren.ray@origindesign.com"/>
        <s v="cfrangos@orionengineersllc.com"/>
        <s v="aattawia@osehinc.com"/>
        <s v="jfrantz@parametrix.com"/>
        <s v="amar.rajpurkar@parsons.com"/>
        <s v="keng@patrickco.com"/>
        <s v="leah.davila@pdfeng.com"/>
        <s v="j-a.peralte@peralte-clark.com"/>
        <s v="npiggush@piggusheng.com"/>
        <s v="michael.b@pinpointpe.com"/>
        <s v="bayoadanri@pvc-inc.net"/>
        <s v="alia@psba.com"/>
        <s v="Mark@polachappraisal.com"/>
        <s v="bpostl@postl-yore.com"/>
        <s v="rodney.potts@yahoo.com"/>
        <s v="lkramer@prairieengineers.com"/>
        <s v="einman@primeraeng.com"/>
        <s v="thughes@princetontechnical.com"/>
        <s v="Sally@pmcsconsulting.com"/>
        <s v="slucas@purporsebrand.com"/>
        <s v="Admin@qrse.com"/>
        <s v="cquandel@quandel.com"/>
        <s v="lquigg@quiggengineering.com"/>
        <s v="RRivera@rgengineering.net"/>
        <s v="jennifer.drake@railpros.com"/>
        <s v="jimpatel50@gmail.com"/>
        <s v="renwick@renwick-associates.com"/>
        <s v="jhelman@resilient-analytics.com"/>
        <s v="proposals@rsginc.com"/>
        <s v="myoung@rjnmail.com"/>
        <s v="jprinz@reltd.com"/>
        <s v="james.shaw@rsandh.com"/>
        <s v="matt.whisler@rtmec.com"/>
        <s v="michelle.lipinski@rubinoeng.com"/>
        <s v="NShah@RME-i.com"/>
        <s v="selder@sabur-inc.com"/>
        <s v="TJones@salemland.com"/>
        <s v="peter.wojtkiewicz@samschwartz.com"/>
        <s v="gpsanchez@sanchez-pc.com"/>
        <s v="jsteve@santacruz-associates.com"/>
        <s v="info@saraydesigngroup.com"/>
        <s v="rmauch@sciengineering.com"/>
        <s v="dajao@sdiengr.com"/>
        <s v="jmartin@se3.us"/>
        <s v="jason.buenker@shanwil.com"/>
        <s v="babernathy@shawneepsi.com"/>
        <s v="bchamplin@smsengineers.com"/>
        <s v="ses@sherrillassoc.com"/>
        <s v="zhowell@shive-hattery.com"/>
        <s v="craigshonkwiler@gmail.com"/>
        <s v="dfortney@sehinc.com"/>
        <s v="nsanderson@sgh.com"/>
        <s v="hkaur@singhinc.com"/>
        <s v="rksit@site-design.com"/>
        <s v="ibraheem@skiengrg.com"/>
        <s v="adrienne.lynch@sksengineers.com"/>
        <s v="paul.wiese@smithgroup.com"/>
        <s v="tjohnson@soilandmaterialconsultants.com"/>
        <s v="submittals@spaantech.com"/>
        <s v="rstawik@spacecoinc.com"/>
        <s v="admin@sqna.com"/>
        <s v="marketing@srfconsulting.com"/>
        <s v="McMillanDolan@stanleygroup.com"/>
        <s v="joe.cliggott@stantec.com"/>
        <s v="robert.tipton@stantec.com"/>
        <s v="jbehnke@statetestingllc.com"/>
        <s v="rjeune@dbsterlin.com"/>
        <s v="tony.standish@strand.com"/>
        <s v="sara.knight@strataearth.com"/>
        <s v="Korene.robinson@svs-inc.com"/>
        <s v="aubrey.tetreault-folmsbee@stvinc.com"/>
        <s v="edward.coffey@stvinc.com"/>
        <s v="BEspinosa@sam.biz"/>
        <s v="swong@swe-solutions.com"/>
        <s v="tab@swansonandbrown.com"/>
        <s v="asha.singh@synnovgroup.com"/>
        <s v="mike.lee@tandiellc.com"/>
        <s v="michael.woods@t2ue.com"/>
        <s v="klatham@talmanconsultants.com"/>
        <s v="manesh@tecmaengineering.com"/>
        <s v="jbousaab@terraengineering.com"/>
        <s v="Linda.Yang@terracon.com"/>
        <s v="svoelz@teskaassociates.com"/>
        <s v="jmassa@tsccorp.com"/>
        <s v="leah@theaviationplanninggroup.com"/>
        <s v="sgarcia@hohgroup.com"/>
        <s v="npetrovic@thelakotagrou.com"/>
        <s v="rashod@ardmoreroderick.com"/>
        <s v="pcasey@wtgroup.com"/>
        <s v="woodard.jeffrey@gmail.com"/>
        <s v="tomg@thomas-engineering.com"/>
        <s v="lorenzo.thompson@tcivil.com"/>
        <s v="dsporina@thomsonltd.com"/>
        <s v="rdeconcini@twm-inc.com"/>
        <s v="matt.christensen@tkda.com"/>
        <s v="compliance@tooledesign.com"/>
        <s v="peter@towerengineeringgroup.com"/>
        <s v="ysafo@translandengineering.com"/>
        <s v="cli@transmartinc.com"/>
        <s v="jafortmann@transystems.com"/>
        <s v="krobinett@trekkdesigngroup.com"/>
        <s v="atate@tpspllc.com"/>
        <s v="jdounias@mac.com"/>
        <s v="s.cieslica@trotter-inc.com"/>
        <s v="mschmidt@consulttruenorth.com"/>
        <s v="kpesavento@thewillgroup.com"/>
        <s v="ktownsend@geotechnology.com"/>
        <s v="dhoelscher@upchurchgroup.com"/>
        <s v="mkelly@uplanddesign.com"/>
        <s v="gbrown@updc.com"/>
        <s v="lgallucci@v3co.com"/>
        <s v="bmvaldes@valdeseng.com"/>
        <s v="ken@valupros.us"/>
        <s v="jholzer@vandersinc.com"/>
        <s v="mhenderson@v-k.net"/>
        <s v="qin.james@va-inc.com"/>
        <s v="jason.watters@volkert.com"/>
        <s v="cfarez@wangeng.com"/>
        <s v="ccarter@jwincorporated.com"/>
        <s v="yoyewole@wbkengineering.com"/>
        <s v="jim@websterappraisals.com"/>
        <s v="wschulenberg@dwpltd.com"/>
        <s v="lweis-smith@weisdesigngroup.com"/>
        <s v="aknutson@westbrookeng.com"/>
        <s v="Andris.Slesers@westonsolutions.com"/>
        <s v="cherie.guzman@westwoodps.com"/>
        <s v="sima.narcus@wginc.com"/>
        <s v="tbrauer@whitehousegroup.com"/>
        <s v="ssanford@whks.com"/>
        <s v="joe@wi-skies.com"/>
        <s v="mmcmurray@wightco.com"/>
        <s v="bconverse@willetthofmann.com"/>
        <s v="jmcgormley@wje.com"/>
        <s v="beth.haun@woolpert.com"/>
        <s v="michael.hoffman@wsp.com"/>
        <s v="John.Trotta@wsp.com"/>
      </sharedItems>
    </cacheField>
    <cacheField name="CONCATE" numFmtId="0">
      <sharedItems count="181">
        <s v="Chicago, IL"/>
        <s v="Lombard, IL"/>
        <s v="Lisle, IL"/>
        <s v="Burr Ridge, IL"/>
        <s v="Lincolnshire, IL"/>
        <s v="Oakland, CA"/>
        <s v="St. Charles, MO"/>
        <s v="South Elgin, IL"/>
        <s v="Aurora, IL"/>
        <s v="Saint Paul, MN"/>
        <s v="Indianapolis, IN"/>
        <s v="DOWNERS GROVE, IL"/>
        <s v="Springfield, IL"/>
        <s v="Braodview, IL"/>
        <s v="Nashville, IL"/>
        <s v="Schaumburg, IL"/>
        <s v="Champaign, IL"/>
        <s v="Arlington Heights, IL"/>
        <s v="Loves Park, IL"/>
        <s v="Los Angeles, CA"/>
        <s v="Chapin, IL"/>
        <s v="Glen Ellyn, IL"/>
        <s v="Batavia, IL"/>
        <s v="Deerfield, IL"/>
        <s v="Chicago , IL"/>
        <s v="Eau Claire, WI"/>
        <s v="Paducah, KY"/>
        <s v="Jefferson City, MO"/>
        <s v="Crystal Lake, IL"/>
        <s v="Marion, IL"/>
        <s v="Beloit, WI"/>
        <s v="Jacksonville, IL"/>
        <s v="Urbana, IL"/>
        <s v="Itasca, IL"/>
        <s v="Mt Zion, IL"/>
        <s v="Bourbonnais, IL"/>
        <s v="Harrisburg, IL"/>
        <s v="Galesburg, IL"/>
        <s v="Rosemont, IL"/>
        <s v="Rockville, MD"/>
        <s v="Medford, MA"/>
        <s v="St. Louis, MO"/>
        <s v="Milwaukee, WI"/>
        <s v="Oakbrook Terrace, IL"/>
        <s v="Madison, WI"/>
        <s v="Belvidere, IL"/>
        <s v="Elk Grove Village, IL"/>
        <s v="Peru, IL"/>
        <s v="Decatur, IL"/>
        <s v="Glenview, IL"/>
        <s v="Northbrook, IL"/>
        <s v="Thornton, IL"/>
        <s v="Naperville, IL"/>
        <s v="Saint Louis, MO"/>
        <s v="Joliet, IL"/>
        <s v="Holmdel, NJ"/>
        <s v="Jackson, MI"/>
        <s v="Independence, MO"/>
        <s v="Hickory Hills, IL"/>
        <s v="Knoxville, TN"/>
        <s v="Peoria, IL"/>
        <s v="Pittsburgh, PA"/>
        <s v="HIGHLAND, IL"/>
        <s v="Palatine, IL"/>
        <s v="Buffalo Grove, IL"/>
        <s v="Duluth, MN"/>
        <s v="Chesterfield, MO"/>
        <s v="Sugar Grove, IL"/>
        <s v="Warrenville, IL"/>
        <s v="New Lenox, IL"/>
        <s v="Belleville, IL"/>
        <s v="Bloomington, IL"/>
        <s v="Rockford, IL"/>
        <s v="Oak Park, IL"/>
        <s v="Lenexa, KS"/>
        <s v="Frankfort, IL"/>
        <s v="Boca Raton, FL"/>
        <s v="Fishers, IN"/>
        <s v="Vernon Hills, IL"/>
        <s v="Babylon, NY"/>
        <s v="Elgin, IL"/>
        <s v="Westchester, IL"/>
        <s v="New York, NY"/>
        <s v="Hillside, IL"/>
        <s v="East Dundee, IL"/>
        <s v="Plainfield, IL"/>
        <s v="Jerseyville, IL"/>
        <s v="Breese, IL"/>
        <s v="Peoria Heights, IL"/>
        <s v="Volo, IL"/>
        <s v="Kansas City, MO"/>
        <s v="Carbondale, IL"/>
        <s v="O'Fallon, IL"/>
        <s v="Moon Township, PA"/>
        <s v="Oak Brook, IL"/>
        <s v="Hillsboro, IL"/>
        <s v="Wheeling, IL"/>
        <s v="Tower Lakes, IL"/>
        <s v="Woburn, MA"/>
        <s v="Rolling Meadows, IL"/>
        <s v="Lincolnwood, IL"/>
        <s v="Bolingbrook, IL"/>
        <s v="Geneva, IL"/>
        <s v="Murphysboro, IL"/>
        <s v="Indianapoils, IN"/>
        <s v="Morris, IL"/>
        <s v="Lake Villa, IL"/>
        <s v="Hobart, WI"/>
        <s v="Granite City, IL"/>
        <s v="Woodridge, IL"/>
        <s v="Quincy, IL"/>
        <s v="Wauwatosa, WI"/>
        <s v="Gurnee, IL"/>
        <s v="Westmont, IL"/>
        <s v="Edwardsville, IL"/>
        <s v="Bradley, IL"/>
        <s v="Roselle, IL"/>
        <s v="Nicholasville, KY"/>
        <s v="Ames, IA"/>
        <s v="Centralia, IL"/>
        <s v="Paris, IL"/>
        <s v="Clive, IA"/>
        <s v="Neenah, WI"/>
        <s v="Middleton, WI"/>
        <s v="Pittsfield , IL"/>
        <s v="East Peoria, IL"/>
        <s v="Effingham, IL"/>
        <s v="Morton, IL"/>
        <s v="San Francisco, CA"/>
        <s v="Willowbrook, IL"/>
        <s v="Sheboygan Falls, WI"/>
        <s v="Collinsville, IL"/>
        <s v="Dubuque, IA"/>
        <s v="Wheaton, IL"/>
        <s v="Park Rige, IL"/>
        <s v="Kankakee, IL"/>
        <s v="Elmhurst, IL"/>
        <s v="Island lake, IL"/>
        <s v="Carterville, IL"/>
        <s v="Columbia, IL"/>
        <s v="La Grange, IL"/>
        <s v="Honolulu, HI, HI"/>
        <s v="Irving, TX"/>
        <s v="Ottawa, IL"/>
        <s v="Broomfield, CO"/>
        <s v="White River Junction, VT"/>
        <s v="St. Charles, IL"/>
        <s v="Northfield, IL"/>
        <s v="Vienna, IL"/>
        <s v="Alton, IL"/>
        <s v="Bettendorf, IA"/>
        <s v="Minneapolis, MN"/>
        <s v="Joliet, WI"/>
        <s v="Lee's Summit, MO"/>
        <s v="PALOS HEIGHTS, IL"/>
        <s v="Hoffman Estates, IL"/>
        <s v="Ashland, VA"/>
        <s v="Glendale Heights, IL"/>
        <s v="Evanston, IL"/>
        <s v="Carol Stream, IL"/>
        <s v="Fredericksburg, VA"/>
        <s v="Swansea, IL"/>
        <s v="Silver Spring , MD"/>
        <s v="LANSING, IL"/>
        <s v="Saint Charles, IL"/>
        <s v="Shorewood, IL"/>
        <s v="Memphis, TN"/>
        <s v="Mattoon, IL"/>
        <s v="Byron, IL"/>
        <s v="Woodstock, IL"/>
        <s v="Fullerton, CA"/>
        <s v="Ellisville, MO"/>
        <s v="Spring Green, WI"/>
        <s v="Las Vegas, NV"/>
        <s v="West Palm Beach, FL"/>
        <s v="Fort Lauderdale, FL"/>
        <s v="Springfield , IL"/>
        <s v="Spanish Fort, AL"/>
        <s v="Darien, IL"/>
        <s v="Dixon, IL"/>
        <s v="Dayton, OH"/>
      </sharedItems>
    </cacheField>
  </cacheFields>
  <extLst>
    <ext xmlns:x14="http://schemas.microsoft.com/office/spreadsheetml/2009/9/main" uri="{725AE2AE-9491-48be-B2B4-4EB974FC3084}">
      <x14:pivotCacheDefinition pivotCacheId="687067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28">
  <r>
    <x v="0"/>
    <x v="0"/>
    <x v="0"/>
    <s v="Chicago"/>
    <s v="IL"/>
    <x v="0"/>
    <x v="0"/>
  </r>
  <r>
    <x v="0"/>
    <x v="0"/>
    <x v="1"/>
    <s v="Chicago"/>
    <s v="IL"/>
    <x v="0"/>
    <x v="0"/>
  </r>
  <r>
    <x v="0"/>
    <x v="0"/>
    <x v="2"/>
    <s v="Chicago"/>
    <s v="IL"/>
    <x v="0"/>
    <x v="0"/>
  </r>
  <r>
    <x v="1"/>
    <x v="1"/>
    <x v="3"/>
    <s v="Chicago"/>
    <s v="IL"/>
    <x v="1"/>
    <x v="0"/>
  </r>
  <r>
    <x v="1"/>
    <x v="1"/>
    <x v="4"/>
    <s v="Chicago"/>
    <s v="IL"/>
    <x v="1"/>
    <x v="0"/>
  </r>
  <r>
    <x v="1"/>
    <x v="1"/>
    <x v="5"/>
    <s v="Chicago"/>
    <s v="IL"/>
    <x v="1"/>
    <x v="0"/>
  </r>
  <r>
    <x v="1"/>
    <x v="1"/>
    <x v="6"/>
    <s v="Chicago"/>
    <s v="IL"/>
    <x v="1"/>
    <x v="0"/>
  </r>
  <r>
    <x v="2"/>
    <x v="1"/>
    <x v="0"/>
    <s v="Chicago"/>
    <s v="IL"/>
    <x v="2"/>
    <x v="0"/>
  </r>
  <r>
    <x v="2"/>
    <x v="1"/>
    <x v="1"/>
    <s v="Chicago"/>
    <s v="IL"/>
    <x v="2"/>
    <x v="0"/>
  </r>
  <r>
    <x v="2"/>
    <x v="1"/>
    <x v="2"/>
    <s v="Chicago"/>
    <s v="IL"/>
    <x v="2"/>
    <x v="0"/>
  </r>
  <r>
    <x v="3"/>
    <x v="1"/>
    <x v="7"/>
    <s v="Chicago"/>
    <s v="IL"/>
    <x v="3"/>
    <x v="0"/>
  </r>
  <r>
    <x v="3"/>
    <x v="1"/>
    <x v="8"/>
    <s v="Chicago"/>
    <s v="IL"/>
    <x v="3"/>
    <x v="0"/>
  </r>
  <r>
    <x v="3"/>
    <x v="1"/>
    <x v="9"/>
    <s v="Chicago"/>
    <s v="IL"/>
    <x v="3"/>
    <x v="0"/>
  </r>
  <r>
    <x v="3"/>
    <x v="1"/>
    <x v="10"/>
    <s v="Chicago"/>
    <s v="IL"/>
    <x v="3"/>
    <x v="0"/>
  </r>
  <r>
    <x v="3"/>
    <x v="1"/>
    <x v="11"/>
    <s v="Chicago"/>
    <s v="IL"/>
    <x v="3"/>
    <x v="0"/>
  </r>
  <r>
    <x v="3"/>
    <x v="1"/>
    <x v="12"/>
    <s v="Chicago"/>
    <s v="IL"/>
    <x v="3"/>
    <x v="0"/>
  </r>
  <r>
    <x v="3"/>
    <x v="1"/>
    <x v="13"/>
    <s v="Chicago"/>
    <s v="IL"/>
    <x v="3"/>
    <x v="0"/>
  </r>
  <r>
    <x v="3"/>
    <x v="1"/>
    <x v="14"/>
    <s v="Chicago"/>
    <s v="IL"/>
    <x v="3"/>
    <x v="0"/>
  </r>
  <r>
    <x v="3"/>
    <x v="1"/>
    <x v="15"/>
    <s v="Chicago"/>
    <s v="IL"/>
    <x v="3"/>
    <x v="0"/>
  </r>
  <r>
    <x v="3"/>
    <x v="1"/>
    <x v="16"/>
    <s v="Chicago"/>
    <s v="IL"/>
    <x v="3"/>
    <x v="0"/>
  </r>
  <r>
    <x v="3"/>
    <x v="1"/>
    <x v="17"/>
    <s v="Chicago"/>
    <s v="IL"/>
    <x v="3"/>
    <x v="0"/>
  </r>
  <r>
    <x v="3"/>
    <x v="1"/>
    <x v="18"/>
    <s v="Chicago"/>
    <s v="IL"/>
    <x v="3"/>
    <x v="0"/>
  </r>
  <r>
    <x v="3"/>
    <x v="1"/>
    <x v="19"/>
    <s v="Chicago"/>
    <s v="IL"/>
    <x v="3"/>
    <x v="0"/>
  </r>
  <r>
    <x v="4"/>
    <x v="1"/>
    <x v="13"/>
    <s v="Lombard"/>
    <s v="IL"/>
    <x v="4"/>
    <x v="1"/>
  </r>
  <r>
    <x v="5"/>
    <x v="1"/>
    <x v="20"/>
    <s v="Lisle"/>
    <s v="IL"/>
    <x v="5"/>
    <x v="2"/>
  </r>
  <r>
    <x v="6"/>
    <x v="1"/>
    <x v="21"/>
    <s v="Chicago"/>
    <s v="IL"/>
    <x v="6"/>
    <x v="0"/>
  </r>
  <r>
    <x v="6"/>
    <x v="1"/>
    <x v="13"/>
    <s v="Chicago"/>
    <s v="IL"/>
    <x v="6"/>
    <x v="0"/>
  </r>
  <r>
    <x v="6"/>
    <x v="1"/>
    <x v="22"/>
    <s v="Chicago"/>
    <s v="IL"/>
    <x v="6"/>
    <x v="0"/>
  </r>
  <r>
    <x v="6"/>
    <x v="1"/>
    <x v="23"/>
    <s v="Chicago"/>
    <s v="IL"/>
    <x v="6"/>
    <x v="0"/>
  </r>
  <r>
    <x v="7"/>
    <x v="1"/>
    <x v="7"/>
    <s v="Burr Ridge"/>
    <s v="IL"/>
    <x v="7"/>
    <x v="3"/>
  </r>
  <r>
    <x v="7"/>
    <x v="1"/>
    <x v="8"/>
    <s v="Burr Ridge"/>
    <s v="IL"/>
    <x v="7"/>
    <x v="3"/>
  </r>
  <r>
    <x v="7"/>
    <x v="1"/>
    <x v="10"/>
    <s v="Burr Ridge"/>
    <s v="IL"/>
    <x v="7"/>
    <x v="3"/>
  </r>
  <r>
    <x v="7"/>
    <x v="1"/>
    <x v="11"/>
    <s v="Burr Ridge"/>
    <s v="IL"/>
    <x v="7"/>
    <x v="3"/>
  </r>
  <r>
    <x v="7"/>
    <x v="1"/>
    <x v="24"/>
    <s v="Burr Ridge"/>
    <s v="IL"/>
    <x v="7"/>
    <x v="3"/>
  </r>
  <r>
    <x v="7"/>
    <x v="1"/>
    <x v="25"/>
    <s v="Burr Ridge"/>
    <s v="IL"/>
    <x v="7"/>
    <x v="3"/>
  </r>
  <r>
    <x v="7"/>
    <x v="1"/>
    <x v="12"/>
    <s v="Burr Ridge"/>
    <s v="IL"/>
    <x v="7"/>
    <x v="3"/>
  </r>
  <r>
    <x v="7"/>
    <x v="1"/>
    <x v="26"/>
    <s v="Burr Ridge"/>
    <s v="IL"/>
    <x v="7"/>
    <x v="3"/>
  </r>
  <r>
    <x v="7"/>
    <x v="1"/>
    <x v="21"/>
    <s v="Burr Ridge"/>
    <s v="IL"/>
    <x v="7"/>
    <x v="3"/>
  </r>
  <r>
    <x v="7"/>
    <x v="1"/>
    <x v="27"/>
    <s v="Burr Ridge"/>
    <s v="IL"/>
    <x v="7"/>
    <x v="3"/>
  </r>
  <r>
    <x v="7"/>
    <x v="1"/>
    <x v="13"/>
    <s v="Burr Ridge"/>
    <s v="IL"/>
    <x v="7"/>
    <x v="3"/>
  </r>
  <r>
    <x v="7"/>
    <x v="1"/>
    <x v="22"/>
    <s v="Burr Ridge"/>
    <s v="IL"/>
    <x v="7"/>
    <x v="3"/>
  </r>
  <r>
    <x v="7"/>
    <x v="1"/>
    <x v="16"/>
    <s v="Burr Ridge"/>
    <s v="IL"/>
    <x v="7"/>
    <x v="3"/>
  </r>
  <r>
    <x v="7"/>
    <x v="1"/>
    <x v="28"/>
    <s v="Burr Ridge"/>
    <s v="IL"/>
    <x v="7"/>
    <x v="3"/>
  </r>
  <r>
    <x v="7"/>
    <x v="1"/>
    <x v="29"/>
    <s v="Burr Ridge"/>
    <s v="IL"/>
    <x v="7"/>
    <x v="3"/>
  </r>
  <r>
    <x v="7"/>
    <x v="1"/>
    <x v="17"/>
    <s v="Burr Ridge"/>
    <s v="IL"/>
    <x v="7"/>
    <x v="3"/>
  </r>
  <r>
    <x v="7"/>
    <x v="1"/>
    <x v="19"/>
    <s v="Burr Ridge"/>
    <s v="IL"/>
    <x v="7"/>
    <x v="3"/>
  </r>
  <r>
    <x v="7"/>
    <x v="1"/>
    <x v="1"/>
    <s v="Burr Ridge"/>
    <s v="IL"/>
    <x v="7"/>
    <x v="3"/>
  </r>
  <r>
    <x v="7"/>
    <x v="1"/>
    <x v="30"/>
    <s v="Burr Ridge"/>
    <s v="IL"/>
    <x v="7"/>
    <x v="3"/>
  </r>
  <r>
    <x v="7"/>
    <x v="1"/>
    <x v="31"/>
    <s v="Burr Ridge"/>
    <s v="IL"/>
    <x v="7"/>
    <x v="3"/>
  </r>
  <r>
    <x v="7"/>
    <x v="1"/>
    <x v="2"/>
    <s v="Burr Ridge"/>
    <s v="IL"/>
    <x v="7"/>
    <x v="3"/>
  </r>
  <r>
    <x v="7"/>
    <x v="1"/>
    <x v="3"/>
    <s v="Burr Ridge"/>
    <s v="IL"/>
    <x v="7"/>
    <x v="3"/>
  </r>
  <r>
    <x v="7"/>
    <x v="1"/>
    <x v="4"/>
    <s v="Burr Ridge"/>
    <s v="IL"/>
    <x v="7"/>
    <x v="3"/>
  </r>
  <r>
    <x v="7"/>
    <x v="1"/>
    <x v="5"/>
    <s v="Burr Ridge"/>
    <s v="IL"/>
    <x v="7"/>
    <x v="3"/>
  </r>
  <r>
    <x v="7"/>
    <x v="1"/>
    <x v="32"/>
    <s v="Burr Ridge"/>
    <s v="IL"/>
    <x v="7"/>
    <x v="3"/>
  </r>
  <r>
    <x v="8"/>
    <x v="1"/>
    <x v="13"/>
    <s v="Chicago"/>
    <s v="IL"/>
    <x v="8"/>
    <x v="0"/>
  </r>
  <r>
    <x v="9"/>
    <x v="1"/>
    <x v="33"/>
    <s v="Lincolnshire"/>
    <s v="IL"/>
    <x v="9"/>
    <x v="4"/>
  </r>
  <r>
    <x v="9"/>
    <x v="1"/>
    <x v="34"/>
    <s v="Lincolnshire"/>
    <s v="IL"/>
    <x v="9"/>
    <x v="4"/>
  </r>
  <r>
    <x v="9"/>
    <x v="1"/>
    <x v="7"/>
    <s v="Lincolnshire"/>
    <s v="IL"/>
    <x v="9"/>
    <x v="4"/>
  </r>
  <r>
    <x v="9"/>
    <x v="1"/>
    <x v="8"/>
    <s v="Lincolnshire"/>
    <s v="IL"/>
    <x v="9"/>
    <x v="4"/>
  </r>
  <r>
    <x v="9"/>
    <x v="1"/>
    <x v="24"/>
    <s v="Lincolnshire"/>
    <s v="IL"/>
    <x v="9"/>
    <x v="4"/>
  </r>
  <r>
    <x v="9"/>
    <x v="1"/>
    <x v="25"/>
    <s v="Lincolnshire"/>
    <s v="IL"/>
    <x v="9"/>
    <x v="4"/>
  </r>
  <r>
    <x v="9"/>
    <x v="1"/>
    <x v="12"/>
    <s v="Lincolnshire"/>
    <s v="IL"/>
    <x v="9"/>
    <x v="4"/>
  </r>
  <r>
    <x v="9"/>
    <x v="1"/>
    <x v="27"/>
    <s v="Lincolnshire"/>
    <s v="IL"/>
    <x v="9"/>
    <x v="4"/>
  </r>
  <r>
    <x v="9"/>
    <x v="1"/>
    <x v="13"/>
    <s v="Lincolnshire"/>
    <s v="IL"/>
    <x v="9"/>
    <x v="4"/>
  </r>
  <r>
    <x v="9"/>
    <x v="1"/>
    <x v="16"/>
    <s v="Lincolnshire"/>
    <s v="IL"/>
    <x v="9"/>
    <x v="4"/>
  </r>
  <r>
    <x v="9"/>
    <x v="1"/>
    <x v="28"/>
    <s v="Lincolnshire"/>
    <s v="IL"/>
    <x v="9"/>
    <x v="4"/>
  </r>
  <r>
    <x v="9"/>
    <x v="1"/>
    <x v="29"/>
    <s v="Lincolnshire"/>
    <s v="IL"/>
    <x v="9"/>
    <x v="4"/>
  </r>
  <r>
    <x v="9"/>
    <x v="1"/>
    <x v="35"/>
    <s v="Lincolnshire"/>
    <s v="IL"/>
    <x v="9"/>
    <x v="4"/>
  </r>
  <r>
    <x v="9"/>
    <x v="1"/>
    <x v="17"/>
    <s v="Lincolnshire"/>
    <s v="IL"/>
    <x v="9"/>
    <x v="4"/>
  </r>
  <r>
    <x v="9"/>
    <x v="1"/>
    <x v="18"/>
    <s v="Lincolnshire"/>
    <s v="IL"/>
    <x v="9"/>
    <x v="4"/>
  </r>
  <r>
    <x v="9"/>
    <x v="1"/>
    <x v="19"/>
    <s v="Lincolnshire"/>
    <s v="IL"/>
    <x v="9"/>
    <x v="4"/>
  </r>
  <r>
    <x v="9"/>
    <x v="1"/>
    <x v="3"/>
    <s v="Lincolnshire"/>
    <s v="IL"/>
    <x v="9"/>
    <x v="4"/>
  </r>
  <r>
    <x v="9"/>
    <x v="1"/>
    <x v="4"/>
    <s v="Lincolnshire"/>
    <s v="IL"/>
    <x v="9"/>
    <x v="4"/>
  </r>
  <r>
    <x v="9"/>
    <x v="1"/>
    <x v="5"/>
    <s v="Lincolnshire"/>
    <s v="IL"/>
    <x v="9"/>
    <x v="4"/>
  </r>
  <r>
    <x v="9"/>
    <x v="1"/>
    <x v="6"/>
    <s v="Lincolnshire"/>
    <s v="IL"/>
    <x v="9"/>
    <x v="4"/>
  </r>
  <r>
    <x v="9"/>
    <x v="1"/>
    <x v="32"/>
    <s v="Lincolnshire"/>
    <s v="IL"/>
    <x v="9"/>
    <x v="4"/>
  </r>
  <r>
    <x v="10"/>
    <x v="1"/>
    <x v="15"/>
    <s v="Oakland"/>
    <s v="CA"/>
    <x v="10"/>
    <x v="5"/>
  </r>
  <r>
    <x v="11"/>
    <x v="1"/>
    <x v="36"/>
    <s v="St. Charles"/>
    <s v="MO"/>
    <x v="11"/>
    <x v="6"/>
  </r>
  <r>
    <x v="12"/>
    <x v="0"/>
    <x v="27"/>
    <s v="South Elgin"/>
    <s v="IL"/>
    <x v="12"/>
    <x v="7"/>
  </r>
  <r>
    <x v="12"/>
    <x v="0"/>
    <x v="22"/>
    <s v="South Elgin"/>
    <s v="IL"/>
    <x v="12"/>
    <x v="7"/>
  </r>
  <r>
    <x v="13"/>
    <x v="0"/>
    <x v="21"/>
    <s v="Chicago"/>
    <s v="IL"/>
    <x v="13"/>
    <x v="0"/>
  </r>
  <r>
    <x v="13"/>
    <x v="0"/>
    <x v="22"/>
    <s v="Chicago"/>
    <s v="IL"/>
    <x v="13"/>
    <x v="0"/>
  </r>
  <r>
    <x v="14"/>
    <x v="0"/>
    <x v="33"/>
    <s v="Chicago"/>
    <s v="IL"/>
    <x v="14"/>
    <x v="0"/>
  </r>
  <r>
    <x v="14"/>
    <x v="0"/>
    <x v="37"/>
    <s v="Chicago"/>
    <s v="IL"/>
    <x v="14"/>
    <x v="0"/>
  </r>
  <r>
    <x v="14"/>
    <x v="0"/>
    <x v="38"/>
    <s v="Chicago"/>
    <s v="IL"/>
    <x v="14"/>
    <x v="0"/>
  </r>
  <r>
    <x v="14"/>
    <x v="0"/>
    <x v="39"/>
    <s v="Chicago"/>
    <s v="IL"/>
    <x v="14"/>
    <x v="0"/>
  </r>
  <r>
    <x v="14"/>
    <x v="0"/>
    <x v="40"/>
    <s v="Chicago"/>
    <s v="IL"/>
    <x v="14"/>
    <x v="0"/>
  </r>
  <r>
    <x v="14"/>
    <x v="0"/>
    <x v="41"/>
    <s v="Chicago"/>
    <s v="IL"/>
    <x v="14"/>
    <x v="0"/>
  </r>
  <r>
    <x v="14"/>
    <x v="0"/>
    <x v="42"/>
    <s v="Chicago"/>
    <s v="IL"/>
    <x v="14"/>
    <x v="0"/>
  </r>
  <r>
    <x v="14"/>
    <x v="0"/>
    <x v="43"/>
    <s v="Chicago"/>
    <s v="IL"/>
    <x v="14"/>
    <x v="0"/>
  </r>
  <r>
    <x v="14"/>
    <x v="0"/>
    <x v="7"/>
    <s v="Chicago"/>
    <s v="IL"/>
    <x v="14"/>
    <x v="0"/>
  </r>
  <r>
    <x v="14"/>
    <x v="0"/>
    <x v="8"/>
    <s v="Chicago"/>
    <s v="IL"/>
    <x v="14"/>
    <x v="0"/>
  </r>
  <r>
    <x v="14"/>
    <x v="0"/>
    <x v="9"/>
    <s v="Chicago"/>
    <s v="IL"/>
    <x v="14"/>
    <x v="0"/>
  </r>
  <r>
    <x v="14"/>
    <x v="0"/>
    <x v="10"/>
    <s v="Chicago"/>
    <s v="IL"/>
    <x v="14"/>
    <x v="0"/>
  </r>
  <r>
    <x v="14"/>
    <x v="0"/>
    <x v="11"/>
    <s v="Chicago"/>
    <s v="IL"/>
    <x v="14"/>
    <x v="0"/>
  </r>
  <r>
    <x v="14"/>
    <x v="0"/>
    <x v="24"/>
    <s v="Chicago"/>
    <s v="IL"/>
    <x v="14"/>
    <x v="0"/>
  </r>
  <r>
    <x v="14"/>
    <x v="0"/>
    <x v="25"/>
    <s v="Chicago"/>
    <s v="IL"/>
    <x v="14"/>
    <x v="0"/>
  </r>
  <r>
    <x v="14"/>
    <x v="0"/>
    <x v="12"/>
    <s v="Chicago"/>
    <s v="IL"/>
    <x v="14"/>
    <x v="0"/>
  </r>
  <r>
    <x v="14"/>
    <x v="0"/>
    <x v="26"/>
    <s v="Chicago"/>
    <s v="IL"/>
    <x v="14"/>
    <x v="0"/>
  </r>
  <r>
    <x v="14"/>
    <x v="0"/>
    <x v="21"/>
    <s v="Chicago"/>
    <s v="IL"/>
    <x v="14"/>
    <x v="0"/>
  </r>
  <r>
    <x v="14"/>
    <x v="0"/>
    <x v="44"/>
    <s v="Chicago"/>
    <s v="IL"/>
    <x v="14"/>
    <x v="0"/>
  </r>
  <r>
    <x v="14"/>
    <x v="0"/>
    <x v="27"/>
    <s v="Chicago"/>
    <s v="IL"/>
    <x v="14"/>
    <x v="0"/>
  </r>
  <r>
    <x v="14"/>
    <x v="0"/>
    <x v="13"/>
    <s v="Chicago"/>
    <s v="IL"/>
    <x v="14"/>
    <x v="0"/>
  </r>
  <r>
    <x v="14"/>
    <x v="0"/>
    <x v="22"/>
    <s v="Chicago"/>
    <s v="IL"/>
    <x v="14"/>
    <x v="0"/>
  </r>
  <r>
    <x v="14"/>
    <x v="0"/>
    <x v="14"/>
    <s v="Chicago"/>
    <s v="IL"/>
    <x v="14"/>
    <x v="0"/>
  </r>
  <r>
    <x v="14"/>
    <x v="0"/>
    <x v="23"/>
    <s v="Chicago"/>
    <s v="IL"/>
    <x v="14"/>
    <x v="0"/>
  </r>
  <r>
    <x v="14"/>
    <x v="0"/>
    <x v="15"/>
    <s v="Chicago"/>
    <s v="IL"/>
    <x v="14"/>
    <x v="0"/>
  </r>
  <r>
    <x v="14"/>
    <x v="0"/>
    <x v="36"/>
    <s v="Chicago"/>
    <s v="IL"/>
    <x v="14"/>
    <x v="0"/>
  </r>
  <r>
    <x v="14"/>
    <x v="0"/>
    <x v="16"/>
    <s v="Chicago"/>
    <s v="IL"/>
    <x v="14"/>
    <x v="0"/>
  </r>
  <r>
    <x v="14"/>
    <x v="0"/>
    <x v="29"/>
    <s v="Chicago"/>
    <s v="IL"/>
    <x v="14"/>
    <x v="0"/>
  </r>
  <r>
    <x v="14"/>
    <x v="0"/>
    <x v="35"/>
    <s v="Chicago"/>
    <s v="IL"/>
    <x v="14"/>
    <x v="0"/>
  </r>
  <r>
    <x v="14"/>
    <x v="0"/>
    <x v="45"/>
    <s v="Chicago"/>
    <s v="IL"/>
    <x v="14"/>
    <x v="0"/>
  </r>
  <r>
    <x v="14"/>
    <x v="0"/>
    <x v="17"/>
    <s v="Chicago"/>
    <s v="IL"/>
    <x v="14"/>
    <x v="0"/>
  </r>
  <r>
    <x v="14"/>
    <x v="0"/>
    <x v="46"/>
    <s v="Chicago"/>
    <s v="IL"/>
    <x v="14"/>
    <x v="0"/>
  </r>
  <r>
    <x v="14"/>
    <x v="0"/>
    <x v="18"/>
    <s v="Chicago"/>
    <s v="IL"/>
    <x v="14"/>
    <x v="0"/>
  </r>
  <r>
    <x v="14"/>
    <x v="0"/>
    <x v="19"/>
    <s v="Chicago"/>
    <s v="IL"/>
    <x v="14"/>
    <x v="0"/>
  </r>
  <r>
    <x v="14"/>
    <x v="0"/>
    <x v="3"/>
    <s v="Chicago"/>
    <s v="IL"/>
    <x v="14"/>
    <x v="0"/>
  </r>
  <r>
    <x v="14"/>
    <x v="0"/>
    <x v="47"/>
    <s v="Chicago"/>
    <s v="IL"/>
    <x v="14"/>
    <x v="0"/>
  </r>
  <r>
    <x v="14"/>
    <x v="0"/>
    <x v="4"/>
    <s v="Chicago"/>
    <s v="IL"/>
    <x v="14"/>
    <x v="0"/>
  </r>
  <r>
    <x v="14"/>
    <x v="0"/>
    <x v="5"/>
    <s v="Chicago"/>
    <s v="IL"/>
    <x v="14"/>
    <x v="0"/>
  </r>
  <r>
    <x v="14"/>
    <x v="0"/>
    <x v="48"/>
    <s v="Chicago"/>
    <s v="IL"/>
    <x v="14"/>
    <x v="0"/>
  </r>
  <r>
    <x v="14"/>
    <x v="0"/>
    <x v="6"/>
    <s v="Chicago"/>
    <s v="IL"/>
    <x v="14"/>
    <x v="0"/>
  </r>
  <r>
    <x v="14"/>
    <x v="0"/>
    <x v="49"/>
    <s v="Chicago"/>
    <s v="IL"/>
    <x v="14"/>
    <x v="0"/>
  </r>
  <r>
    <x v="14"/>
    <x v="0"/>
    <x v="50"/>
    <s v="Chicago"/>
    <s v="IL"/>
    <x v="14"/>
    <x v="0"/>
  </r>
  <r>
    <x v="14"/>
    <x v="0"/>
    <x v="32"/>
    <s v="Chicago"/>
    <s v="IL"/>
    <x v="14"/>
    <x v="0"/>
  </r>
  <r>
    <x v="14"/>
    <x v="0"/>
    <x v="51"/>
    <s v="Chicago"/>
    <s v="IL"/>
    <x v="14"/>
    <x v="0"/>
  </r>
  <r>
    <x v="15"/>
    <x v="1"/>
    <x v="13"/>
    <s v="Aurora"/>
    <s v="IL"/>
    <x v="15"/>
    <x v="8"/>
  </r>
  <r>
    <x v="16"/>
    <x v="1"/>
    <x v="52"/>
    <s v="Chicago"/>
    <s v="IL"/>
    <x v="16"/>
    <x v="0"/>
  </r>
  <r>
    <x v="17"/>
    <x v="1"/>
    <x v="13"/>
    <s v="Chicago"/>
    <s v="IL"/>
    <x v="17"/>
    <x v="0"/>
  </r>
  <r>
    <x v="18"/>
    <x v="0"/>
    <x v="41"/>
    <s v="Saint Paul"/>
    <s v="MN"/>
    <x v="18"/>
    <x v="9"/>
  </r>
  <r>
    <x v="18"/>
    <x v="0"/>
    <x v="43"/>
    <s v="Saint Paul"/>
    <s v="MN"/>
    <x v="18"/>
    <x v="9"/>
  </r>
  <r>
    <x v="19"/>
    <x v="0"/>
    <x v="7"/>
    <s v="Indianapolis"/>
    <s v="IN"/>
    <x v="19"/>
    <x v="10"/>
  </r>
  <r>
    <x v="19"/>
    <x v="0"/>
    <x v="8"/>
    <s v="Indianapolis"/>
    <s v="IN"/>
    <x v="19"/>
    <x v="10"/>
  </r>
  <r>
    <x v="19"/>
    <x v="0"/>
    <x v="24"/>
    <s v="Indianapolis"/>
    <s v="IN"/>
    <x v="19"/>
    <x v="10"/>
  </r>
  <r>
    <x v="19"/>
    <x v="0"/>
    <x v="25"/>
    <s v="Indianapolis"/>
    <s v="IN"/>
    <x v="19"/>
    <x v="10"/>
  </r>
  <r>
    <x v="19"/>
    <x v="0"/>
    <x v="12"/>
    <s v="Indianapolis"/>
    <s v="IN"/>
    <x v="19"/>
    <x v="10"/>
  </r>
  <r>
    <x v="19"/>
    <x v="0"/>
    <x v="27"/>
    <s v="Indianapolis"/>
    <s v="IN"/>
    <x v="19"/>
    <x v="10"/>
  </r>
  <r>
    <x v="19"/>
    <x v="0"/>
    <x v="17"/>
    <s v="Indianapolis"/>
    <s v="IN"/>
    <x v="19"/>
    <x v="10"/>
  </r>
  <r>
    <x v="19"/>
    <x v="0"/>
    <x v="18"/>
    <s v="Indianapolis"/>
    <s v="IN"/>
    <x v="19"/>
    <x v="10"/>
  </r>
  <r>
    <x v="19"/>
    <x v="0"/>
    <x v="3"/>
    <s v="Indianapolis"/>
    <s v="IN"/>
    <x v="19"/>
    <x v="10"/>
  </r>
  <r>
    <x v="19"/>
    <x v="0"/>
    <x v="4"/>
    <s v="Indianapolis"/>
    <s v="IN"/>
    <x v="19"/>
    <x v="10"/>
  </r>
  <r>
    <x v="19"/>
    <x v="0"/>
    <x v="5"/>
    <s v="Indianapolis"/>
    <s v="IN"/>
    <x v="19"/>
    <x v="10"/>
  </r>
  <r>
    <x v="19"/>
    <x v="0"/>
    <x v="6"/>
    <s v="Indianapolis"/>
    <s v="IN"/>
    <x v="19"/>
    <x v="10"/>
  </r>
  <r>
    <x v="20"/>
    <x v="1"/>
    <x v="7"/>
    <s v="Chicago"/>
    <s v="IL"/>
    <x v="20"/>
    <x v="0"/>
  </r>
  <r>
    <x v="20"/>
    <x v="1"/>
    <x v="8"/>
    <s v="Chicago"/>
    <s v="IL"/>
    <x v="20"/>
    <x v="0"/>
  </r>
  <r>
    <x v="20"/>
    <x v="1"/>
    <x v="10"/>
    <s v="Chicago"/>
    <s v="IL"/>
    <x v="20"/>
    <x v="0"/>
  </r>
  <r>
    <x v="20"/>
    <x v="1"/>
    <x v="11"/>
    <s v="Chicago"/>
    <s v="IL"/>
    <x v="20"/>
    <x v="0"/>
  </r>
  <r>
    <x v="20"/>
    <x v="1"/>
    <x v="13"/>
    <s v="Chicago"/>
    <s v="IL"/>
    <x v="20"/>
    <x v="0"/>
  </r>
  <r>
    <x v="20"/>
    <x v="1"/>
    <x v="53"/>
    <s v="Chicago"/>
    <s v="IL"/>
    <x v="20"/>
    <x v="0"/>
  </r>
  <r>
    <x v="20"/>
    <x v="1"/>
    <x v="16"/>
    <s v="Chicago"/>
    <s v="IL"/>
    <x v="20"/>
    <x v="0"/>
  </r>
  <r>
    <x v="20"/>
    <x v="1"/>
    <x v="28"/>
    <s v="Chicago"/>
    <s v="IL"/>
    <x v="20"/>
    <x v="0"/>
  </r>
  <r>
    <x v="20"/>
    <x v="1"/>
    <x v="29"/>
    <s v="Chicago"/>
    <s v="IL"/>
    <x v="20"/>
    <x v="0"/>
  </r>
  <r>
    <x v="20"/>
    <x v="1"/>
    <x v="19"/>
    <s v="Chicago"/>
    <s v="IL"/>
    <x v="20"/>
    <x v="0"/>
  </r>
  <r>
    <x v="20"/>
    <x v="1"/>
    <x v="1"/>
    <s v="Chicago"/>
    <s v="IL"/>
    <x v="20"/>
    <x v="0"/>
  </r>
  <r>
    <x v="20"/>
    <x v="1"/>
    <x v="30"/>
    <s v="Chicago"/>
    <s v="IL"/>
    <x v="20"/>
    <x v="0"/>
  </r>
  <r>
    <x v="20"/>
    <x v="1"/>
    <x v="2"/>
    <s v="Chicago"/>
    <s v="IL"/>
    <x v="20"/>
    <x v="0"/>
  </r>
  <r>
    <x v="21"/>
    <x v="0"/>
    <x v="8"/>
    <s v="Lombard"/>
    <s v="IL"/>
    <x v="21"/>
    <x v="1"/>
  </r>
  <r>
    <x v="21"/>
    <x v="0"/>
    <x v="13"/>
    <s v="Lombard"/>
    <s v="IL"/>
    <x v="21"/>
    <x v="1"/>
  </r>
  <r>
    <x v="22"/>
    <x v="1"/>
    <x v="7"/>
    <s v="DOWNERS GROVE"/>
    <s v="IL"/>
    <x v="22"/>
    <x v="11"/>
  </r>
  <r>
    <x v="22"/>
    <x v="1"/>
    <x v="8"/>
    <s v="DOWNERS GROVE"/>
    <s v="IL"/>
    <x v="22"/>
    <x v="11"/>
  </r>
  <r>
    <x v="22"/>
    <x v="1"/>
    <x v="12"/>
    <s v="DOWNERS GROVE"/>
    <s v="IL"/>
    <x v="22"/>
    <x v="11"/>
  </r>
  <r>
    <x v="22"/>
    <x v="1"/>
    <x v="26"/>
    <s v="DOWNERS GROVE"/>
    <s v="IL"/>
    <x v="22"/>
    <x v="11"/>
  </r>
  <r>
    <x v="22"/>
    <x v="1"/>
    <x v="21"/>
    <s v="DOWNERS GROVE"/>
    <s v="IL"/>
    <x v="22"/>
    <x v="11"/>
  </r>
  <r>
    <x v="22"/>
    <x v="1"/>
    <x v="27"/>
    <s v="DOWNERS GROVE"/>
    <s v="IL"/>
    <x v="22"/>
    <x v="11"/>
  </r>
  <r>
    <x v="22"/>
    <x v="1"/>
    <x v="13"/>
    <s v="DOWNERS GROVE"/>
    <s v="IL"/>
    <x v="22"/>
    <x v="11"/>
  </r>
  <r>
    <x v="22"/>
    <x v="1"/>
    <x v="22"/>
    <s v="DOWNERS GROVE"/>
    <s v="IL"/>
    <x v="22"/>
    <x v="11"/>
  </r>
  <r>
    <x v="22"/>
    <x v="1"/>
    <x v="14"/>
    <s v="DOWNERS GROVE"/>
    <s v="IL"/>
    <x v="22"/>
    <x v="11"/>
  </r>
  <r>
    <x v="22"/>
    <x v="1"/>
    <x v="17"/>
    <s v="DOWNERS GROVE"/>
    <s v="IL"/>
    <x v="22"/>
    <x v="11"/>
  </r>
  <r>
    <x v="22"/>
    <x v="1"/>
    <x v="18"/>
    <s v="DOWNERS GROVE"/>
    <s v="IL"/>
    <x v="22"/>
    <x v="11"/>
  </r>
  <r>
    <x v="23"/>
    <x v="0"/>
    <x v="8"/>
    <s v="Springfield"/>
    <s v="IL"/>
    <x v="23"/>
    <x v="12"/>
  </r>
  <r>
    <x v="23"/>
    <x v="0"/>
    <x v="11"/>
    <s v="Springfield"/>
    <s v="IL"/>
    <x v="23"/>
    <x v="12"/>
  </r>
  <r>
    <x v="23"/>
    <x v="0"/>
    <x v="54"/>
    <s v="Springfield"/>
    <s v="IL"/>
    <x v="23"/>
    <x v="12"/>
  </r>
  <r>
    <x v="23"/>
    <x v="0"/>
    <x v="20"/>
    <s v="Springfield"/>
    <s v="IL"/>
    <x v="23"/>
    <x v="12"/>
  </r>
  <r>
    <x v="23"/>
    <x v="0"/>
    <x v="19"/>
    <s v="Springfield"/>
    <s v="IL"/>
    <x v="23"/>
    <x v="12"/>
  </r>
  <r>
    <x v="24"/>
    <x v="1"/>
    <x v="13"/>
    <s v="Braodview"/>
    <s v="IL"/>
    <x v="24"/>
    <x v="13"/>
  </r>
  <r>
    <x v="25"/>
    <x v="1"/>
    <x v="27"/>
    <s v="Chicago"/>
    <s v="IL"/>
    <x v="25"/>
    <x v="0"/>
  </r>
  <r>
    <x v="25"/>
    <x v="1"/>
    <x v="13"/>
    <s v="Chicago"/>
    <s v="IL"/>
    <x v="25"/>
    <x v="0"/>
  </r>
  <r>
    <x v="25"/>
    <x v="1"/>
    <x v="18"/>
    <s v="Chicago"/>
    <s v="IL"/>
    <x v="25"/>
    <x v="0"/>
  </r>
  <r>
    <x v="25"/>
    <x v="1"/>
    <x v="4"/>
    <s v="Chicago"/>
    <s v="IL"/>
    <x v="25"/>
    <x v="0"/>
  </r>
  <r>
    <x v="26"/>
    <x v="0"/>
    <x v="29"/>
    <s v="Nashville"/>
    <s v="IL"/>
    <x v="26"/>
    <x v="14"/>
  </r>
  <r>
    <x v="27"/>
    <x v="0"/>
    <x v="41"/>
    <s v="Schaumburg"/>
    <s v="IL"/>
    <x v="27"/>
    <x v="15"/>
  </r>
  <r>
    <x v="28"/>
    <x v="0"/>
    <x v="45"/>
    <s v="Champaign"/>
    <s v="IL"/>
    <x v="28"/>
    <x v="16"/>
  </r>
  <r>
    <x v="29"/>
    <x v="0"/>
    <x v="45"/>
    <s v="Champaign"/>
    <s v="IL"/>
    <x v="29"/>
    <x v="16"/>
  </r>
  <r>
    <x v="30"/>
    <x v="1"/>
    <x v="7"/>
    <s v="Chicago"/>
    <s v="IL"/>
    <x v="30"/>
    <x v="0"/>
  </r>
  <r>
    <x v="30"/>
    <x v="1"/>
    <x v="8"/>
    <s v="Chicago"/>
    <s v="IL"/>
    <x v="30"/>
    <x v="0"/>
  </r>
  <r>
    <x v="30"/>
    <x v="1"/>
    <x v="11"/>
    <s v="Chicago"/>
    <s v="IL"/>
    <x v="30"/>
    <x v="0"/>
  </r>
  <r>
    <x v="30"/>
    <x v="1"/>
    <x v="13"/>
    <s v="Chicago"/>
    <s v="IL"/>
    <x v="30"/>
    <x v="0"/>
  </r>
  <r>
    <x v="30"/>
    <x v="1"/>
    <x v="19"/>
    <s v="Chicago"/>
    <s v="IL"/>
    <x v="30"/>
    <x v="0"/>
  </r>
  <r>
    <x v="31"/>
    <x v="0"/>
    <x v="13"/>
    <s v="Arlington Heights"/>
    <s v="IL"/>
    <x v="31"/>
    <x v="17"/>
  </r>
  <r>
    <x v="31"/>
    <x v="0"/>
    <x v="14"/>
    <s v="Arlington Heights"/>
    <s v="IL"/>
    <x v="31"/>
    <x v="17"/>
  </r>
  <r>
    <x v="32"/>
    <x v="0"/>
    <x v="8"/>
    <s v="Loves Park"/>
    <s v="IL"/>
    <x v="32"/>
    <x v="18"/>
  </r>
  <r>
    <x v="32"/>
    <x v="0"/>
    <x v="12"/>
    <s v="Loves Park"/>
    <s v="IL"/>
    <x v="32"/>
    <x v="18"/>
  </r>
  <r>
    <x v="32"/>
    <x v="0"/>
    <x v="27"/>
    <s v="Loves Park"/>
    <s v="IL"/>
    <x v="32"/>
    <x v="18"/>
  </r>
  <r>
    <x v="32"/>
    <x v="0"/>
    <x v="13"/>
    <s v="Loves Park"/>
    <s v="IL"/>
    <x v="32"/>
    <x v="18"/>
  </r>
  <r>
    <x v="32"/>
    <x v="0"/>
    <x v="14"/>
    <s v="Loves Park"/>
    <s v="IL"/>
    <x v="32"/>
    <x v="18"/>
  </r>
  <r>
    <x v="32"/>
    <x v="0"/>
    <x v="29"/>
    <s v="Loves Park"/>
    <s v="IL"/>
    <x v="32"/>
    <x v="18"/>
  </r>
  <r>
    <x v="32"/>
    <x v="0"/>
    <x v="18"/>
    <s v="Loves Park"/>
    <s v="IL"/>
    <x v="32"/>
    <x v="18"/>
  </r>
  <r>
    <x v="33"/>
    <x v="0"/>
    <x v="7"/>
    <s v="Los Angeles"/>
    <s v="CA"/>
    <x v="33"/>
    <x v="19"/>
  </r>
  <r>
    <x v="33"/>
    <x v="0"/>
    <x v="8"/>
    <s v="Los Angeles"/>
    <s v="CA"/>
    <x v="33"/>
    <x v="19"/>
  </r>
  <r>
    <x v="33"/>
    <x v="0"/>
    <x v="10"/>
    <s v="Los Angeles"/>
    <s v="CA"/>
    <x v="33"/>
    <x v="19"/>
  </r>
  <r>
    <x v="33"/>
    <x v="0"/>
    <x v="11"/>
    <s v="Los Angeles"/>
    <s v="CA"/>
    <x v="33"/>
    <x v="19"/>
  </r>
  <r>
    <x v="33"/>
    <x v="0"/>
    <x v="24"/>
    <s v="Los Angeles"/>
    <s v="CA"/>
    <x v="33"/>
    <x v="19"/>
  </r>
  <r>
    <x v="33"/>
    <x v="0"/>
    <x v="25"/>
    <s v="Los Angeles"/>
    <s v="CA"/>
    <x v="33"/>
    <x v="19"/>
  </r>
  <r>
    <x v="33"/>
    <x v="0"/>
    <x v="12"/>
    <s v="Los Angeles"/>
    <s v="CA"/>
    <x v="33"/>
    <x v="19"/>
  </r>
  <r>
    <x v="33"/>
    <x v="0"/>
    <x v="27"/>
    <s v="Los Angeles"/>
    <s v="CA"/>
    <x v="33"/>
    <x v="19"/>
  </r>
  <r>
    <x v="33"/>
    <x v="0"/>
    <x v="55"/>
    <s v="Los Angeles"/>
    <s v="CA"/>
    <x v="33"/>
    <x v="19"/>
  </r>
  <r>
    <x v="33"/>
    <x v="0"/>
    <x v="13"/>
    <s v="Los Angeles"/>
    <s v="CA"/>
    <x v="33"/>
    <x v="19"/>
  </r>
  <r>
    <x v="33"/>
    <x v="0"/>
    <x v="54"/>
    <s v="Los Angeles"/>
    <s v="CA"/>
    <x v="33"/>
    <x v="19"/>
  </r>
  <r>
    <x v="33"/>
    <x v="0"/>
    <x v="20"/>
    <s v="Los Angeles"/>
    <s v="CA"/>
    <x v="33"/>
    <x v="19"/>
  </r>
  <r>
    <x v="33"/>
    <x v="0"/>
    <x v="14"/>
    <s v="Los Angeles"/>
    <s v="CA"/>
    <x v="33"/>
    <x v="19"/>
  </r>
  <r>
    <x v="33"/>
    <x v="0"/>
    <x v="15"/>
    <s v="Los Angeles"/>
    <s v="CA"/>
    <x v="33"/>
    <x v="19"/>
  </r>
  <r>
    <x v="33"/>
    <x v="0"/>
    <x v="16"/>
    <s v="Los Angeles"/>
    <s v="CA"/>
    <x v="33"/>
    <x v="19"/>
  </r>
  <r>
    <x v="33"/>
    <x v="0"/>
    <x v="35"/>
    <s v="Los Angeles"/>
    <s v="CA"/>
    <x v="33"/>
    <x v="19"/>
  </r>
  <r>
    <x v="33"/>
    <x v="0"/>
    <x v="17"/>
    <s v="Los Angeles"/>
    <s v="CA"/>
    <x v="33"/>
    <x v="19"/>
  </r>
  <r>
    <x v="33"/>
    <x v="0"/>
    <x v="46"/>
    <s v="Los Angeles"/>
    <s v="CA"/>
    <x v="33"/>
    <x v="19"/>
  </r>
  <r>
    <x v="33"/>
    <x v="0"/>
    <x v="18"/>
    <s v="Los Angeles"/>
    <s v="CA"/>
    <x v="33"/>
    <x v="19"/>
  </r>
  <r>
    <x v="33"/>
    <x v="0"/>
    <x v="19"/>
    <s v="Los Angeles"/>
    <s v="CA"/>
    <x v="33"/>
    <x v="19"/>
  </r>
  <r>
    <x v="33"/>
    <x v="0"/>
    <x v="3"/>
    <s v="Los Angeles"/>
    <s v="CA"/>
    <x v="33"/>
    <x v="19"/>
  </r>
  <r>
    <x v="33"/>
    <x v="0"/>
    <x v="4"/>
    <s v="Los Angeles"/>
    <s v="CA"/>
    <x v="33"/>
    <x v="19"/>
  </r>
  <r>
    <x v="33"/>
    <x v="0"/>
    <x v="5"/>
    <s v="Los Angeles"/>
    <s v="CA"/>
    <x v="33"/>
    <x v="19"/>
  </r>
  <r>
    <x v="33"/>
    <x v="0"/>
    <x v="50"/>
    <s v="Los Angeles"/>
    <s v="CA"/>
    <x v="33"/>
    <x v="19"/>
  </r>
  <r>
    <x v="33"/>
    <x v="0"/>
    <x v="32"/>
    <s v="Los Angeles"/>
    <s v="CA"/>
    <x v="33"/>
    <x v="19"/>
  </r>
  <r>
    <x v="34"/>
    <x v="1"/>
    <x v="13"/>
    <s v="Chicago"/>
    <s v="IL"/>
    <x v="34"/>
    <x v="0"/>
  </r>
  <r>
    <x v="35"/>
    <x v="0"/>
    <x v="7"/>
    <s v="Springfield"/>
    <s v="IL"/>
    <x v="35"/>
    <x v="12"/>
  </r>
  <r>
    <x v="35"/>
    <x v="0"/>
    <x v="8"/>
    <s v="Springfield"/>
    <s v="IL"/>
    <x v="35"/>
    <x v="12"/>
  </r>
  <r>
    <x v="35"/>
    <x v="0"/>
    <x v="10"/>
    <s v="Springfield"/>
    <s v="IL"/>
    <x v="35"/>
    <x v="12"/>
  </r>
  <r>
    <x v="35"/>
    <x v="0"/>
    <x v="11"/>
    <s v="Springfield"/>
    <s v="IL"/>
    <x v="35"/>
    <x v="12"/>
  </r>
  <r>
    <x v="35"/>
    <x v="0"/>
    <x v="25"/>
    <s v="Springfield"/>
    <s v="IL"/>
    <x v="35"/>
    <x v="12"/>
  </r>
  <r>
    <x v="35"/>
    <x v="0"/>
    <x v="12"/>
    <s v="Springfield"/>
    <s v="IL"/>
    <x v="35"/>
    <x v="12"/>
  </r>
  <r>
    <x v="35"/>
    <x v="0"/>
    <x v="27"/>
    <s v="Springfield"/>
    <s v="IL"/>
    <x v="35"/>
    <x v="12"/>
  </r>
  <r>
    <x v="35"/>
    <x v="0"/>
    <x v="17"/>
    <s v="Springfield"/>
    <s v="IL"/>
    <x v="35"/>
    <x v="12"/>
  </r>
  <r>
    <x v="35"/>
    <x v="0"/>
    <x v="18"/>
    <s v="Springfield"/>
    <s v="IL"/>
    <x v="35"/>
    <x v="12"/>
  </r>
  <r>
    <x v="35"/>
    <x v="0"/>
    <x v="19"/>
    <s v="Springfield"/>
    <s v="IL"/>
    <x v="35"/>
    <x v="12"/>
  </r>
  <r>
    <x v="36"/>
    <x v="1"/>
    <x v="8"/>
    <s v="Chapin"/>
    <s v="IL"/>
    <x v="36"/>
    <x v="20"/>
  </r>
  <r>
    <x v="36"/>
    <x v="1"/>
    <x v="10"/>
    <s v="Chapin"/>
    <s v="IL"/>
    <x v="36"/>
    <x v="20"/>
  </r>
  <r>
    <x v="36"/>
    <x v="1"/>
    <x v="11"/>
    <s v="Chapin"/>
    <s v="IL"/>
    <x v="36"/>
    <x v="20"/>
  </r>
  <r>
    <x v="36"/>
    <x v="1"/>
    <x v="12"/>
    <s v="Chapin"/>
    <s v="IL"/>
    <x v="36"/>
    <x v="20"/>
  </r>
  <r>
    <x v="36"/>
    <x v="1"/>
    <x v="27"/>
    <s v="Chapin"/>
    <s v="IL"/>
    <x v="36"/>
    <x v="20"/>
  </r>
  <r>
    <x v="36"/>
    <x v="1"/>
    <x v="16"/>
    <s v="Chapin"/>
    <s v="IL"/>
    <x v="36"/>
    <x v="20"/>
  </r>
  <r>
    <x v="36"/>
    <x v="1"/>
    <x v="29"/>
    <s v="Chapin"/>
    <s v="IL"/>
    <x v="36"/>
    <x v="20"/>
  </r>
  <r>
    <x v="36"/>
    <x v="1"/>
    <x v="18"/>
    <s v="Chapin"/>
    <s v="IL"/>
    <x v="36"/>
    <x v="20"/>
  </r>
  <r>
    <x v="36"/>
    <x v="1"/>
    <x v="19"/>
    <s v="Chapin"/>
    <s v="IL"/>
    <x v="36"/>
    <x v="20"/>
  </r>
  <r>
    <x v="37"/>
    <x v="0"/>
    <x v="4"/>
    <s v="Glen Ellyn"/>
    <s v="IL"/>
    <x v="37"/>
    <x v="21"/>
  </r>
  <r>
    <x v="37"/>
    <x v="0"/>
    <x v="5"/>
    <s v="Glen Ellyn"/>
    <s v="IL"/>
    <x v="37"/>
    <x v="21"/>
  </r>
  <r>
    <x v="37"/>
    <x v="0"/>
    <x v="6"/>
    <s v="Glen Ellyn"/>
    <s v="IL"/>
    <x v="37"/>
    <x v="21"/>
  </r>
  <r>
    <x v="38"/>
    <x v="1"/>
    <x v="29"/>
    <s v="Batavia"/>
    <s v="IL"/>
    <x v="38"/>
    <x v="22"/>
  </r>
  <r>
    <x v="39"/>
    <x v="0"/>
    <x v="38"/>
    <s v="Chicago"/>
    <s v="IL"/>
    <x v="39"/>
    <x v="0"/>
  </r>
  <r>
    <x v="39"/>
    <x v="0"/>
    <x v="39"/>
    <s v="Chicago"/>
    <s v="IL"/>
    <x v="39"/>
    <x v="0"/>
  </r>
  <r>
    <x v="39"/>
    <x v="0"/>
    <x v="40"/>
    <s v="Chicago"/>
    <s v="IL"/>
    <x v="39"/>
    <x v="0"/>
  </r>
  <r>
    <x v="39"/>
    <x v="0"/>
    <x v="7"/>
    <s v="Chicago"/>
    <s v="IL"/>
    <x v="39"/>
    <x v="0"/>
  </r>
  <r>
    <x v="39"/>
    <x v="0"/>
    <x v="8"/>
    <s v="Chicago"/>
    <s v="IL"/>
    <x v="39"/>
    <x v="0"/>
  </r>
  <r>
    <x v="39"/>
    <x v="0"/>
    <x v="24"/>
    <s v="Chicago"/>
    <s v="IL"/>
    <x v="39"/>
    <x v="0"/>
  </r>
  <r>
    <x v="39"/>
    <x v="0"/>
    <x v="25"/>
    <s v="Chicago"/>
    <s v="IL"/>
    <x v="39"/>
    <x v="0"/>
  </r>
  <r>
    <x v="39"/>
    <x v="0"/>
    <x v="12"/>
    <s v="Chicago"/>
    <s v="IL"/>
    <x v="39"/>
    <x v="0"/>
  </r>
  <r>
    <x v="39"/>
    <x v="0"/>
    <x v="27"/>
    <s v="Chicago"/>
    <s v="IL"/>
    <x v="39"/>
    <x v="0"/>
  </r>
  <r>
    <x v="39"/>
    <x v="0"/>
    <x v="52"/>
    <s v="Chicago"/>
    <s v="IL"/>
    <x v="39"/>
    <x v="0"/>
  </r>
  <r>
    <x v="39"/>
    <x v="0"/>
    <x v="22"/>
    <s v="Chicago"/>
    <s v="IL"/>
    <x v="39"/>
    <x v="0"/>
  </r>
  <r>
    <x v="39"/>
    <x v="0"/>
    <x v="15"/>
    <s v="Chicago"/>
    <s v="IL"/>
    <x v="39"/>
    <x v="0"/>
  </r>
  <r>
    <x v="39"/>
    <x v="0"/>
    <x v="36"/>
    <s v="Chicago"/>
    <s v="IL"/>
    <x v="39"/>
    <x v="0"/>
  </r>
  <r>
    <x v="39"/>
    <x v="0"/>
    <x v="35"/>
    <s v="Chicago"/>
    <s v="IL"/>
    <x v="39"/>
    <x v="0"/>
  </r>
  <r>
    <x v="39"/>
    <x v="0"/>
    <x v="17"/>
    <s v="Chicago"/>
    <s v="IL"/>
    <x v="39"/>
    <x v="0"/>
  </r>
  <r>
    <x v="39"/>
    <x v="0"/>
    <x v="46"/>
    <s v="Chicago"/>
    <s v="IL"/>
    <x v="39"/>
    <x v="0"/>
  </r>
  <r>
    <x v="39"/>
    <x v="0"/>
    <x v="18"/>
    <s v="Chicago"/>
    <s v="IL"/>
    <x v="39"/>
    <x v="0"/>
  </r>
  <r>
    <x v="39"/>
    <x v="0"/>
    <x v="3"/>
    <s v="Chicago"/>
    <s v="IL"/>
    <x v="39"/>
    <x v="0"/>
  </r>
  <r>
    <x v="39"/>
    <x v="0"/>
    <x v="47"/>
    <s v="Chicago"/>
    <s v="IL"/>
    <x v="39"/>
    <x v="0"/>
  </r>
  <r>
    <x v="39"/>
    <x v="0"/>
    <x v="4"/>
    <s v="Chicago"/>
    <s v="IL"/>
    <x v="39"/>
    <x v="0"/>
  </r>
  <r>
    <x v="39"/>
    <x v="0"/>
    <x v="5"/>
    <s v="Chicago"/>
    <s v="IL"/>
    <x v="39"/>
    <x v="0"/>
  </r>
  <r>
    <x v="39"/>
    <x v="0"/>
    <x v="6"/>
    <s v="Chicago"/>
    <s v="IL"/>
    <x v="39"/>
    <x v="0"/>
  </r>
  <r>
    <x v="39"/>
    <x v="0"/>
    <x v="50"/>
    <s v="Chicago"/>
    <s v="IL"/>
    <x v="39"/>
    <x v="0"/>
  </r>
  <r>
    <x v="39"/>
    <x v="0"/>
    <x v="51"/>
    <s v="Chicago"/>
    <s v="IL"/>
    <x v="39"/>
    <x v="0"/>
  </r>
  <r>
    <x v="40"/>
    <x v="1"/>
    <x v="33"/>
    <s v="Deerfield"/>
    <s v="IL"/>
    <x v="40"/>
    <x v="23"/>
  </r>
  <r>
    <x v="40"/>
    <x v="1"/>
    <x v="34"/>
    <s v="Deerfield"/>
    <s v="IL"/>
    <x v="40"/>
    <x v="23"/>
  </r>
  <r>
    <x v="40"/>
    <x v="1"/>
    <x v="7"/>
    <s v="Deerfield"/>
    <s v="IL"/>
    <x v="40"/>
    <x v="23"/>
  </r>
  <r>
    <x v="40"/>
    <x v="1"/>
    <x v="8"/>
    <s v="Deerfield"/>
    <s v="IL"/>
    <x v="40"/>
    <x v="23"/>
  </r>
  <r>
    <x v="40"/>
    <x v="1"/>
    <x v="9"/>
    <s v="Deerfield"/>
    <s v="IL"/>
    <x v="40"/>
    <x v="23"/>
  </r>
  <r>
    <x v="40"/>
    <x v="1"/>
    <x v="10"/>
    <s v="Deerfield"/>
    <s v="IL"/>
    <x v="40"/>
    <x v="23"/>
  </r>
  <r>
    <x v="40"/>
    <x v="1"/>
    <x v="11"/>
    <s v="Deerfield"/>
    <s v="IL"/>
    <x v="40"/>
    <x v="23"/>
  </r>
  <r>
    <x v="40"/>
    <x v="1"/>
    <x v="24"/>
    <s v="Deerfield"/>
    <s v="IL"/>
    <x v="40"/>
    <x v="23"/>
  </r>
  <r>
    <x v="40"/>
    <x v="1"/>
    <x v="25"/>
    <s v="Deerfield"/>
    <s v="IL"/>
    <x v="40"/>
    <x v="23"/>
  </r>
  <r>
    <x v="40"/>
    <x v="1"/>
    <x v="12"/>
    <s v="Deerfield"/>
    <s v="IL"/>
    <x v="40"/>
    <x v="23"/>
  </r>
  <r>
    <x v="40"/>
    <x v="1"/>
    <x v="27"/>
    <s v="Deerfield"/>
    <s v="IL"/>
    <x v="40"/>
    <x v="23"/>
  </r>
  <r>
    <x v="40"/>
    <x v="1"/>
    <x v="13"/>
    <s v="Deerfield"/>
    <s v="IL"/>
    <x v="40"/>
    <x v="23"/>
  </r>
  <r>
    <x v="40"/>
    <x v="1"/>
    <x v="28"/>
    <s v="Deerfield"/>
    <s v="IL"/>
    <x v="40"/>
    <x v="23"/>
  </r>
  <r>
    <x v="40"/>
    <x v="1"/>
    <x v="29"/>
    <s v="Deerfield"/>
    <s v="IL"/>
    <x v="40"/>
    <x v="23"/>
  </r>
  <r>
    <x v="40"/>
    <x v="1"/>
    <x v="17"/>
    <s v="Deerfield"/>
    <s v="IL"/>
    <x v="40"/>
    <x v="23"/>
  </r>
  <r>
    <x v="40"/>
    <x v="1"/>
    <x v="18"/>
    <s v="Deerfield"/>
    <s v="IL"/>
    <x v="40"/>
    <x v="23"/>
  </r>
  <r>
    <x v="40"/>
    <x v="1"/>
    <x v="19"/>
    <s v="Deerfield"/>
    <s v="IL"/>
    <x v="40"/>
    <x v="23"/>
  </r>
  <r>
    <x v="40"/>
    <x v="1"/>
    <x v="3"/>
    <s v="Deerfield"/>
    <s v="IL"/>
    <x v="40"/>
    <x v="23"/>
  </r>
  <r>
    <x v="40"/>
    <x v="1"/>
    <x v="47"/>
    <s v="Deerfield"/>
    <s v="IL"/>
    <x v="40"/>
    <x v="23"/>
  </r>
  <r>
    <x v="40"/>
    <x v="1"/>
    <x v="4"/>
    <s v="Deerfield"/>
    <s v="IL"/>
    <x v="40"/>
    <x v="23"/>
  </r>
  <r>
    <x v="40"/>
    <x v="1"/>
    <x v="5"/>
    <s v="Deerfield"/>
    <s v="IL"/>
    <x v="40"/>
    <x v="23"/>
  </r>
  <r>
    <x v="40"/>
    <x v="1"/>
    <x v="48"/>
    <s v="Deerfield"/>
    <s v="IL"/>
    <x v="40"/>
    <x v="23"/>
  </r>
  <r>
    <x v="40"/>
    <x v="1"/>
    <x v="6"/>
    <s v="Deerfield"/>
    <s v="IL"/>
    <x v="40"/>
    <x v="23"/>
  </r>
  <r>
    <x v="40"/>
    <x v="1"/>
    <x v="32"/>
    <s v="Deerfield"/>
    <s v="IL"/>
    <x v="40"/>
    <x v="23"/>
  </r>
  <r>
    <x v="41"/>
    <x v="0"/>
    <x v="7"/>
    <s v="Chicago "/>
    <s v="IL"/>
    <x v="41"/>
    <x v="24"/>
  </r>
  <r>
    <x v="41"/>
    <x v="0"/>
    <x v="8"/>
    <s v="Chicago "/>
    <s v="IL"/>
    <x v="41"/>
    <x v="24"/>
  </r>
  <r>
    <x v="41"/>
    <x v="0"/>
    <x v="11"/>
    <s v="Chicago "/>
    <s v="IL"/>
    <x v="41"/>
    <x v="24"/>
  </r>
  <r>
    <x v="41"/>
    <x v="0"/>
    <x v="25"/>
    <s v="Chicago "/>
    <s v="IL"/>
    <x v="41"/>
    <x v="24"/>
  </r>
  <r>
    <x v="41"/>
    <x v="0"/>
    <x v="12"/>
    <s v="Chicago "/>
    <s v="IL"/>
    <x v="41"/>
    <x v="24"/>
  </r>
  <r>
    <x v="41"/>
    <x v="0"/>
    <x v="26"/>
    <s v="Chicago "/>
    <s v="IL"/>
    <x v="41"/>
    <x v="24"/>
  </r>
  <r>
    <x v="41"/>
    <x v="0"/>
    <x v="21"/>
    <s v="Chicago "/>
    <s v="IL"/>
    <x v="41"/>
    <x v="24"/>
  </r>
  <r>
    <x v="41"/>
    <x v="0"/>
    <x v="27"/>
    <s v="Chicago "/>
    <s v="IL"/>
    <x v="41"/>
    <x v="24"/>
  </r>
  <r>
    <x v="41"/>
    <x v="0"/>
    <x v="13"/>
    <s v="Chicago "/>
    <s v="IL"/>
    <x v="41"/>
    <x v="24"/>
  </r>
  <r>
    <x v="41"/>
    <x v="0"/>
    <x v="22"/>
    <s v="Chicago "/>
    <s v="IL"/>
    <x v="41"/>
    <x v="24"/>
  </r>
  <r>
    <x v="41"/>
    <x v="0"/>
    <x v="35"/>
    <s v="Chicago "/>
    <s v="IL"/>
    <x v="41"/>
    <x v="24"/>
  </r>
  <r>
    <x v="41"/>
    <x v="0"/>
    <x v="17"/>
    <s v="Chicago "/>
    <s v="IL"/>
    <x v="41"/>
    <x v="24"/>
  </r>
  <r>
    <x v="41"/>
    <x v="0"/>
    <x v="46"/>
    <s v="Chicago "/>
    <s v="IL"/>
    <x v="41"/>
    <x v="24"/>
  </r>
  <r>
    <x v="41"/>
    <x v="0"/>
    <x v="18"/>
    <s v="Chicago "/>
    <s v="IL"/>
    <x v="41"/>
    <x v="24"/>
  </r>
  <r>
    <x v="41"/>
    <x v="0"/>
    <x v="19"/>
    <s v="Chicago "/>
    <s v="IL"/>
    <x v="41"/>
    <x v="24"/>
  </r>
  <r>
    <x v="41"/>
    <x v="0"/>
    <x v="4"/>
    <s v="Chicago "/>
    <s v="IL"/>
    <x v="41"/>
    <x v="24"/>
  </r>
  <r>
    <x v="41"/>
    <x v="0"/>
    <x v="5"/>
    <s v="Chicago "/>
    <s v="IL"/>
    <x v="41"/>
    <x v="24"/>
  </r>
  <r>
    <x v="41"/>
    <x v="0"/>
    <x v="50"/>
    <s v="Chicago "/>
    <s v="IL"/>
    <x v="41"/>
    <x v="24"/>
  </r>
  <r>
    <x v="42"/>
    <x v="0"/>
    <x v="56"/>
    <s v="Eau Claire"/>
    <s v="WI"/>
    <x v="42"/>
    <x v="25"/>
  </r>
  <r>
    <x v="42"/>
    <x v="0"/>
    <x v="53"/>
    <s v="Eau Claire"/>
    <s v="WI"/>
    <x v="42"/>
    <x v="25"/>
  </r>
  <r>
    <x v="43"/>
    <x v="0"/>
    <x v="41"/>
    <s v="Paducah"/>
    <s v="KY"/>
    <x v="43"/>
    <x v="26"/>
  </r>
  <r>
    <x v="43"/>
    <x v="0"/>
    <x v="42"/>
    <s v="Paducah"/>
    <s v="KY"/>
    <x v="43"/>
    <x v="26"/>
  </r>
  <r>
    <x v="43"/>
    <x v="0"/>
    <x v="43"/>
    <s v="Paducah"/>
    <s v="KY"/>
    <x v="43"/>
    <x v="26"/>
  </r>
  <r>
    <x v="43"/>
    <x v="0"/>
    <x v="7"/>
    <s v="Paducah"/>
    <s v="KY"/>
    <x v="43"/>
    <x v="26"/>
  </r>
  <r>
    <x v="43"/>
    <x v="0"/>
    <x v="8"/>
    <s v="Paducah"/>
    <s v="KY"/>
    <x v="43"/>
    <x v="26"/>
  </r>
  <r>
    <x v="43"/>
    <x v="0"/>
    <x v="10"/>
    <s v="Paducah"/>
    <s v="KY"/>
    <x v="43"/>
    <x v="26"/>
  </r>
  <r>
    <x v="43"/>
    <x v="0"/>
    <x v="11"/>
    <s v="Paducah"/>
    <s v="KY"/>
    <x v="43"/>
    <x v="26"/>
  </r>
  <r>
    <x v="43"/>
    <x v="0"/>
    <x v="24"/>
    <s v="Paducah"/>
    <s v="KY"/>
    <x v="43"/>
    <x v="26"/>
  </r>
  <r>
    <x v="43"/>
    <x v="0"/>
    <x v="25"/>
    <s v="Paducah"/>
    <s v="KY"/>
    <x v="43"/>
    <x v="26"/>
  </r>
  <r>
    <x v="43"/>
    <x v="0"/>
    <x v="12"/>
    <s v="Paducah"/>
    <s v="KY"/>
    <x v="43"/>
    <x v="26"/>
  </r>
  <r>
    <x v="43"/>
    <x v="0"/>
    <x v="27"/>
    <s v="Paducah"/>
    <s v="KY"/>
    <x v="43"/>
    <x v="26"/>
  </r>
  <r>
    <x v="43"/>
    <x v="0"/>
    <x v="13"/>
    <s v="Paducah"/>
    <s v="KY"/>
    <x v="43"/>
    <x v="26"/>
  </r>
  <r>
    <x v="43"/>
    <x v="0"/>
    <x v="22"/>
    <s v="Paducah"/>
    <s v="KY"/>
    <x v="43"/>
    <x v="26"/>
  </r>
  <r>
    <x v="43"/>
    <x v="0"/>
    <x v="14"/>
    <s v="Paducah"/>
    <s v="KY"/>
    <x v="43"/>
    <x v="26"/>
  </r>
  <r>
    <x v="43"/>
    <x v="0"/>
    <x v="53"/>
    <s v="Paducah"/>
    <s v="KY"/>
    <x v="43"/>
    <x v="26"/>
  </r>
  <r>
    <x v="43"/>
    <x v="0"/>
    <x v="16"/>
    <s v="Paducah"/>
    <s v="KY"/>
    <x v="43"/>
    <x v="26"/>
  </r>
  <r>
    <x v="43"/>
    <x v="0"/>
    <x v="29"/>
    <s v="Paducah"/>
    <s v="KY"/>
    <x v="43"/>
    <x v="26"/>
  </r>
  <r>
    <x v="43"/>
    <x v="0"/>
    <x v="35"/>
    <s v="Paducah"/>
    <s v="KY"/>
    <x v="43"/>
    <x v="26"/>
  </r>
  <r>
    <x v="43"/>
    <x v="0"/>
    <x v="17"/>
    <s v="Paducah"/>
    <s v="KY"/>
    <x v="43"/>
    <x v="26"/>
  </r>
  <r>
    <x v="43"/>
    <x v="0"/>
    <x v="18"/>
    <s v="Paducah"/>
    <s v="KY"/>
    <x v="43"/>
    <x v="26"/>
  </r>
  <r>
    <x v="43"/>
    <x v="0"/>
    <x v="19"/>
    <s v="Paducah"/>
    <s v="KY"/>
    <x v="43"/>
    <x v="26"/>
  </r>
  <r>
    <x v="43"/>
    <x v="0"/>
    <x v="3"/>
    <s v="Paducah"/>
    <s v="KY"/>
    <x v="43"/>
    <x v="26"/>
  </r>
  <r>
    <x v="43"/>
    <x v="0"/>
    <x v="4"/>
    <s v="Paducah"/>
    <s v="KY"/>
    <x v="43"/>
    <x v="26"/>
  </r>
  <r>
    <x v="43"/>
    <x v="0"/>
    <x v="5"/>
    <s v="Paducah"/>
    <s v="KY"/>
    <x v="43"/>
    <x v="26"/>
  </r>
  <r>
    <x v="44"/>
    <x v="0"/>
    <x v="7"/>
    <s v="Jefferson City"/>
    <s v="MO"/>
    <x v="44"/>
    <x v="27"/>
  </r>
  <r>
    <x v="44"/>
    <x v="0"/>
    <x v="8"/>
    <s v="Jefferson City"/>
    <s v="MO"/>
    <x v="44"/>
    <x v="27"/>
  </r>
  <r>
    <x v="44"/>
    <x v="0"/>
    <x v="11"/>
    <s v="Jefferson City"/>
    <s v="MO"/>
    <x v="44"/>
    <x v="27"/>
  </r>
  <r>
    <x v="44"/>
    <x v="0"/>
    <x v="25"/>
    <s v="Jefferson City"/>
    <s v="MO"/>
    <x v="44"/>
    <x v="27"/>
  </r>
  <r>
    <x v="44"/>
    <x v="0"/>
    <x v="12"/>
    <s v="Jefferson City"/>
    <s v="MO"/>
    <x v="44"/>
    <x v="27"/>
  </r>
  <r>
    <x v="44"/>
    <x v="0"/>
    <x v="27"/>
    <s v="Jefferson City"/>
    <s v="MO"/>
    <x v="44"/>
    <x v="27"/>
  </r>
  <r>
    <x v="44"/>
    <x v="0"/>
    <x v="56"/>
    <s v="Jefferson City"/>
    <s v="MO"/>
    <x v="44"/>
    <x v="27"/>
  </r>
  <r>
    <x v="44"/>
    <x v="0"/>
    <x v="13"/>
    <s v="Jefferson City"/>
    <s v="MO"/>
    <x v="44"/>
    <x v="27"/>
  </r>
  <r>
    <x v="44"/>
    <x v="0"/>
    <x v="53"/>
    <s v="Jefferson City"/>
    <s v="MO"/>
    <x v="44"/>
    <x v="27"/>
  </r>
  <r>
    <x v="44"/>
    <x v="0"/>
    <x v="29"/>
    <s v="Jefferson City"/>
    <s v="MO"/>
    <x v="44"/>
    <x v="27"/>
  </r>
  <r>
    <x v="44"/>
    <x v="0"/>
    <x v="46"/>
    <s v="Jefferson City"/>
    <s v="MO"/>
    <x v="44"/>
    <x v="27"/>
  </r>
  <r>
    <x v="44"/>
    <x v="0"/>
    <x v="18"/>
    <s v="Jefferson City"/>
    <s v="MO"/>
    <x v="44"/>
    <x v="27"/>
  </r>
  <r>
    <x v="44"/>
    <x v="0"/>
    <x v="19"/>
    <s v="Jefferson City"/>
    <s v="MO"/>
    <x v="44"/>
    <x v="27"/>
  </r>
  <r>
    <x v="44"/>
    <x v="0"/>
    <x v="5"/>
    <s v="Jefferson City"/>
    <s v="MO"/>
    <x v="44"/>
    <x v="27"/>
  </r>
  <r>
    <x v="45"/>
    <x v="1"/>
    <x v="52"/>
    <s v="Chicago"/>
    <s v="IL"/>
    <x v="45"/>
    <x v="0"/>
  </r>
  <r>
    <x v="46"/>
    <x v="0"/>
    <x v="7"/>
    <s v="Crystal Lake"/>
    <s v="IL"/>
    <x v="46"/>
    <x v="28"/>
  </r>
  <r>
    <x v="46"/>
    <x v="0"/>
    <x v="8"/>
    <s v="Crystal Lake"/>
    <s v="IL"/>
    <x v="46"/>
    <x v="28"/>
  </r>
  <r>
    <x v="46"/>
    <x v="0"/>
    <x v="9"/>
    <s v="Crystal Lake"/>
    <s v="IL"/>
    <x v="46"/>
    <x v="28"/>
  </r>
  <r>
    <x v="46"/>
    <x v="0"/>
    <x v="10"/>
    <s v="Crystal Lake"/>
    <s v="IL"/>
    <x v="46"/>
    <x v="28"/>
  </r>
  <r>
    <x v="46"/>
    <x v="0"/>
    <x v="11"/>
    <s v="Crystal Lake"/>
    <s v="IL"/>
    <x v="46"/>
    <x v="28"/>
  </r>
  <r>
    <x v="46"/>
    <x v="0"/>
    <x v="24"/>
    <s v="Crystal Lake"/>
    <s v="IL"/>
    <x v="46"/>
    <x v="28"/>
  </r>
  <r>
    <x v="46"/>
    <x v="0"/>
    <x v="25"/>
    <s v="Crystal Lake"/>
    <s v="IL"/>
    <x v="46"/>
    <x v="28"/>
  </r>
  <r>
    <x v="46"/>
    <x v="0"/>
    <x v="12"/>
    <s v="Crystal Lake"/>
    <s v="IL"/>
    <x v="46"/>
    <x v="28"/>
  </r>
  <r>
    <x v="46"/>
    <x v="0"/>
    <x v="44"/>
    <s v="Crystal Lake"/>
    <s v="IL"/>
    <x v="46"/>
    <x v="28"/>
  </r>
  <r>
    <x v="46"/>
    <x v="0"/>
    <x v="27"/>
    <s v="Crystal Lake"/>
    <s v="IL"/>
    <x v="46"/>
    <x v="28"/>
  </r>
  <r>
    <x v="46"/>
    <x v="0"/>
    <x v="13"/>
    <s v="Crystal Lake"/>
    <s v="IL"/>
    <x v="46"/>
    <x v="28"/>
  </r>
  <r>
    <x v="46"/>
    <x v="0"/>
    <x v="22"/>
    <s v="Crystal Lake"/>
    <s v="IL"/>
    <x v="46"/>
    <x v="28"/>
  </r>
  <r>
    <x v="46"/>
    <x v="0"/>
    <x v="14"/>
    <s v="Crystal Lake"/>
    <s v="IL"/>
    <x v="46"/>
    <x v="28"/>
  </r>
  <r>
    <x v="46"/>
    <x v="0"/>
    <x v="23"/>
    <s v="Crystal Lake"/>
    <s v="IL"/>
    <x v="46"/>
    <x v="28"/>
  </r>
  <r>
    <x v="46"/>
    <x v="0"/>
    <x v="36"/>
    <s v="Crystal Lake"/>
    <s v="IL"/>
    <x v="46"/>
    <x v="28"/>
  </r>
  <r>
    <x v="46"/>
    <x v="0"/>
    <x v="16"/>
    <s v="Crystal Lake"/>
    <s v="IL"/>
    <x v="46"/>
    <x v="28"/>
  </r>
  <r>
    <x v="46"/>
    <x v="0"/>
    <x v="28"/>
    <s v="Crystal Lake"/>
    <s v="IL"/>
    <x v="46"/>
    <x v="28"/>
  </r>
  <r>
    <x v="46"/>
    <x v="0"/>
    <x v="29"/>
    <s v="Crystal Lake"/>
    <s v="IL"/>
    <x v="46"/>
    <x v="28"/>
  </r>
  <r>
    <x v="46"/>
    <x v="0"/>
    <x v="35"/>
    <s v="Crystal Lake"/>
    <s v="IL"/>
    <x v="46"/>
    <x v="28"/>
  </r>
  <r>
    <x v="46"/>
    <x v="0"/>
    <x v="17"/>
    <s v="Crystal Lake"/>
    <s v="IL"/>
    <x v="46"/>
    <x v="28"/>
  </r>
  <r>
    <x v="46"/>
    <x v="0"/>
    <x v="18"/>
    <s v="Crystal Lake"/>
    <s v="IL"/>
    <x v="46"/>
    <x v="28"/>
  </r>
  <r>
    <x v="46"/>
    <x v="0"/>
    <x v="19"/>
    <s v="Crystal Lake"/>
    <s v="IL"/>
    <x v="46"/>
    <x v="28"/>
  </r>
  <r>
    <x v="46"/>
    <x v="0"/>
    <x v="4"/>
    <s v="Crystal Lake"/>
    <s v="IL"/>
    <x v="46"/>
    <x v="28"/>
  </r>
  <r>
    <x v="46"/>
    <x v="0"/>
    <x v="5"/>
    <s v="Crystal Lake"/>
    <s v="IL"/>
    <x v="46"/>
    <x v="28"/>
  </r>
  <r>
    <x v="47"/>
    <x v="0"/>
    <x v="52"/>
    <s v="Marion"/>
    <s v="IL"/>
    <x v="47"/>
    <x v="29"/>
  </r>
  <r>
    <x v="48"/>
    <x v="1"/>
    <x v="36"/>
    <s v="Chicago"/>
    <s v="IL"/>
    <x v="48"/>
    <x v="0"/>
  </r>
  <r>
    <x v="49"/>
    <x v="1"/>
    <x v="57"/>
    <s v="Beloit"/>
    <s v="WI"/>
    <x v="49"/>
    <x v="30"/>
  </r>
  <r>
    <x v="49"/>
    <x v="1"/>
    <x v="58"/>
    <s v="Beloit"/>
    <s v="WI"/>
    <x v="49"/>
    <x v="30"/>
  </r>
  <r>
    <x v="50"/>
    <x v="0"/>
    <x v="33"/>
    <s v="Chicago"/>
    <s v="IL"/>
    <x v="50"/>
    <x v="0"/>
  </r>
  <r>
    <x v="50"/>
    <x v="0"/>
    <x v="34"/>
    <s v="Chicago"/>
    <s v="IL"/>
    <x v="50"/>
    <x v="0"/>
  </r>
  <r>
    <x v="50"/>
    <x v="0"/>
    <x v="39"/>
    <s v="Chicago"/>
    <s v="IL"/>
    <x v="50"/>
    <x v="0"/>
  </r>
  <r>
    <x v="50"/>
    <x v="0"/>
    <x v="40"/>
    <s v="Chicago"/>
    <s v="IL"/>
    <x v="50"/>
    <x v="0"/>
  </r>
  <r>
    <x v="50"/>
    <x v="0"/>
    <x v="59"/>
    <s v="Chicago"/>
    <s v="IL"/>
    <x v="50"/>
    <x v="0"/>
  </r>
  <r>
    <x v="50"/>
    <x v="0"/>
    <x v="41"/>
    <s v="Chicago"/>
    <s v="IL"/>
    <x v="50"/>
    <x v="0"/>
  </r>
  <r>
    <x v="50"/>
    <x v="0"/>
    <x v="42"/>
    <s v="Chicago"/>
    <s v="IL"/>
    <x v="50"/>
    <x v="0"/>
  </r>
  <r>
    <x v="50"/>
    <x v="0"/>
    <x v="7"/>
    <s v="Chicago"/>
    <s v="IL"/>
    <x v="50"/>
    <x v="0"/>
  </r>
  <r>
    <x v="50"/>
    <x v="0"/>
    <x v="8"/>
    <s v="Chicago"/>
    <s v="IL"/>
    <x v="50"/>
    <x v="0"/>
  </r>
  <r>
    <x v="50"/>
    <x v="0"/>
    <x v="9"/>
    <s v="Chicago"/>
    <s v="IL"/>
    <x v="50"/>
    <x v="0"/>
  </r>
  <r>
    <x v="50"/>
    <x v="0"/>
    <x v="10"/>
    <s v="Chicago"/>
    <s v="IL"/>
    <x v="50"/>
    <x v="0"/>
  </r>
  <r>
    <x v="50"/>
    <x v="0"/>
    <x v="11"/>
    <s v="Chicago"/>
    <s v="IL"/>
    <x v="50"/>
    <x v="0"/>
  </r>
  <r>
    <x v="50"/>
    <x v="0"/>
    <x v="24"/>
    <s v="Chicago"/>
    <s v="IL"/>
    <x v="50"/>
    <x v="0"/>
  </r>
  <r>
    <x v="50"/>
    <x v="0"/>
    <x v="25"/>
    <s v="Chicago"/>
    <s v="IL"/>
    <x v="50"/>
    <x v="0"/>
  </r>
  <r>
    <x v="50"/>
    <x v="0"/>
    <x v="12"/>
    <s v="Chicago"/>
    <s v="IL"/>
    <x v="50"/>
    <x v="0"/>
  </r>
  <r>
    <x v="50"/>
    <x v="0"/>
    <x v="26"/>
    <s v="Chicago"/>
    <s v="IL"/>
    <x v="50"/>
    <x v="0"/>
  </r>
  <r>
    <x v="50"/>
    <x v="0"/>
    <x v="21"/>
    <s v="Chicago"/>
    <s v="IL"/>
    <x v="50"/>
    <x v="0"/>
  </r>
  <r>
    <x v="50"/>
    <x v="0"/>
    <x v="27"/>
    <s v="Chicago"/>
    <s v="IL"/>
    <x v="50"/>
    <x v="0"/>
  </r>
  <r>
    <x v="50"/>
    <x v="0"/>
    <x v="13"/>
    <s v="Chicago"/>
    <s v="IL"/>
    <x v="50"/>
    <x v="0"/>
  </r>
  <r>
    <x v="50"/>
    <x v="0"/>
    <x v="22"/>
    <s v="Chicago"/>
    <s v="IL"/>
    <x v="50"/>
    <x v="0"/>
  </r>
  <r>
    <x v="50"/>
    <x v="0"/>
    <x v="14"/>
    <s v="Chicago"/>
    <s v="IL"/>
    <x v="50"/>
    <x v="0"/>
  </r>
  <r>
    <x v="50"/>
    <x v="0"/>
    <x v="15"/>
    <s v="Chicago"/>
    <s v="IL"/>
    <x v="50"/>
    <x v="0"/>
  </r>
  <r>
    <x v="50"/>
    <x v="0"/>
    <x v="36"/>
    <s v="Chicago"/>
    <s v="IL"/>
    <x v="50"/>
    <x v="0"/>
  </r>
  <r>
    <x v="50"/>
    <x v="0"/>
    <x v="16"/>
    <s v="Chicago"/>
    <s v="IL"/>
    <x v="50"/>
    <x v="0"/>
  </r>
  <r>
    <x v="50"/>
    <x v="0"/>
    <x v="29"/>
    <s v="Chicago"/>
    <s v="IL"/>
    <x v="50"/>
    <x v="0"/>
  </r>
  <r>
    <x v="50"/>
    <x v="0"/>
    <x v="35"/>
    <s v="Chicago"/>
    <s v="IL"/>
    <x v="50"/>
    <x v="0"/>
  </r>
  <r>
    <x v="50"/>
    <x v="0"/>
    <x v="17"/>
    <s v="Chicago"/>
    <s v="IL"/>
    <x v="50"/>
    <x v="0"/>
  </r>
  <r>
    <x v="50"/>
    <x v="0"/>
    <x v="46"/>
    <s v="Chicago"/>
    <s v="IL"/>
    <x v="50"/>
    <x v="0"/>
  </r>
  <r>
    <x v="50"/>
    <x v="0"/>
    <x v="18"/>
    <s v="Chicago"/>
    <s v="IL"/>
    <x v="50"/>
    <x v="0"/>
  </r>
  <r>
    <x v="50"/>
    <x v="0"/>
    <x v="19"/>
    <s v="Chicago"/>
    <s v="IL"/>
    <x v="50"/>
    <x v="0"/>
  </r>
  <r>
    <x v="50"/>
    <x v="0"/>
    <x v="3"/>
    <s v="Chicago"/>
    <s v="IL"/>
    <x v="50"/>
    <x v="0"/>
  </r>
  <r>
    <x v="50"/>
    <x v="0"/>
    <x v="47"/>
    <s v="Chicago"/>
    <s v="IL"/>
    <x v="50"/>
    <x v="0"/>
  </r>
  <r>
    <x v="50"/>
    <x v="0"/>
    <x v="4"/>
    <s v="Chicago"/>
    <s v="IL"/>
    <x v="50"/>
    <x v="0"/>
  </r>
  <r>
    <x v="50"/>
    <x v="0"/>
    <x v="5"/>
    <s v="Chicago"/>
    <s v="IL"/>
    <x v="50"/>
    <x v="0"/>
  </r>
  <r>
    <x v="50"/>
    <x v="0"/>
    <x v="48"/>
    <s v="Chicago"/>
    <s v="IL"/>
    <x v="50"/>
    <x v="0"/>
  </r>
  <r>
    <x v="50"/>
    <x v="0"/>
    <x v="6"/>
    <s v="Chicago"/>
    <s v="IL"/>
    <x v="50"/>
    <x v="0"/>
  </r>
  <r>
    <x v="50"/>
    <x v="0"/>
    <x v="49"/>
    <s v="Chicago"/>
    <s v="IL"/>
    <x v="50"/>
    <x v="0"/>
  </r>
  <r>
    <x v="50"/>
    <x v="0"/>
    <x v="50"/>
    <s v="Chicago"/>
    <s v="IL"/>
    <x v="50"/>
    <x v="0"/>
  </r>
  <r>
    <x v="50"/>
    <x v="0"/>
    <x v="32"/>
    <s v="Chicago"/>
    <s v="IL"/>
    <x v="50"/>
    <x v="0"/>
  </r>
  <r>
    <x v="51"/>
    <x v="0"/>
    <x v="7"/>
    <s v="Jacksonville"/>
    <s v="IL"/>
    <x v="51"/>
    <x v="31"/>
  </r>
  <r>
    <x v="51"/>
    <x v="0"/>
    <x v="8"/>
    <s v="Jacksonville"/>
    <s v="IL"/>
    <x v="51"/>
    <x v="31"/>
  </r>
  <r>
    <x v="51"/>
    <x v="0"/>
    <x v="11"/>
    <s v="Jacksonville"/>
    <s v="IL"/>
    <x v="51"/>
    <x v="31"/>
  </r>
  <r>
    <x v="51"/>
    <x v="0"/>
    <x v="12"/>
    <s v="Jacksonville"/>
    <s v="IL"/>
    <x v="51"/>
    <x v="31"/>
  </r>
  <r>
    <x v="51"/>
    <x v="0"/>
    <x v="13"/>
    <s v="Jacksonville"/>
    <s v="IL"/>
    <x v="51"/>
    <x v="31"/>
  </r>
  <r>
    <x v="51"/>
    <x v="0"/>
    <x v="16"/>
    <s v="Jacksonville"/>
    <s v="IL"/>
    <x v="51"/>
    <x v="31"/>
  </r>
  <r>
    <x v="51"/>
    <x v="0"/>
    <x v="28"/>
    <s v="Jacksonville"/>
    <s v="IL"/>
    <x v="51"/>
    <x v="31"/>
  </r>
  <r>
    <x v="51"/>
    <x v="0"/>
    <x v="29"/>
    <s v="Jacksonville"/>
    <s v="IL"/>
    <x v="51"/>
    <x v="31"/>
  </r>
  <r>
    <x v="51"/>
    <x v="0"/>
    <x v="17"/>
    <s v="Jacksonville"/>
    <s v="IL"/>
    <x v="51"/>
    <x v="31"/>
  </r>
  <r>
    <x v="51"/>
    <x v="0"/>
    <x v="19"/>
    <s v="Jacksonville"/>
    <s v="IL"/>
    <x v="51"/>
    <x v="31"/>
  </r>
  <r>
    <x v="51"/>
    <x v="0"/>
    <x v="4"/>
    <s v="Jacksonville"/>
    <s v="IL"/>
    <x v="51"/>
    <x v="31"/>
  </r>
  <r>
    <x v="51"/>
    <x v="0"/>
    <x v="5"/>
    <s v="Jacksonville"/>
    <s v="IL"/>
    <x v="51"/>
    <x v="31"/>
  </r>
  <r>
    <x v="52"/>
    <x v="0"/>
    <x v="29"/>
    <s v="Urbana"/>
    <s v="IL"/>
    <x v="52"/>
    <x v="32"/>
  </r>
  <r>
    <x v="53"/>
    <x v="0"/>
    <x v="7"/>
    <s v="Itasca"/>
    <s v="IL"/>
    <x v="53"/>
    <x v="33"/>
  </r>
  <r>
    <x v="53"/>
    <x v="0"/>
    <x v="8"/>
    <s v="Itasca"/>
    <s v="IL"/>
    <x v="53"/>
    <x v="33"/>
  </r>
  <r>
    <x v="53"/>
    <x v="0"/>
    <x v="10"/>
    <s v="Itasca"/>
    <s v="IL"/>
    <x v="53"/>
    <x v="33"/>
  </r>
  <r>
    <x v="53"/>
    <x v="0"/>
    <x v="11"/>
    <s v="Itasca"/>
    <s v="IL"/>
    <x v="53"/>
    <x v="33"/>
  </r>
  <r>
    <x v="53"/>
    <x v="0"/>
    <x v="24"/>
    <s v="Itasca"/>
    <s v="IL"/>
    <x v="53"/>
    <x v="33"/>
  </r>
  <r>
    <x v="53"/>
    <x v="0"/>
    <x v="25"/>
    <s v="Itasca"/>
    <s v="IL"/>
    <x v="53"/>
    <x v="33"/>
  </r>
  <r>
    <x v="53"/>
    <x v="0"/>
    <x v="12"/>
    <s v="Itasca"/>
    <s v="IL"/>
    <x v="53"/>
    <x v="33"/>
  </r>
  <r>
    <x v="53"/>
    <x v="0"/>
    <x v="27"/>
    <s v="Itasca"/>
    <s v="IL"/>
    <x v="53"/>
    <x v="33"/>
  </r>
  <r>
    <x v="53"/>
    <x v="0"/>
    <x v="13"/>
    <s v="Itasca"/>
    <s v="IL"/>
    <x v="53"/>
    <x v="33"/>
  </r>
  <r>
    <x v="53"/>
    <x v="0"/>
    <x v="36"/>
    <s v="Itasca"/>
    <s v="IL"/>
    <x v="53"/>
    <x v="33"/>
  </r>
  <r>
    <x v="53"/>
    <x v="0"/>
    <x v="16"/>
    <s v="Itasca"/>
    <s v="IL"/>
    <x v="53"/>
    <x v="33"/>
  </r>
  <r>
    <x v="53"/>
    <x v="0"/>
    <x v="29"/>
    <s v="Itasca"/>
    <s v="IL"/>
    <x v="53"/>
    <x v="33"/>
  </r>
  <r>
    <x v="53"/>
    <x v="0"/>
    <x v="35"/>
    <s v="Itasca"/>
    <s v="IL"/>
    <x v="53"/>
    <x v="33"/>
  </r>
  <r>
    <x v="53"/>
    <x v="0"/>
    <x v="17"/>
    <s v="Itasca"/>
    <s v="IL"/>
    <x v="53"/>
    <x v="33"/>
  </r>
  <r>
    <x v="53"/>
    <x v="0"/>
    <x v="18"/>
    <s v="Itasca"/>
    <s v="IL"/>
    <x v="53"/>
    <x v="33"/>
  </r>
  <r>
    <x v="53"/>
    <x v="0"/>
    <x v="19"/>
    <s v="Itasca"/>
    <s v="IL"/>
    <x v="53"/>
    <x v="33"/>
  </r>
  <r>
    <x v="53"/>
    <x v="0"/>
    <x v="3"/>
    <s v="Itasca"/>
    <s v="IL"/>
    <x v="53"/>
    <x v="33"/>
  </r>
  <r>
    <x v="53"/>
    <x v="0"/>
    <x v="4"/>
    <s v="Itasca"/>
    <s v="IL"/>
    <x v="53"/>
    <x v="33"/>
  </r>
  <r>
    <x v="53"/>
    <x v="0"/>
    <x v="5"/>
    <s v="Itasca"/>
    <s v="IL"/>
    <x v="53"/>
    <x v="33"/>
  </r>
  <r>
    <x v="54"/>
    <x v="0"/>
    <x v="27"/>
    <s v="Mt Zion"/>
    <s v="IL"/>
    <x v="54"/>
    <x v="34"/>
  </r>
  <r>
    <x v="54"/>
    <x v="0"/>
    <x v="29"/>
    <s v="Mt Zion"/>
    <s v="IL"/>
    <x v="54"/>
    <x v="34"/>
  </r>
  <r>
    <x v="55"/>
    <x v="1"/>
    <x v="7"/>
    <s v="Chicago "/>
    <s v="IL"/>
    <x v="55"/>
    <x v="24"/>
  </r>
  <r>
    <x v="55"/>
    <x v="1"/>
    <x v="8"/>
    <s v="Chicago "/>
    <s v="IL"/>
    <x v="55"/>
    <x v="24"/>
  </r>
  <r>
    <x v="55"/>
    <x v="1"/>
    <x v="10"/>
    <s v="Chicago "/>
    <s v="IL"/>
    <x v="55"/>
    <x v="24"/>
  </r>
  <r>
    <x v="55"/>
    <x v="1"/>
    <x v="11"/>
    <s v="Chicago "/>
    <s v="IL"/>
    <x v="55"/>
    <x v="24"/>
  </r>
  <r>
    <x v="55"/>
    <x v="1"/>
    <x v="25"/>
    <s v="Chicago "/>
    <s v="IL"/>
    <x v="55"/>
    <x v="24"/>
  </r>
  <r>
    <x v="55"/>
    <x v="1"/>
    <x v="12"/>
    <s v="Chicago "/>
    <s v="IL"/>
    <x v="55"/>
    <x v="24"/>
  </r>
  <r>
    <x v="55"/>
    <x v="1"/>
    <x v="52"/>
    <s v="Chicago "/>
    <s v="IL"/>
    <x v="55"/>
    <x v="24"/>
  </r>
  <r>
    <x v="55"/>
    <x v="1"/>
    <x v="13"/>
    <s v="Chicago "/>
    <s v="IL"/>
    <x v="55"/>
    <x v="24"/>
  </r>
  <r>
    <x v="55"/>
    <x v="1"/>
    <x v="17"/>
    <s v="Chicago "/>
    <s v="IL"/>
    <x v="55"/>
    <x v="24"/>
  </r>
  <r>
    <x v="55"/>
    <x v="1"/>
    <x v="19"/>
    <s v="Chicago "/>
    <s v="IL"/>
    <x v="55"/>
    <x v="24"/>
  </r>
  <r>
    <x v="55"/>
    <x v="1"/>
    <x v="3"/>
    <s v="Chicago "/>
    <s v="IL"/>
    <x v="55"/>
    <x v="24"/>
  </r>
  <r>
    <x v="55"/>
    <x v="1"/>
    <x v="4"/>
    <s v="Chicago "/>
    <s v="IL"/>
    <x v="55"/>
    <x v="24"/>
  </r>
  <r>
    <x v="55"/>
    <x v="1"/>
    <x v="5"/>
    <s v="Chicago "/>
    <s v="IL"/>
    <x v="55"/>
    <x v="24"/>
  </r>
  <r>
    <x v="55"/>
    <x v="1"/>
    <x v="48"/>
    <s v="Chicago "/>
    <s v="IL"/>
    <x v="55"/>
    <x v="24"/>
  </r>
  <r>
    <x v="55"/>
    <x v="1"/>
    <x v="32"/>
    <s v="Chicago "/>
    <s v="IL"/>
    <x v="55"/>
    <x v="24"/>
  </r>
  <r>
    <x v="56"/>
    <x v="0"/>
    <x v="27"/>
    <s v="Chicago"/>
    <s v="IL"/>
    <x v="56"/>
    <x v="0"/>
  </r>
  <r>
    <x v="57"/>
    <x v="0"/>
    <x v="39"/>
    <s v="Lisle"/>
    <s v="IL"/>
    <x v="57"/>
    <x v="2"/>
  </r>
  <r>
    <x v="57"/>
    <x v="0"/>
    <x v="7"/>
    <s v="Lisle"/>
    <s v="IL"/>
    <x v="57"/>
    <x v="2"/>
  </r>
  <r>
    <x v="57"/>
    <x v="0"/>
    <x v="8"/>
    <s v="Lisle"/>
    <s v="IL"/>
    <x v="57"/>
    <x v="2"/>
  </r>
  <r>
    <x v="57"/>
    <x v="0"/>
    <x v="10"/>
    <s v="Lisle"/>
    <s v="IL"/>
    <x v="57"/>
    <x v="2"/>
  </r>
  <r>
    <x v="57"/>
    <x v="0"/>
    <x v="60"/>
    <s v="Lisle"/>
    <s v="IL"/>
    <x v="57"/>
    <x v="2"/>
  </r>
  <r>
    <x v="57"/>
    <x v="0"/>
    <x v="11"/>
    <s v="Lisle"/>
    <s v="IL"/>
    <x v="57"/>
    <x v="2"/>
  </r>
  <r>
    <x v="57"/>
    <x v="0"/>
    <x v="24"/>
    <s v="Lisle"/>
    <s v="IL"/>
    <x v="57"/>
    <x v="2"/>
  </r>
  <r>
    <x v="57"/>
    <x v="0"/>
    <x v="25"/>
    <s v="Lisle"/>
    <s v="IL"/>
    <x v="57"/>
    <x v="2"/>
  </r>
  <r>
    <x v="57"/>
    <x v="0"/>
    <x v="12"/>
    <s v="Lisle"/>
    <s v="IL"/>
    <x v="57"/>
    <x v="2"/>
  </r>
  <r>
    <x v="57"/>
    <x v="0"/>
    <x v="27"/>
    <s v="Lisle"/>
    <s v="IL"/>
    <x v="57"/>
    <x v="2"/>
  </r>
  <r>
    <x v="57"/>
    <x v="0"/>
    <x v="56"/>
    <s v="Lisle"/>
    <s v="IL"/>
    <x v="57"/>
    <x v="2"/>
  </r>
  <r>
    <x v="57"/>
    <x v="0"/>
    <x v="13"/>
    <s v="Lisle"/>
    <s v="IL"/>
    <x v="57"/>
    <x v="2"/>
  </r>
  <r>
    <x v="57"/>
    <x v="0"/>
    <x v="15"/>
    <s v="Lisle"/>
    <s v="IL"/>
    <x v="57"/>
    <x v="2"/>
  </r>
  <r>
    <x v="57"/>
    <x v="0"/>
    <x v="36"/>
    <s v="Lisle"/>
    <s v="IL"/>
    <x v="57"/>
    <x v="2"/>
  </r>
  <r>
    <x v="57"/>
    <x v="0"/>
    <x v="16"/>
    <s v="Lisle"/>
    <s v="IL"/>
    <x v="57"/>
    <x v="2"/>
  </r>
  <r>
    <x v="57"/>
    <x v="0"/>
    <x v="29"/>
    <s v="Lisle"/>
    <s v="IL"/>
    <x v="57"/>
    <x v="2"/>
  </r>
  <r>
    <x v="57"/>
    <x v="0"/>
    <x v="35"/>
    <s v="Lisle"/>
    <s v="IL"/>
    <x v="57"/>
    <x v="2"/>
  </r>
  <r>
    <x v="57"/>
    <x v="0"/>
    <x v="17"/>
    <s v="Lisle"/>
    <s v="IL"/>
    <x v="57"/>
    <x v="2"/>
  </r>
  <r>
    <x v="57"/>
    <x v="0"/>
    <x v="18"/>
    <s v="Lisle"/>
    <s v="IL"/>
    <x v="57"/>
    <x v="2"/>
  </r>
  <r>
    <x v="57"/>
    <x v="0"/>
    <x v="19"/>
    <s v="Lisle"/>
    <s v="IL"/>
    <x v="57"/>
    <x v="2"/>
  </r>
  <r>
    <x v="57"/>
    <x v="0"/>
    <x v="3"/>
    <s v="Lisle"/>
    <s v="IL"/>
    <x v="57"/>
    <x v="2"/>
  </r>
  <r>
    <x v="57"/>
    <x v="0"/>
    <x v="4"/>
    <s v="Lisle"/>
    <s v="IL"/>
    <x v="57"/>
    <x v="2"/>
  </r>
  <r>
    <x v="57"/>
    <x v="0"/>
    <x v="5"/>
    <s v="Lisle"/>
    <s v="IL"/>
    <x v="57"/>
    <x v="2"/>
  </r>
  <r>
    <x v="57"/>
    <x v="0"/>
    <x v="6"/>
    <s v="Lisle"/>
    <s v="IL"/>
    <x v="57"/>
    <x v="2"/>
  </r>
  <r>
    <x v="58"/>
    <x v="0"/>
    <x v="7"/>
    <s v="Lisle"/>
    <s v="IL"/>
    <x v="58"/>
    <x v="2"/>
  </r>
  <r>
    <x v="58"/>
    <x v="0"/>
    <x v="8"/>
    <s v="Lisle"/>
    <s v="IL"/>
    <x v="58"/>
    <x v="2"/>
  </r>
  <r>
    <x v="58"/>
    <x v="0"/>
    <x v="25"/>
    <s v="Lisle"/>
    <s v="IL"/>
    <x v="58"/>
    <x v="2"/>
  </r>
  <r>
    <x v="58"/>
    <x v="0"/>
    <x v="12"/>
    <s v="Lisle"/>
    <s v="IL"/>
    <x v="58"/>
    <x v="2"/>
  </r>
  <r>
    <x v="58"/>
    <x v="0"/>
    <x v="13"/>
    <s v="Lisle"/>
    <s v="IL"/>
    <x v="58"/>
    <x v="2"/>
  </r>
  <r>
    <x v="58"/>
    <x v="0"/>
    <x v="28"/>
    <s v="Lisle"/>
    <s v="IL"/>
    <x v="58"/>
    <x v="2"/>
  </r>
  <r>
    <x v="58"/>
    <x v="0"/>
    <x v="35"/>
    <s v="Lisle"/>
    <s v="IL"/>
    <x v="58"/>
    <x v="2"/>
  </r>
  <r>
    <x v="58"/>
    <x v="0"/>
    <x v="17"/>
    <s v="Lisle"/>
    <s v="IL"/>
    <x v="58"/>
    <x v="2"/>
  </r>
  <r>
    <x v="58"/>
    <x v="0"/>
    <x v="19"/>
    <s v="Lisle"/>
    <s v="IL"/>
    <x v="58"/>
    <x v="2"/>
  </r>
  <r>
    <x v="59"/>
    <x v="0"/>
    <x v="0"/>
    <s v="Bourbonnais"/>
    <s v="IL"/>
    <x v="59"/>
    <x v="35"/>
  </r>
  <r>
    <x v="60"/>
    <x v="0"/>
    <x v="33"/>
    <s v="Harrisburg"/>
    <s v="IL"/>
    <x v="60"/>
    <x v="36"/>
  </r>
  <r>
    <x v="60"/>
    <x v="0"/>
    <x v="61"/>
    <s v="Harrisburg"/>
    <s v="IL"/>
    <x v="60"/>
    <x v="36"/>
  </r>
  <r>
    <x v="60"/>
    <x v="0"/>
    <x v="34"/>
    <s v="Harrisburg"/>
    <s v="IL"/>
    <x v="60"/>
    <x v="36"/>
  </r>
  <r>
    <x v="60"/>
    <x v="0"/>
    <x v="37"/>
    <s v="Harrisburg"/>
    <s v="IL"/>
    <x v="60"/>
    <x v="36"/>
  </r>
  <r>
    <x v="60"/>
    <x v="0"/>
    <x v="8"/>
    <s v="Harrisburg"/>
    <s v="IL"/>
    <x v="60"/>
    <x v="36"/>
  </r>
  <r>
    <x v="60"/>
    <x v="0"/>
    <x v="11"/>
    <s v="Harrisburg"/>
    <s v="IL"/>
    <x v="60"/>
    <x v="36"/>
  </r>
  <r>
    <x v="60"/>
    <x v="0"/>
    <x v="12"/>
    <s v="Harrisburg"/>
    <s v="IL"/>
    <x v="60"/>
    <x v="36"/>
  </r>
  <r>
    <x v="60"/>
    <x v="0"/>
    <x v="13"/>
    <s v="Harrisburg"/>
    <s v="IL"/>
    <x v="60"/>
    <x v="36"/>
  </r>
  <r>
    <x v="60"/>
    <x v="0"/>
    <x v="23"/>
    <s v="Harrisburg"/>
    <s v="IL"/>
    <x v="60"/>
    <x v="36"/>
  </r>
  <r>
    <x v="60"/>
    <x v="0"/>
    <x v="16"/>
    <s v="Harrisburg"/>
    <s v="IL"/>
    <x v="60"/>
    <x v="36"/>
  </r>
  <r>
    <x v="60"/>
    <x v="0"/>
    <x v="29"/>
    <s v="Harrisburg"/>
    <s v="IL"/>
    <x v="60"/>
    <x v="36"/>
  </r>
  <r>
    <x v="61"/>
    <x v="0"/>
    <x v="8"/>
    <s v="Galesburg"/>
    <s v="IL"/>
    <x v="61"/>
    <x v="37"/>
  </r>
  <r>
    <x v="61"/>
    <x v="0"/>
    <x v="12"/>
    <s v="Galesburg"/>
    <s v="IL"/>
    <x v="61"/>
    <x v="37"/>
  </r>
  <r>
    <x v="61"/>
    <x v="0"/>
    <x v="13"/>
    <s v="Galesburg"/>
    <s v="IL"/>
    <x v="61"/>
    <x v="37"/>
  </r>
  <r>
    <x v="61"/>
    <x v="0"/>
    <x v="23"/>
    <s v="Galesburg"/>
    <s v="IL"/>
    <x v="61"/>
    <x v="37"/>
  </r>
  <r>
    <x v="61"/>
    <x v="0"/>
    <x v="16"/>
    <s v="Galesburg"/>
    <s v="IL"/>
    <x v="61"/>
    <x v="37"/>
  </r>
  <r>
    <x v="61"/>
    <x v="0"/>
    <x v="29"/>
    <s v="Galesburg"/>
    <s v="IL"/>
    <x v="61"/>
    <x v="37"/>
  </r>
  <r>
    <x v="61"/>
    <x v="0"/>
    <x v="35"/>
    <s v="Galesburg"/>
    <s v="IL"/>
    <x v="61"/>
    <x v="37"/>
  </r>
  <r>
    <x v="61"/>
    <x v="0"/>
    <x v="19"/>
    <s v="Galesburg"/>
    <s v="IL"/>
    <x v="61"/>
    <x v="37"/>
  </r>
  <r>
    <x v="62"/>
    <x v="0"/>
    <x v="0"/>
    <s v="Lombard"/>
    <s v="IL"/>
    <x v="62"/>
    <x v="1"/>
  </r>
  <r>
    <x v="63"/>
    <x v="0"/>
    <x v="0"/>
    <s v="Lisle"/>
    <s v="IL"/>
    <x v="63"/>
    <x v="2"/>
  </r>
  <r>
    <x v="64"/>
    <x v="0"/>
    <x v="39"/>
    <s v="Rosemont"/>
    <s v="IL"/>
    <x v="64"/>
    <x v="38"/>
  </r>
  <r>
    <x v="64"/>
    <x v="0"/>
    <x v="40"/>
    <s v="Rosemont"/>
    <s v="IL"/>
    <x v="64"/>
    <x v="38"/>
  </r>
  <r>
    <x v="64"/>
    <x v="0"/>
    <x v="7"/>
    <s v="Rosemont"/>
    <s v="IL"/>
    <x v="64"/>
    <x v="38"/>
  </r>
  <r>
    <x v="64"/>
    <x v="0"/>
    <x v="8"/>
    <s v="Rosemont"/>
    <s v="IL"/>
    <x v="64"/>
    <x v="38"/>
  </r>
  <r>
    <x v="64"/>
    <x v="0"/>
    <x v="9"/>
    <s v="Rosemont"/>
    <s v="IL"/>
    <x v="64"/>
    <x v="38"/>
  </r>
  <r>
    <x v="64"/>
    <x v="0"/>
    <x v="10"/>
    <s v="Rosemont"/>
    <s v="IL"/>
    <x v="64"/>
    <x v="38"/>
  </r>
  <r>
    <x v="64"/>
    <x v="0"/>
    <x v="11"/>
    <s v="Rosemont"/>
    <s v="IL"/>
    <x v="64"/>
    <x v="38"/>
  </r>
  <r>
    <x v="64"/>
    <x v="0"/>
    <x v="24"/>
    <s v="Rosemont"/>
    <s v="IL"/>
    <x v="64"/>
    <x v="38"/>
  </r>
  <r>
    <x v="64"/>
    <x v="0"/>
    <x v="25"/>
    <s v="Rosemont"/>
    <s v="IL"/>
    <x v="64"/>
    <x v="38"/>
  </r>
  <r>
    <x v="64"/>
    <x v="0"/>
    <x v="12"/>
    <s v="Rosemont"/>
    <s v="IL"/>
    <x v="64"/>
    <x v="38"/>
  </r>
  <r>
    <x v="64"/>
    <x v="0"/>
    <x v="26"/>
    <s v="Rosemont"/>
    <s v="IL"/>
    <x v="64"/>
    <x v="38"/>
  </r>
  <r>
    <x v="64"/>
    <x v="0"/>
    <x v="21"/>
    <s v="Rosemont"/>
    <s v="IL"/>
    <x v="64"/>
    <x v="38"/>
  </r>
  <r>
    <x v="64"/>
    <x v="0"/>
    <x v="44"/>
    <s v="Rosemont"/>
    <s v="IL"/>
    <x v="64"/>
    <x v="38"/>
  </r>
  <r>
    <x v="64"/>
    <x v="0"/>
    <x v="27"/>
    <s v="Rosemont"/>
    <s v="IL"/>
    <x v="64"/>
    <x v="38"/>
  </r>
  <r>
    <x v="64"/>
    <x v="0"/>
    <x v="13"/>
    <s v="Rosemont"/>
    <s v="IL"/>
    <x v="64"/>
    <x v="38"/>
  </r>
  <r>
    <x v="64"/>
    <x v="0"/>
    <x v="22"/>
    <s v="Rosemont"/>
    <s v="IL"/>
    <x v="64"/>
    <x v="38"/>
  </r>
  <r>
    <x v="64"/>
    <x v="0"/>
    <x v="14"/>
    <s v="Rosemont"/>
    <s v="IL"/>
    <x v="64"/>
    <x v="38"/>
  </r>
  <r>
    <x v="64"/>
    <x v="0"/>
    <x v="23"/>
    <s v="Rosemont"/>
    <s v="IL"/>
    <x v="64"/>
    <x v="38"/>
  </r>
  <r>
    <x v="64"/>
    <x v="0"/>
    <x v="36"/>
    <s v="Rosemont"/>
    <s v="IL"/>
    <x v="64"/>
    <x v="38"/>
  </r>
  <r>
    <x v="64"/>
    <x v="0"/>
    <x v="16"/>
    <s v="Rosemont"/>
    <s v="IL"/>
    <x v="64"/>
    <x v="38"/>
  </r>
  <r>
    <x v="64"/>
    <x v="0"/>
    <x v="29"/>
    <s v="Rosemont"/>
    <s v="IL"/>
    <x v="64"/>
    <x v="38"/>
  </r>
  <r>
    <x v="64"/>
    <x v="0"/>
    <x v="35"/>
    <s v="Rosemont"/>
    <s v="IL"/>
    <x v="64"/>
    <x v="38"/>
  </r>
  <r>
    <x v="64"/>
    <x v="0"/>
    <x v="17"/>
    <s v="Rosemont"/>
    <s v="IL"/>
    <x v="64"/>
    <x v="38"/>
  </r>
  <r>
    <x v="64"/>
    <x v="0"/>
    <x v="46"/>
    <s v="Rosemont"/>
    <s v="IL"/>
    <x v="64"/>
    <x v="38"/>
  </r>
  <r>
    <x v="64"/>
    <x v="0"/>
    <x v="18"/>
    <s v="Rosemont"/>
    <s v="IL"/>
    <x v="64"/>
    <x v="38"/>
  </r>
  <r>
    <x v="64"/>
    <x v="0"/>
    <x v="19"/>
    <s v="Rosemont"/>
    <s v="IL"/>
    <x v="64"/>
    <x v="38"/>
  </r>
  <r>
    <x v="64"/>
    <x v="0"/>
    <x v="3"/>
    <s v="Rosemont"/>
    <s v="IL"/>
    <x v="64"/>
    <x v="38"/>
  </r>
  <r>
    <x v="64"/>
    <x v="0"/>
    <x v="4"/>
    <s v="Rosemont"/>
    <s v="IL"/>
    <x v="64"/>
    <x v="38"/>
  </r>
  <r>
    <x v="64"/>
    <x v="0"/>
    <x v="5"/>
    <s v="Rosemont"/>
    <s v="IL"/>
    <x v="64"/>
    <x v="38"/>
  </r>
  <r>
    <x v="65"/>
    <x v="0"/>
    <x v="33"/>
    <s v="Chicago"/>
    <s v="IL"/>
    <x v="65"/>
    <x v="0"/>
  </r>
  <r>
    <x v="65"/>
    <x v="0"/>
    <x v="34"/>
    <s v="Chicago"/>
    <s v="IL"/>
    <x v="65"/>
    <x v="0"/>
  </r>
  <r>
    <x v="65"/>
    <x v="0"/>
    <x v="37"/>
    <s v="Chicago"/>
    <s v="IL"/>
    <x v="65"/>
    <x v="0"/>
  </r>
  <r>
    <x v="65"/>
    <x v="0"/>
    <x v="38"/>
    <s v="Chicago"/>
    <s v="IL"/>
    <x v="65"/>
    <x v="0"/>
  </r>
  <r>
    <x v="65"/>
    <x v="0"/>
    <x v="39"/>
    <s v="Chicago"/>
    <s v="IL"/>
    <x v="65"/>
    <x v="0"/>
  </r>
  <r>
    <x v="65"/>
    <x v="0"/>
    <x v="40"/>
    <s v="Chicago"/>
    <s v="IL"/>
    <x v="65"/>
    <x v="0"/>
  </r>
  <r>
    <x v="65"/>
    <x v="0"/>
    <x v="7"/>
    <s v="Chicago"/>
    <s v="IL"/>
    <x v="65"/>
    <x v="0"/>
  </r>
  <r>
    <x v="65"/>
    <x v="0"/>
    <x v="8"/>
    <s v="Chicago"/>
    <s v="IL"/>
    <x v="65"/>
    <x v="0"/>
  </r>
  <r>
    <x v="65"/>
    <x v="0"/>
    <x v="9"/>
    <s v="Chicago"/>
    <s v="IL"/>
    <x v="65"/>
    <x v="0"/>
  </r>
  <r>
    <x v="65"/>
    <x v="0"/>
    <x v="10"/>
    <s v="Chicago"/>
    <s v="IL"/>
    <x v="65"/>
    <x v="0"/>
  </r>
  <r>
    <x v="65"/>
    <x v="0"/>
    <x v="11"/>
    <s v="Chicago"/>
    <s v="IL"/>
    <x v="65"/>
    <x v="0"/>
  </r>
  <r>
    <x v="65"/>
    <x v="0"/>
    <x v="24"/>
    <s v="Chicago"/>
    <s v="IL"/>
    <x v="65"/>
    <x v="0"/>
  </r>
  <r>
    <x v="65"/>
    <x v="0"/>
    <x v="25"/>
    <s v="Chicago"/>
    <s v="IL"/>
    <x v="65"/>
    <x v="0"/>
  </r>
  <r>
    <x v="65"/>
    <x v="0"/>
    <x v="12"/>
    <s v="Chicago"/>
    <s v="IL"/>
    <x v="65"/>
    <x v="0"/>
  </r>
  <r>
    <x v="65"/>
    <x v="0"/>
    <x v="26"/>
    <s v="Chicago"/>
    <s v="IL"/>
    <x v="65"/>
    <x v="0"/>
  </r>
  <r>
    <x v="65"/>
    <x v="0"/>
    <x v="21"/>
    <s v="Chicago"/>
    <s v="IL"/>
    <x v="65"/>
    <x v="0"/>
  </r>
  <r>
    <x v="65"/>
    <x v="0"/>
    <x v="44"/>
    <s v="Chicago"/>
    <s v="IL"/>
    <x v="65"/>
    <x v="0"/>
  </r>
  <r>
    <x v="65"/>
    <x v="0"/>
    <x v="27"/>
    <s v="Chicago"/>
    <s v="IL"/>
    <x v="65"/>
    <x v="0"/>
  </r>
  <r>
    <x v="65"/>
    <x v="0"/>
    <x v="13"/>
    <s v="Chicago"/>
    <s v="IL"/>
    <x v="65"/>
    <x v="0"/>
  </r>
  <r>
    <x v="65"/>
    <x v="0"/>
    <x v="22"/>
    <s v="Chicago"/>
    <s v="IL"/>
    <x v="65"/>
    <x v="0"/>
  </r>
  <r>
    <x v="65"/>
    <x v="0"/>
    <x v="14"/>
    <s v="Chicago"/>
    <s v="IL"/>
    <x v="65"/>
    <x v="0"/>
  </r>
  <r>
    <x v="65"/>
    <x v="0"/>
    <x v="23"/>
    <s v="Chicago"/>
    <s v="IL"/>
    <x v="65"/>
    <x v="0"/>
  </r>
  <r>
    <x v="65"/>
    <x v="0"/>
    <x v="36"/>
    <s v="Chicago"/>
    <s v="IL"/>
    <x v="65"/>
    <x v="0"/>
  </r>
  <r>
    <x v="65"/>
    <x v="0"/>
    <x v="16"/>
    <s v="Chicago"/>
    <s v="IL"/>
    <x v="65"/>
    <x v="0"/>
  </r>
  <r>
    <x v="65"/>
    <x v="0"/>
    <x v="35"/>
    <s v="Chicago"/>
    <s v="IL"/>
    <x v="65"/>
    <x v="0"/>
  </r>
  <r>
    <x v="65"/>
    <x v="0"/>
    <x v="17"/>
    <s v="Chicago"/>
    <s v="IL"/>
    <x v="65"/>
    <x v="0"/>
  </r>
  <r>
    <x v="65"/>
    <x v="0"/>
    <x v="18"/>
    <s v="Chicago"/>
    <s v="IL"/>
    <x v="65"/>
    <x v="0"/>
  </r>
  <r>
    <x v="65"/>
    <x v="0"/>
    <x v="19"/>
    <s v="Chicago"/>
    <s v="IL"/>
    <x v="65"/>
    <x v="0"/>
  </r>
  <r>
    <x v="65"/>
    <x v="0"/>
    <x v="3"/>
    <s v="Chicago"/>
    <s v="IL"/>
    <x v="65"/>
    <x v="0"/>
  </r>
  <r>
    <x v="65"/>
    <x v="0"/>
    <x v="47"/>
    <s v="Chicago"/>
    <s v="IL"/>
    <x v="65"/>
    <x v="0"/>
  </r>
  <r>
    <x v="65"/>
    <x v="0"/>
    <x v="4"/>
    <s v="Chicago"/>
    <s v="IL"/>
    <x v="65"/>
    <x v="0"/>
  </r>
  <r>
    <x v="65"/>
    <x v="0"/>
    <x v="5"/>
    <s v="Chicago"/>
    <s v="IL"/>
    <x v="65"/>
    <x v="0"/>
  </r>
  <r>
    <x v="65"/>
    <x v="0"/>
    <x v="48"/>
    <s v="Chicago"/>
    <s v="IL"/>
    <x v="65"/>
    <x v="0"/>
  </r>
  <r>
    <x v="65"/>
    <x v="0"/>
    <x v="6"/>
    <s v="Chicago"/>
    <s v="IL"/>
    <x v="65"/>
    <x v="0"/>
  </r>
  <r>
    <x v="65"/>
    <x v="0"/>
    <x v="49"/>
    <s v="Chicago"/>
    <s v="IL"/>
    <x v="65"/>
    <x v="0"/>
  </r>
  <r>
    <x v="65"/>
    <x v="0"/>
    <x v="32"/>
    <s v="Chicago"/>
    <s v="IL"/>
    <x v="65"/>
    <x v="0"/>
  </r>
  <r>
    <x v="66"/>
    <x v="1"/>
    <x v="37"/>
    <s v="Rockville"/>
    <s v="MD"/>
    <x v="66"/>
    <x v="39"/>
  </r>
  <r>
    <x v="66"/>
    <x v="1"/>
    <x v="8"/>
    <s v="Rockville"/>
    <s v="MD"/>
    <x v="66"/>
    <x v="39"/>
  </r>
  <r>
    <x v="66"/>
    <x v="1"/>
    <x v="11"/>
    <s v="Rockville"/>
    <s v="MD"/>
    <x v="66"/>
    <x v="39"/>
  </r>
  <r>
    <x v="66"/>
    <x v="1"/>
    <x v="24"/>
    <s v="Rockville"/>
    <s v="MD"/>
    <x v="66"/>
    <x v="39"/>
  </r>
  <r>
    <x v="66"/>
    <x v="1"/>
    <x v="25"/>
    <s v="Rockville"/>
    <s v="MD"/>
    <x v="66"/>
    <x v="39"/>
  </r>
  <r>
    <x v="66"/>
    <x v="1"/>
    <x v="12"/>
    <s v="Rockville"/>
    <s v="MD"/>
    <x v="66"/>
    <x v="39"/>
  </r>
  <r>
    <x v="66"/>
    <x v="1"/>
    <x v="22"/>
    <s v="Rockville"/>
    <s v="MD"/>
    <x v="66"/>
    <x v="39"/>
  </r>
  <r>
    <x v="66"/>
    <x v="1"/>
    <x v="23"/>
    <s v="Rockville"/>
    <s v="MD"/>
    <x v="66"/>
    <x v="39"/>
  </r>
  <r>
    <x v="66"/>
    <x v="1"/>
    <x v="4"/>
    <s v="Rockville"/>
    <s v="MD"/>
    <x v="66"/>
    <x v="39"/>
  </r>
  <r>
    <x v="66"/>
    <x v="1"/>
    <x v="5"/>
    <s v="Rockville"/>
    <s v="MD"/>
    <x v="66"/>
    <x v="39"/>
  </r>
  <r>
    <x v="67"/>
    <x v="0"/>
    <x v="0"/>
    <s v="Medford"/>
    <s v="MA"/>
    <x v="67"/>
    <x v="40"/>
  </r>
  <r>
    <x v="67"/>
    <x v="0"/>
    <x v="51"/>
    <s v="Medford"/>
    <s v="MA"/>
    <x v="67"/>
    <x v="40"/>
  </r>
  <r>
    <x v="68"/>
    <x v="0"/>
    <x v="8"/>
    <s v="St. Louis"/>
    <s v="MO"/>
    <x v="68"/>
    <x v="41"/>
  </r>
  <r>
    <x v="68"/>
    <x v="0"/>
    <x v="25"/>
    <s v="St. Louis"/>
    <s v="MO"/>
    <x v="68"/>
    <x v="41"/>
  </r>
  <r>
    <x v="68"/>
    <x v="0"/>
    <x v="12"/>
    <s v="St. Louis"/>
    <s v="MO"/>
    <x v="68"/>
    <x v="41"/>
  </r>
  <r>
    <x v="68"/>
    <x v="0"/>
    <x v="27"/>
    <s v="St. Louis"/>
    <s v="MO"/>
    <x v="68"/>
    <x v="41"/>
  </r>
  <r>
    <x v="68"/>
    <x v="0"/>
    <x v="35"/>
    <s v="St. Louis"/>
    <s v="MO"/>
    <x v="68"/>
    <x v="41"/>
  </r>
  <r>
    <x v="68"/>
    <x v="0"/>
    <x v="17"/>
    <s v="St. Louis"/>
    <s v="MO"/>
    <x v="68"/>
    <x v="41"/>
  </r>
  <r>
    <x v="68"/>
    <x v="0"/>
    <x v="46"/>
    <s v="St. Louis"/>
    <s v="MO"/>
    <x v="68"/>
    <x v="41"/>
  </r>
  <r>
    <x v="68"/>
    <x v="0"/>
    <x v="18"/>
    <s v="St. Louis"/>
    <s v="MO"/>
    <x v="68"/>
    <x v="41"/>
  </r>
  <r>
    <x v="69"/>
    <x v="0"/>
    <x v="1"/>
    <s v="Milwaukee"/>
    <s v="WI"/>
    <x v="69"/>
    <x v="42"/>
  </r>
  <r>
    <x v="69"/>
    <x v="0"/>
    <x v="2"/>
    <s v="Milwaukee"/>
    <s v="WI"/>
    <x v="69"/>
    <x v="42"/>
  </r>
  <r>
    <x v="70"/>
    <x v="0"/>
    <x v="0"/>
    <s v="Oakbrook Terrace"/>
    <s v="IL"/>
    <x v="70"/>
    <x v="43"/>
  </r>
  <r>
    <x v="71"/>
    <x v="0"/>
    <x v="8"/>
    <s v="St. Louis"/>
    <s v="MO"/>
    <x v="71"/>
    <x v="41"/>
  </r>
  <r>
    <x v="72"/>
    <x v="0"/>
    <x v="39"/>
    <s v="Chicago"/>
    <s v="IL"/>
    <x v="72"/>
    <x v="0"/>
  </r>
  <r>
    <x v="72"/>
    <x v="0"/>
    <x v="40"/>
    <s v="Chicago"/>
    <s v="IL"/>
    <x v="72"/>
    <x v="0"/>
  </r>
  <r>
    <x v="72"/>
    <x v="0"/>
    <x v="7"/>
    <s v="Chicago"/>
    <s v="IL"/>
    <x v="72"/>
    <x v="0"/>
  </r>
  <r>
    <x v="72"/>
    <x v="0"/>
    <x v="8"/>
    <s v="Chicago"/>
    <s v="IL"/>
    <x v="72"/>
    <x v="0"/>
  </r>
  <r>
    <x v="72"/>
    <x v="0"/>
    <x v="9"/>
    <s v="Chicago"/>
    <s v="IL"/>
    <x v="72"/>
    <x v="0"/>
  </r>
  <r>
    <x v="72"/>
    <x v="0"/>
    <x v="10"/>
    <s v="Chicago"/>
    <s v="IL"/>
    <x v="72"/>
    <x v="0"/>
  </r>
  <r>
    <x v="72"/>
    <x v="0"/>
    <x v="11"/>
    <s v="Chicago"/>
    <s v="IL"/>
    <x v="72"/>
    <x v="0"/>
  </r>
  <r>
    <x v="72"/>
    <x v="0"/>
    <x v="24"/>
    <s v="Chicago"/>
    <s v="IL"/>
    <x v="72"/>
    <x v="0"/>
  </r>
  <r>
    <x v="72"/>
    <x v="0"/>
    <x v="25"/>
    <s v="Chicago"/>
    <s v="IL"/>
    <x v="72"/>
    <x v="0"/>
  </r>
  <r>
    <x v="72"/>
    <x v="0"/>
    <x v="12"/>
    <s v="Chicago"/>
    <s v="IL"/>
    <x v="72"/>
    <x v="0"/>
  </r>
  <r>
    <x v="72"/>
    <x v="0"/>
    <x v="44"/>
    <s v="Chicago"/>
    <s v="IL"/>
    <x v="72"/>
    <x v="0"/>
  </r>
  <r>
    <x v="72"/>
    <x v="0"/>
    <x v="27"/>
    <s v="Chicago"/>
    <s v="IL"/>
    <x v="72"/>
    <x v="0"/>
  </r>
  <r>
    <x v="72"/>
    <x v="0"/>
    <x v="13"/>
    <s v="Chicago"/>
    <s v="IL"/>
    <x v="72"/>
    <x v="0"/>
  </r>
  <r>
    <x v="72"/>
    <x v="0"/>
    <x v="22"/>
    <s v="Chicago"/>
    <s v="IL"/>
    <x v="72"/>
    <x v="0"/>
  </r>
  <r>
    <x v="72"/>
    <x v="0"/>
    <x v="54"/>
    <s v="Chicago"/>
    <s v="IL"/>
    <x v="72"/>
    <x v="0"/>
  </r>
  <r>
    <x v="72"/>
    <x v="0"/>
    <x v="20"/>
    <s v="Chicago"/>
    <s v="IL"/>
    <x v="72"/>
    <x v="0"/>
  </r>
  <r>
    <x v="72"/>
    <x v="0"/>
    <x v="23"/>
    <s v="Chicago"/>
    <s v="IL"/>
    <x v="72"/>
    <x v="0"/>
  </r>
  <r>
    <x v="72"/>
    <x v="0"/>
    <x v="15"/>
    <s v="Chicago"/>
    <s v="IL"/>
    <x v="72"/>
    <x v="0"/>
  </r>
  <r>
    <x v="72"/>
    <x v="0"/>
    <x v="36"/>
    <s v="Chicago"/>
    <s v="IL"/>
    <x v="72"/>
    <x v="0"/>
  </r>
  <r>
    <x v="72"/>
    <x v="0"/>
    <x v="35"/>
    <s v="Chicago"/>
    <s v="IL"/>
    <x v="72"/>
    <x v="0"/>
  </r>
  <r>
    <x v="72"/>
    <x v="0"/>
    <x v="17"/>
    <s v="Chicago"/>
    <s v="IL"/>
    <x v="72"/>
    <x v="0"/>
  </r>
  <r>
    <x v="72"/>
    <x v="0"/>
    <x v="46"/>
    <s v="Chicago"/>
    <s v="IL"/>
    <x v="72"/>
    <x v="0"/>
  </r>
  <r>
    <x v="72"/>
    <x v="0"/>
    <x v="18"/>
    <s v="Chicago"/>
    <s v="IL"/>
    <x v="72"/>
    <x v="0"/>
  </r>
  <r>
    <x v="72"/>
    <x v="0"/>
    <x v="19"/>
    <s v="Chicago"/>
    <s v="IL"/>
    <x v="72"/>
    <x v="0"/>
  </r>
  <r>
    <x v="72"/>
    <x v="0"/>
    <x v="30"/>
    <s v="Chicago"/>
    <s v="IL"/>
    <x v="72"/>
    <x v="0"/>
  </r>
  <r>
    <x v="72"/>
    <x v="0"/>
    <x v="3"/>
    <s v="Chicago"/>
    <s v="IL"/>
    <x v="72"/>
    <x v="0"/>
  </r>
  <r>
    <x v="72"/>
    <x v="0"/>
    <x v="47"/>
    <s v="Chicago"/>
    <s v="IL"/>
    <x v="72"/>
    <x v="0"/>
  </r>
  <r>
    <x v="72"/>
    <x v="0"/>
    <x v="4"/>
    <s v="Chicago"/>
    <s v="IL"/>
    <x v="72"/>
    <x v="0"/>
  </r>
  <r>
    <x v="72"/>
    <x v="0"/>
    <x v="5"/>
    <s v="Chicago"/>
    <s v="IL"/>
    <x v="72"/>
    <x v="0"/>
  </r>
  <r>
    <x v="72"/>
    <x v="0"/>
    <x v="50"/>
    <s v="Chicago"/>
    <s v="IL"/>
    <x v="72"/>
    <x v="0"/>
  </r>
  <r>
    <x v="72"/>
    <x v="0"/>
    <x v="32"/>
    <s v="Chicago"/>
    <s v="IL"/>
    <x v="72"/>
    <x v="0"/>
  </r>
  <r>
    <x v="72"/>
    <x v="0"/>
    <x v="51"/>
    <s v="Chicago"/>
    <s v="IL"/>
    <x v="72"/>
    <x v="0"/>
  </r>
  <r>
    <x v="73"/>
    <x v="0"/>
    <x v="8"/>
    <s v="Aurora"/>
    <s v="IL"/>
    <x v="73"/>
    <x v="8"/>
  </r>
  <r>
    <x v="73"/>
    <x v="0"/>
    <x v="10"/>
    <s v="Aurora"/>
    <s v="IL"/>
    <x v="73"/>
    <x v="8"/>
  </r>
  <r>
    <x v="73"/>
    <x v="0"/>
    <x v="11"/>
    <s v="Aurora"/>
    <s v="IL"/>
    <x v="73"/>
    <x v="8"/>
  </r>
  <r>
    <x v="73"/>
    <x v="0"/>
    <x v="25"/>
    <s v="Aurora"/>
    <s v="IL"/>
    <x v="73"/>
    <x v="8"/>
  </r>
  <r>
    <x v="73"/>
    <x v="0"/>
    <x v="12"/>
    <s v="Aurora"/>
    <s v="IL"/>
    <x v="73"/>
    <x v="8"/>
  </r>
  <r>
    <x v="73"/>
    <x v="0"/>
    <x v="29"/>
    <s v="Aurora"/>
    <s v="IL"/>
    <x v="73"/>
    <x v="8"/>
  </r>
  <r>
    <x v="73"/>
    <x v="0"/>
    <x v="35"/>
    <s v="Aurora"/>
    <s v="IL"/>
    <x v="73"/>
    <x v="8"/>
  </r>
  <r>
    <x v="73"/>
    <x v="0"/>
    <x v="19"/>
    <s v="Aurora"/>
    <s v="IL"/>
    <x v="73"/>
    <x v="8"/>
  </r>
  <r>
    <x v="74"/>
    <x v="1"/>
    <x v="13"/>
    <s v="Madison"/>
    <s v="WI"/>
    <x v="74"/>
    <x v="44"/>
  </r>
  <r>
    <x v="75"/>
    <x v="1"/>
    <x v="8"/>
    <s v="Chicago"/>
    <s v="IL"/>
    <x v="75"/>
    <x v="0"/>
  </r>
  <r>
    <x v="75"/>
    <x v="1"/>
    <x v="13"/>
    <s v="Chicago"/>
    <s v="IL"/>
    <x v="75"/>
    <x v="0"/>
  </r>
  <r>
    <x v="75"/>
    <x v="1"/>
    <x v="16"/>
    <s v="Chicago"/>
    <s v="IL"/>
    <x v="75"/>
    <x v="0"/>
  </r>
  <r>
    <x v="75"/>
    <x v="1"/>
    <x v="17"/>
    <s v="Chicago"/>
    <s v="IL"/>
    <x v="75"/>
    <x v="0"/>
  </r>
  <r>
    <x v="75"/>
    <x v="1"/>
    <x v="18"/>
    <s v="Chicago"/>
    <s v="IL"/>
    <x v="75"/>
    <x v="0"/>
  </r>
  <r>
    <x v="76"/>
    <x v="0"/>
    <x v="8"/>
    <s v="Belvidere"/>
    <s v="IL"/>
    <x v="76"/>
    <x v="45"/>
  </r>
  <r>
    <x v="76"/>
    <x v="0"/>
    <x v="13"/>
    <s v="Belvidere"/>
    <s v="IL"/>
    <x v="76"/>
    <x v="45"/>
  </r>
  <r>
    <x v="76"/>
    <x v="0"/>
    <x v="29"/>
    <s v="Belvidere"/>
    <s v="IL"/>
    <x v="76"/>
    <x v="45"/>
  </r>
  <r>
    <x v="77"/>
    <x v="1"/>
    <x v="41"/>
    <s v="Elk Grove Village"/>
    <s v="IL"/>
    <x v="77"/>
    <x v="46"/>
  </r>
  <r>
    <x v="77"/>
    <x v="1"/>
    <x v="57"/>
    <s v="Elk Grove Village"/>
    <s v="IL"/>
    <x v="77"/>
    <x v="46"/>
  </r>
  <r>
    <x v="77"/>
    <x v="1"/>
    <x v="58"/>
    <s v="Elk Grove Village"/>
    <s v="IL"/>
    <x v="77"/>
    <x v="46"/>
  </r>
  <r>
    <x v="78"/>
    <x v="0"/>
    <x v="33"/>
    <s v="Peru"/>
    <s v="IL"/>
    <x v="78"/>
    <x v="47"/>
  </r>
  <r>
    <x v="78"/>
    <x v="0"/>
    <x v="34"/>
    <s v="Peru"/>
    <s v="IL"/>
    <x v="78"/>
    <x v="47"/>
  </r>
  <r>
    <x v="78"/>
    <x v="0"/>
    <x v="41"/>
    <s v="Peru"/>
    <s v="IL"/>
    <x v="78"/>
    <x v="47"/>
  </r>
  <r>
    <x v="78"/>
    <x v="0"/>
    <x v="42"/>
    <s v="Peru"/>
    <s v="IL"/>
    <x v="78"/>
    <x v="47"/>
  </r>
  <r>
    <x v="78"/>
    <x v="0"/>
    <x v="7"/>
    <s v="Peru"/>
    <s v="IL"/>
    <x v="78"/>
    <x v="47"/>
  </r>
  <r>
    <x v="78"/>
    <x v="0"/>
    <x v="8"/>
    <s v="Peru"/>
    <s v="IL"/>
    <x v="78"/>
    <x v="47"/>
  </r>
  <r>
    <x v="78"/>
    <x v="0"/>
    <x v="10"/>
    <s v="Peru"/>
    <s v="IL"/>
    <x v="78"/>
    <x v="47"/>
  </r>
  <r>
    <x v="78"/>
    <x v="0"/>
    <x v="11"/>
    <s v="Peru"/>
    <s v="IL"/>
    <x v="78"/>
    <x v="47"/>
  </r>
  <r>
    <x v="78"/>
    <x v="0"/>
    <x v="24"/>
    <s v="Peru"/>
    <s v="IL"/>
    <x v="78"/>
    <x v="47"/>
  </r>
  <r>
    <x v="78"/>
    <x v="0"/>
    <x v="25"/>
    <s v="Peru"/>
    <s v="IL"/>
    <x v="78"/>
    <x v="47"/>
  </r>
  <r>
    <x v="78"/>
    <x v="0"/>
    <x v="12"/>
    <s v="Peru"/>
    <s v="IL"/>
    <x v="78"/>
    <x v="47"/>
  </r>
  <r>
    <x v="78"/>
    <x v="0"/>
    <x v="27"/>
    <s v="Peru"/>
    <s v="IL"/>
    <x v="78"/>
    <x v="47"/>
  </r>
  <r>
    <x v="78"/>
    <x v="0"/>
    <x v="13"/>
    <s v="Peru"/>
    <s v="IL"/>
    <x v="78"/>
    <x v="47"/>
  </r>
  <r>
    <x v="78"/>
    <x v="0"/>
    <x v="14"/>
    <s v="Peru"/>
    <s v="IL"/>
    <x v="78"/>
    <x v="47"/>
  </r>
  <r>
    <x v="78"/>
    <x v="0"/>
    <x v="16"/>
    <s v="Peru"/>
    <s v="IL"/>
    <x v="78"/>
    <x v="47"/>
  </r>
  <r>
    <x v="78"/>
    <x v="0"/>
    <x v="29"/>
    <s v="Peru"/>
    <s v="IL"/>
    <x v="78"/>
    <x v="47"/>
  </r>
  <r>
    <x v="78"/>
    <x v="0"/>
    <x v="35"/>
    <s v="Peru"/>
    <s v="IL"/>
    <x v="78"/>
    <x v="47"/>
  </r>
  <r>
    <x v="78"/>
    <x v="0"/>
    <x v="17"/>
    <s v="Peru"/>
    <s v="IL"/>
    <x v="78"/>
    <x v="47"/>
  </r>
  <r>
    <x v="78"/>
    <x v="0"/>
    <x v="18"/>
    <s v="Peru"/>
    <s v="IL"/>
    <x v="78"/>
    <x v="47"/>
  </r>
  <r>
    <x v="78"/>
    <x v="0"/>
    <x v="19"/>
    <s v="Peru"/>
    <s v="IL"/>
    <x v="78"/>
    <x v="47"/>
  </r>
  <r>
    <x v="78"/>
    <x v="0"/>
    <x v="4"/>
    <s v="Peru"/>
    <s v="IL"/>
    <x v="78"/>
    <x v="47"/>
  </r>
  <r>
    <x v="78"/>
    <x v="0"/>
    <x v="5"/>
    <s v="Peru"/>
    <s v="IL"/>
    <x v="78"/>
    <x v="47"/>
  </r>
  <r>
    <x v="79"/>
    <x v="0"/>
    <x v="7"/>
    <s v="Decatur"/>
    <s v="IL"/>
    <x v="79"/>
    <x v="48"/>
  </r>
  <r>
    <x v="79"/>
    <x v="0"/>
    <x v="8"/>
    <s v="Decatur"/>
    <s v="IL"/>
    <x v="79"/>
    <x v="48"/>
  </r>
  <r>
    <x v="79"/>
    <x v="0"/>
    <x v="11"/>
    <s v="Decatur"/>
    <s v="IL"/>
    <x v="79"/>
    <x v="48"/>
  </r>
  <r>
    <x v="79"/>
    <x v="0"/>
    <x v="24"/>
    <s v="Decatur"/>
    <s v="IL"/>
    <x v="79"/>
    <x v="48"/>
  </r>
  <r>
    <x v="79"/>
    <x v="0"/>
    <x v="25"/>
    <s v="Decatur"/>
    <s v="IL"/>
    <x v="79"/>
    <x v="48"/>
  </r>
  <r>
    <x v="79"/>
    <x v="0"/>
    <x v="12"/>
    <s v="Decatur"/>
    <s v="IL"/>
    <x v="79"/>
    <x v="48"/>
  </r>
  <r>
    <x v="79"/>
    <x v="0"/>
    <x v="27"/>
    <s v="Decatur"/>
    <s v="IL"/>
    <x v="79"/>
    <x v="48"/>
  </r>
  <r>
    <x v="79"/>
    <x v="0"/>
    <x v="13"/>
    <s v="Decatur"/>
    <s v="IL"/>
    <x v="79"/>
    <x v="48"/>
  </r>
  <r>
    <x v="79"/>
    <x v="0"/>
    <x v="29"/>
    <s v="Decatur"/>
    <s v="IL"/>
    <x v="79"/>
    <x v="48"/>
  </r>
  <r>
    <x v="79"/>
    <x v="0"/>
    <x v="18"/>
    <s v="Decatur"/>
    <s v="IL"/>
    <x v="79"/>
    <x v="48"/>
  </r>
  <r>
    <x v="79"/>
    <x v="0"/>
    <x v="19"/>
    <s v="Decatur"/>
    <s v="IL"/>
    <x v="79"/>
    <x v="48"/>
  </r>
  <r>
    <x v="79"/>
    <x v="0"/>
    <x v="30"/>
    <s v="Decatur"/>
    <s v="IL"/>
    <x v="79"/>
    <x v="48"/>
  </r>
  <r>
    <x v="79"/>
    <x v="0"/>
    <x v="3"/>
    <s v="Decatur"/>
    <s v="IL"/>
    <x v="79"/>
    <x v="48"/>
  </r>
  <r>
    <x v="79"/>
    <x v="0"/>
    <x v="4"/>
    <s v="Decatur"/>
    <s v="IL"/>
    <x v="79"/>
    <x v="48"/>
  </r>
  <r>
    <x v="79"/>
    <x v="0"/>
    <x v="5"/>
    <s v="Decatur"/>
    <s v="IL"/>
    <x v="79"/>
    <x v="48"/>
  </r>
  <r>
    <x v="80"/>
    <x v="1"/>
    <x v="41"/>
    <s v="Glenview"/>
    <s v="IL"/>
    <x v="80"/>
    <x v="49"/>
  </r>
  <r>
    <x v="81"/>
    <x v="0"/>
    <x v="0"/>
    <s v="Northbrook"/>
    <s v="IL"/>
    <x v="81"/>
    <x v="50"/>
  </r>
  <r>
    <x v="81"/>
    <x v="0"/>
    <x v="1"/>
    <s v="Northbrook"/>
    <s v="IL"/>
    <x v="81"/>
    <x v="50"/>
  </r>
  <r>
    <x v="81"/>
    <x v="0"/>
    <x v="2"/>
    <s v="Northbrook"/>
    <s v="IL"/>
    <x v="81"/>
    <x v="50"/>
  </r>
  <r>
    <x v="82"/>
    <x v="0"/>
    <x v="41"/>
    <s v="Thornton"/>
    <s v="IL"/>
    <x v="82"/>
    <x v="51"/>
  </r>
  <r>
    <x v="82"/>
    <x v="0"/>
    <x v="42"/>
    <s v="Thornton"/>
    <s v="IL"/>
    <x v="82"/>
    <x v="51"/>
  </r>
  <r>
    <x v="82"/>
    <x v="0"/>
    <x v="43"/>
    <s v="Thornton"/>
    <s v="IL"/>
    <x v="82"/>
    <x v="51"/>
  </r>
  <r>
    <x v="82"/>
    <x v="0"/>
    <x v="57"/>
    <s v="Thornton"/>
    <s v="IL"/>
    <x v="82"/>
    <x v="51"/>
  </r>
  <r>
    <x v="82"/>
    <x v="0"/>
    <x v="58"/>
    <s v="Thornton"/>
    <s v="IL"/>
    <x v="82"/>
    <x v="51"/>
  </r>
  <r>
    <x v="83"/>
    <x v="1"/>
    <x v="33"/>
    <s v="Chicago"/>
    <s v="IL"/>
    <x v="83"/>
    <x v="0"/>
  </r>
  <r>
    <x v="83"/>
    <x v="1"/>
    <x v="34"/>
    <s v="Chicago"/>
    <s v="IL"/>
    <x v="83"/>
    <x v="0"/>
  </r>
  <r>
    <x v="83"/>
    <x v="1"/>
    <x v="7"/>
    <s v="Chicago"/>
    <s v="IL"/>
    <x v="83"/>
    <x v="0"/>
  </r>
  <r>
    <x v="83"/>
    <x v="1"/>
    <x v="8"/>
    <s v="Chicago"/>
    <s v="IL"/>
    <x v="83"/>
    <x v="0"/>
  </r>
  <r>
    <x v="83"/>
    <x v="1"/>
    <x v="25"/>
    <s v="Chicago"/>
    <s v="IL"/>
    <x v="83"/>
    <x v="0"/>
  </r>
  <r>
    <x v="83"/>
    <x v="1"/>
    <x v="12"/>
    <s v="Chicago"/>
    <s v="IL"/>
    <x v="83"/>
    <x v="0"/>
  </r>
  <r>
    <x v="83"/>
    <x v="1"/>
    <x v="27"/>
    <s v="Chicago"/>
    <s v="IL"/>
    <x v="83"/>
    <x v="0"/>
  </r>
  <r>
    <x v="83"/>
    <x v="1"/>
    <x v="13"/>
    <s v="Chicago"/>
    <s v="IL"/>
    <x v="83"/>
    <x v="0"/>
  </r>
  <r>
    <x v="83"/>
    <x v="1"/>
    <x v="15"/>
    <s v="Chicago"/>
    <s v="IL"/>
    <x v="83"/>
    <x v="0"/>
  </r>
  <r>
    <x v="83"/>
    <x v="1"/>
    <x v="36"/>
    <s v="Chicago"/>
    <s v="IL"/>
    <x v="83"/>
    <x v="0"/>
  </r>
  <r>
    <x v="83"/>
    <x v="1"/>
    <x v="50"/>
    <s v="Chicago"/>
    <s v="IL"/>
    <x v="83"/>
    <x v="0"/>
  </r>
  <r>
    <x v="83"/>
    <x v="1"/>
    <x v="51"/>
    <s v="Chicago"/>
    <s v="IL"/>
    <x v="83"/>
    <x v="0"/>
  </r>
  <r>
    <x v="84"/>
    <x v="0"/>
    <x v="7"/>
    <s v="Chicago"/>
    <s v="IL"/>
    <x v="84"/>
    <x v="0"/>
  </r>
  <r>
    <x v="84"/>
    <x v="0"/>
    <x v="8"/>
    <s v="Chicago"/>
    <s v="IL"/>
    <x v="84"/>
    <x v="0"/>
  </r>
  <r>
    <x v="84"/>
    <x v="0"/>
    <x v="9"/>
    <s v="Chicago"/>
    <s v="IL"/>
    <x v="84"/>
    <x v="0"/>
  </r>
  <r>
    <x v="84"/>
    <x v="0"/>
    <x v="10"/>
    <s v="Chicago"/>
    <s v="IL"/>
    <x v="84"/>
    <x v="0"/>
  </r>
  <r>
    <x v="84"/>
    <x v="0"/>
    <x v="11"/>
    <s v="Chicago"/>
    <s v="IL"/>
    <x v="84"/>
    <x v="0"/>
  </r>
  <r>
    <x v="84"/>
    <x v="0"/>
    <x v="24"/>
    <s v="Chicago"/>
    <s v="IL"/>
    <x v="84"/>
    <x v="0"/>
  </r>
  <r>
    <x v="84"/>
    <x v="0"/>
    <x v="25"/>
    <s v="Chicago"/>
    <s v="IL"/>
    <x v="84"/>
    <x v="0"/>
  </r>
  <r>
    <x v="84"/>
    <x v="0"/>
    <x v="12"/>
    <s v="Chicago"/>
    <s v="IL"/>
    <x v="84"/>
    <x v="0"/>
  </r>
  <r>
    <x v="84"/>
    <x v="0"/>
    <x v="26"/>
    <s v="Chicago"/>
    <s v="IL"/>
    <x v="84"/>
    <x v="0"/>
  </r>
  <r>
    <x v="84"/>
    <x v="0"/>
    <x v="21"/>
    <s v="Chicago"/>
    <s v="IL"/>
    <x v="84"/>
    <x v="0"/>
  </r>
  <r>
    <x v="84"/>
    <x v="0"/>
    <x v="44"/>
    <s v="Chicago"/>
    <s v="IL"/>
    <x v="84"/>
    <x v="0"/>
  </r>
  <r>
    <x v="84"/>
    <x v="0"/>
    <x v="27"/>
    <s v="Chicago"/>
    <s v="IL"/>
    <x v="84"/>
    <x v="0"/>
  </r>
  <r>
    <x v="84"/>
    <x v="0"/>
    <x v="13"/>
    <s v="Chicago"/>
    <s v="IL"/>
    <x v="84"/>
    <x v="0"/>
  </r>
  <r>
    <x v="84"/>
    <x v="0"/>
    <x v="22"/>
    <s v="Chicago"/>
    <s v="IL"/>
    <x v="84"/>
    <x v="0"/>
  </r>
  <r>
    <x v="84"/>
    <x v="0"/>
    <x v="23"/>
    <s v="Chicago"/>
    <s v="IL"/>
    <x v="84"/>
    <x v="0"/>
  </r>
  <r>
    <x v="84"/>
    <x v="0"/>
    <x v="36"/>
    <s v="Chicago"/>
    <s v="IL"/>
    <x v="84"/>
    <x v="0"/>
  </r>
  <r>
    <x v="84"/>
    <x v="0"/>
    <x v="16"/>
    <s v="Chicago"/>
    <s v="IL"/>
    <x v="84"/>
    <x v="0"/>
  </r>
  <r>
    <x v="84"/>
    <x v="0"/>
    <x v="29"/>
    <s v="Chicago"/>
    <s v="IL"/>
    <x v="84"/>
    <x v="0"/>
  </r>
  <r>
    <x v="84"/>
    <x v="0"/>
    <x v="35"/>
    <s v="Chicago"/>
    <s v="IL"/>
    <x v="84"/>
    <x v="0"/>
  </r>
  <r>
    <x v="84"/>
    <x v="0"/>
    <x v="17"/>
    <s v="Chicago"/>
    <s v="IL"/>
    <x v="84"/>
    <x v="0"/>
  </r>
  <r>
    <x v="84"/>
    <x v="0"/>
    <x v="18"/>
    <s v="Chicago"/>
    <s v="IL"/>
    <x v="84"/>
    <x v="0"/>
  </r>
  <r>
    <x v="84"/>
    <x v="0"/>
    <x v="19"/>
    <s v="Chicago"/>
    <s v="IL"/>
    <x v="84"/>
    <x v="0"/>
  </r>
  <r>
    <x v="84"/>
    <x v="0"/>
    <x v="3"/>
    <s v="Chicago"/>
    <s v="IL"/>
    <x v="84"/>
    <x v="0"/>
  </r>
  <r>
    <x v="84"/>
    <x v="0"/>
    <x v="47"/>
    <s v="Chicago"/>
    <s v="IL"/>
    <x v="84"/>
    <x v="0"/>
  </r>
  <r>
    <x v="84"/>
    <x v="0"/>
    <x v="4"/>
    <s v="Chicago"/>
    <s v="IL"/>
    <x v="84"/>
    <x v="0"/>
  </r>
  <r>
    <x v="84"/>
    <x v="0"/>
    <x v="5"/>
    <s v="Chicago"/>
    <s v="IL"/>
    <x v="84"/>
    <x v="0"/>
  </r>
  <r>
    <x v="84"/>
    <x v="0"/>
    <x v="48"/>
    <s v="Chicago"/>
    <s v="IL"/>
    <x v="84"/>
    <x v="0"/>
  </r>
  <r>
    <x v="84"/>
    <x v="0"/>
    <x v="6"/>
    <s v="Chicago"/>
    <s v="IL"/>
    <x v="84"/>
    <x v="0"/>
  </r>
  <r>
    <x v="84"/>
    <x v="0"/>
    <x v="49"/>
    <s v="Chicago"/>
    <s v="IL"/>
    <x v="84"/>
    <x v="0"/>
  </r>
  <r>
    <x v="85"/>
    <x v="0"/>
    <x v="41"/>
    <s v="Naperville"/>
    <s v="IL"/>
    <x v="85"/>
    <x v="52"/>
  </r>
  <r>
    <x v="85"/>
    <x v="0"/>
    <x v="42"/>
    <s v="Naperville"/>
    <s v="IL"/>
    <x v="85"/>
    <x v="52"/>
  </r>
  <r>
    <x v="85"/>
    <x v="0"/>
    <x v="8"/>
    <s v="Naperville"/>
    <s v="IL"/>
    <x v="85"/>
    <x v="52"/>
  </r>
  <r>
    <x v="85"/>
    <x v="0"/>
    <x v="20"/>
    <s v="Naperville"/>
    <s v="IL"/>
    <x v="85"/>
    <x v="52"/>
  </r>
  <r>
    <x v="85"/>
    <x v="0"/>
    <x v="29"/>
    <s v="Naperville"/>
    <s v="IL"/>
    <x v="85"/>
    <x v="52"/>
  </r>
  <r>
    <x v="85"/>
    <x v="0"/>
    <x v="19"/>
    <s v="Naperville"/>
    <s v="IL"/>
    <x v="85"/>
    <x v="52"/>
  </r>
  <r>
    <x v="86"/>
    <x v="1"/>
    <x v="42"/>
    <s v="Saint Louis"/>
    <s v="MO"/>
    <x v="86"/>
    <x v="53"/>
  </r>
  <r>
    <x v="86"/>
    <x v="1"/>
    <x v="7"/>
    <s v="Saint Louis"/>
    <s v="MO"/>
    <x v="86"/>
    <x v="53"/>
  </r>
  <r>
    <x v="86"/>
    <x v="1"/>
    <x v="8"/>
    <s v="Saint Louis"/>
    <s v="MO"/>
    <x v="86"/>
    <x v="53"/>
  </r>
  <r>
    <x v="86"/>
    <x v="1"/>
    <x v="11"/>
    <s v="Saint Louis"/>
    <s v="MO"/>
    <x v="86"/>
    <x v="53"/>
  </r>
  <r>
    <x v="86"/>
    <x v="1"/>
    <x v="25"/>
    <s v="Saint Louis"/>
    <s v="MO"/>
    <x v="86"/>
    <x v="53"/>
  </r>
  <r>
    <x v="86"/>
    <x v="1"/>
    <x v="12"/>
    <s v="Saint Louis"/>
    <s v="MO"/>
    <x v="86"/>
    <x v="53"/>
  </r>
  <r>
    <x v="86"/>
    <x v="1"/>
    <x v="13"/>
    <s v="Saint Louis"/>
    <s v="MO"/>
    <x v="86"/>
    <x v="53"/>
  </r>
  <r>
    <x v="86"/>
    <x v="1"/>
    <x v="53"/>
    <s v="Saint Louis"/>
    <s v="MO"/>
    <x v="86"/>
    <x v="53"/>
  </r>
  <r>
    <x v="86"/>
    <x v="1"/>
    <x v="16"/>
    <s v="Saint Louis"/>
    <s v="MO"/>
    <x v="86"/>
    <x v="53"/>
  </r>
  <r>
    <x v="86"/>
    <x v="1"/>
    <x v="29"/>
    <s v="Saint Louis"/>
    <s v="MO"/>
    <x v="86"/>
    <x v="53"/>
  </r>
  <r>
    <x v="86"/>
    <x v="1"/>
    <x v="17"/>
    <s v="Saint Louis"/>
    <s v="MO"/>
    <x v="86"/>
    <x v="53"/>
  </r>
  <r>
    <x v="86"/>
    <x v="1"/>
    <x v="18"/>
    <s v="Saint Louis"/>
    <s v="MO"/>
    <x v="86"/>
    <x v="53"/>
  </r>
  <r>
    <x v="86"/>
    <x v="1"/>
    <x v="19"/>
    <s v="Saint Louis"/>
    <s v="MO"/>
    <x v="86"/>
    <x v="53"/>
  </r>
  <r>
    <x v="86"/>
    <x v="1"/>
    <x v="3"/>
    <s v="Saint Louis"/>
    <s v="MO"/>
    <x v="86"/>
    <x v="53"/>
  </r>
  <r>
    <x v="86"/>
    <x v="1"/>
    <x v="47"/>
    <s v="Saint Louis"/>
    <s v="MO"/>
    <x v="86"/>
    <x v="53"/>
  </r>
  <r>
    <x v="86"/>
    <x v="1"/>
    <x v="4"/>
    <s v="Saint Louis"/>
    <s v="MO"/>
    <x v="86"/>
    <x v="53"/>
  </r>
  <r>
    <x v="86"/>
    <x v="1"/>
    <x v="5"/>
    <s v="Saint Louis"/>
    <s v="MO"/>
    <x v="86"/>
    <x v="53"/>
  </r>
  <r>
    <x v="87"/>
    <x v="0"/>
    <x v="39"/>
    <s v="Itasca"/>
    <s v="IL"/>
    <x v="87"/>
    <x v="33"/>
  </r>
  <r>
    <x v="87"/>
    <x v="0"/>
    <x v="40"/>
    <s v="Itasca"/>
    <s v="IL"/>
    <x v="87"/>
    <x v="33"/>
  </r>
  <r>
    <x v="87"/>
    <x v="0"/>
    <x v="7"/>
    <s v="Itasca"/>
    <s v="IL"/>
    <x v="87"/>
    <x v="33"/>
  </r>
  <r>
    <x v="87"/>
    <x v="0"/>
    <x v="8"/>
    <s v="Itasca"/>
    <s v="IL"/>
    <x v="87"/>
    <x v="33"/>
  </r>
  <r>
    <x v="87"/>
    <x v="0"/>
    <x v="9"/>
    <s v="Itasca"/>
    <s v="IL"/>
    <x v="87"/>
    <x v="33"/>
  </r>
  <r>
    <x v="87"/>
    <x v="0"/>
    <x v="10"/>
    <s v="Itasca"/>
    <s v="IL"/>
    <x v="87"/>
    <x v="33"/>
  </r>
  <r>
    <x v="87"/>
    <x v="0"/>
    <x v="11"/>
    <s v="Itasca"/>
    <s v="IL"/>
    <x v="87"/>
    <x v="33"/>
  </r>
  <r>
    <x v="87"/>
    <x v="0"/>
    <x v="24"/>
    <s v="Itasca"/>
    <s v="IL"/>
    <x v="87"/>
    <x v="33"/>
  </r>
  <r>
    <x v="87"/>
    <x v="0"/>
    <x v="25"/>
    <s v="Itasca"/>
    <s v="IL"/>
    <x v="87"/>
    <x v="33"/>
  </r>
  <r>
    <x v="87"/>
    <x v="0"/>
    <x v="12"/>
    <s v="Itasca"/>
    <s v="IL"/>
    <x v="87"/>
    <x v="33"/>
  </r>
  <r>
    <x v="87"/>
    <x v="0"/>
    <x v="21"/>
    <s v="Itasca"/>
    <s v="IL"/>
    <x v="87"/>
    <x v="33"/>
  </r>
  <r>
    <x v="87"/>
    <x v="0"/>
    <x v="27"/>
    <s v="Itasca"/>
    <s v="IL"/>
    <x v="87"/>
    <x v="33"/>
  </r>
  <r>
    <x v="87"/>
    <x v="0"/>
    <x v="13"/>
    <s v="Itasca"/>
    <s v="IL"/>
    <x v="87"/>
    <x v="33"/>
  </r>
  <r>
    <x v="87"/>
    <x v="0"/>
    <x v="14"/>
    <s v="Itasca"/>
    <s v="IL"/>
    <x v="87"/>
    <x v="33"/>
  </r>
  <r>
    <x v="87"/>
    <x v="0"/>
    <x v="36"/>
    <s v="Itasca"/>
    <s v="IL"/>
    <x v="87"/>
    <x v="33"/>
  </r>
  <r>
    <x v="87"/>
    <x v="0"/>
    <x v="35"/>
    <s v="Itasca"/>
    <s v="IL"/>
    <x v="87"/>
    <x v="33"/>
  </r>
  <r>
    <x v="87"/>
    <x v="0"/>
    <x v="17"/>
    <s v="Itasca"/>
    <s v="IL"/>
    <x v="87"/>
    <x v="33"/>
  </r>
  <r>
    <x v="87"/>
    <x v="0"/>
    <x v="18"/>
    <s v="Itasca"/>
    <s v="IL"/>
    <x v="87"/>
    <x v="33"/>
  </r>
  <r>
    <x v="87"/>
    <x v="0"/>
    <x v="19"/>
    <s v="Itasca"/>
    <s v="IL"/>
    <x v="87"/>
    <x v="33"/>
  </r>
  <r>
    <x v="87"/>
    <x v="0"/>
    <x v="1"/>
    <s v="Itasca"/>
    <s v="IL"/>
    <x v="87"/>
    <x v="33"/>
  </r>
  <r>
    <x v="87"/>
    <x v="0"/>
    <x v="31"/>
    <s v="Itasca"/>
    <s v="IL"/>
    <x v="87"/>
    <x v="33"/>
  </r>
  <r>
    <x v="87"/>
    <x v="0"/>
    <x v="2"/>
    <s v="Itasca"/>
    <s v="IL"/>
    <x v="87"/>
    <x v="33"/>
  </r>
  <r>
    <x v="87"/>
    <x v="0"/>
    <x v="4"/>
    <s v="Itasca"/>
    <s v="IL"/>
    <x v="87"/>
    <x v="33"/>
  </r>
  <r>
    <x v="87"/>
    <x v="0"/>
    <x v="5"/>
    <s v="Itasca"/>
    <s v="IL"/>
    <x v="87"/>
    <x v="33"/>
  </r>
  <r>
    <x v="88"/>
    <x v="1"/>
    <x v="13"/>
    <s v="Chicago"/>
    <s v="IL"/>
    <x v="88"/>
    <x v="0"/>
  </r>
  <r>
    <x v="89"/>
    <x v="1"/>
    <x v="29"/>
    <s v="Joliet"/>
    <s v="IL"/>
    <x v="89"/>
    <x v="54"/>
  </r>
  <r>
    <x v="90"/>
    <x v="0"/>
    <x v="39"/>
    <s v="Champaign"/>
    <s v="IL"/>
    <x v="90"/>
    <x v="16"/>
  </r>
  <r>
    <x v="90"/>
    <x v="0"/>
    <x v="7"/>
    <s v="Champaign"/>
    <s v="IL"/>
    <x v="90"/>
    <x v="16"/>
  </r>
  <r>
    <x v="90"/>
    <x v="0"/>
    <x v="8"/>
    <s v="Champaign"/>
    <s v="IL"/>
    <x v="90"/>
    <x v="16"/>
  </r>
  <r>
    <x v="90"/>
    <x v="0"/>
    <x v="9"/>
    <s v="Champaign"/>
    <s v="IL"/>
    <x v="90"/>
    <x v="16"/>
  </r>
  <r>
    <x v="90"/>
    <x v="0"/>
    <x v="10"/>
    <s v="Champaign"/>
    <s v="IL"/>
    <x v="90"/>
    <x v="16"/>
  </r>
  <r>
    <x v="90"/>
    <x v="0"/>
    <x v="11"/>
    <s v="Champaign"/>
    <s v="IL"/>
    <x v="90"/>
    <x v="16"/>
  </r>
  <r>
    <x v="90"/>
    <x v="0"/>
    <x v="24"/>
    <s v="Champaign"/>
    <s v="IL"/>
    <x v="90"/>
    <x v="16"/>
  </r>
  <r>
    <x v="90"/>
    <x v="0"/>
    <x v="25"/>
    <s v="Champaign"/>
    <s v="IL"/>
    <x v="90"/>
    <x v="16"/>
  </r>
  <r>
    <x v="90"/>
    <x v="0"/>
    <x v="12"/>
    <s v="Champaign"/>
    <s v="IL"/>
    <x v="90"/>
    <x v="16"/>
  </r>
  <r>
    <x v="90"/>
    <x v="0"/>
    <x v="27"/>
    <s v="Champaign"/>
    <s v="IL"/>
    <x v="90"/>
    <x v="16"/>
  </r>
  <r>
    <x v="90"/>
    <x v="0"/>
    <x v="13"/>
    <s v="Champaign"/>
    <s v="IL"/>
    <x v="90"/>
    <x v="16"/>
  </r>
  <r>
    <x v="90"/>
    <x v="0"/>
    <x v="22"/>
    <s v="Champaign"/>
    <s v="IL"/>
    <x v="90"/>
    <x v="16"/>
  </r>
  <r>
    <x v="90"/>
    <x v="0"/>
    <x v="23"/>
    <s v="Champaign"/>
    <s v="IL"/>
    <x v="90"/>
    <x v="16"/>
  </r>
  <r>
    <x v="90"/>
    <x v="0"/>
    <x v="16"/>
    <s v="Champaign"/>
    <s v="IL"/>
    <x v="90"/>
    <x v="16"/>
  </r>
  <r>
    <x v="90"/>
    <x v="0"/>
    <x v="29"/>
    <s v="Champaign"/>
    <s v="IL"/>
    <x v="90"/>
    <x v="16"/>
  </r>
  <r>
    <x v="90"/>
    <x v="0"/>
    <x v="35"/>
    <s v="Champaign"/>
    <s v="IL"/>
    <x v="90"/>
    <x v="16"/>
  </r>
  <r>
    <x v="90"/>
    <x v="0"/>
    <x v="17"/>
    <s v="Champaign"/>
    <s v="IL"/>
    <x v="90"/>
    <x v="16"/>
  </r>
  <r>
    <x v="90"/>
    <x v="0"/>
    <x v="18"/>
    <s v="Champaign"/>
    <s v="IL"/>
    <x v="90"/>
    <x v="16"/>
  </r>
  <r>
    <x v="90"/>
    <x v="0"/>
    <x v="19"/>
    <s v="Champaign"/>
    <s v="IL"/>
    <x v="90"/>
    <x v="16"/>
  </r>
  <r>
    <x v="90"/>
    <x v="0"/>
    <x v="4"/>
    <s v="Champaign"/>
    <s v="IL"/>
    <x v="90"/>
    <x v="16"/>
  </r>
  <r>
    <x v="90"/>
    <x v="0"/>
    <x v="5"/>
    <s v="Champaign"/>
    <s v="IL"/>
    <x v="90"/>
    <x v="16"/>
  </r>
  <r>
    <x v="91"/>
    <x v="0"/>
    <x v="28"/>
    <s v="Holmdel"/>
    <s v="NJ"/>
    <x v="91"/>
    <x v="55"/>
  </r>
  <r>
    <x v="91"/>
    <x v="0"/>
    <x v="29"/>
    <s v="Holmdel"/>
    <s v="NJ"/>
    <x v="91"/>
    <x v="55"/>
  </r>
  <r>
    <x v="92"/>
    <x v="0"/>
    <x v="7"/>
    <s v="Chicago"/>
    <s v="IL"/>
    <x v="92"/>
    <x v="0"/>
  </r>
  <r>
    <x v="92"/>
    <x v="0"/>
    <x v="8"/>
    <s v="Chicago"/>
    <s v="IL"/>
    <x v="92"/>
    <x v="0"/>
  </r>
  <r>
    <x v="92"/>
    <x v="0"/>
    <x v="10"/>
    <s v="Chicago"/>
    <s v="IL"/>
    <x v="92"/>
    <x v="0"/>
  </r>
  <r>
    <x v="92"/>
    <x v="0"/>
    <x v="11"/>
    <s v="Chicago"/>
    <s v="IL"/>
    <x v="92"/>
    <x v="0"/>
  </r>
  <r>
    <x v="92"/>
    <x v="0"/>
    <x v="24"/>
    <s v="Chicago"/>
    <s v="IL"/>
    <x v="92"/>
    <x v="0"/>
  </r>
  <r>
    <x v="92"/>
    <x v="0"/>
    <x v="25"/>
    <s v="Chicago"/>
    <s v="IL"/>
    <x v="92"/>
    <x v="0"/>
  </r>
  <r>
    <x v="92"/>
    <x v="0"/>
    <x v="12"/>
    <s v="Chicago"/>
    <s v="IL"/>
    <x v="92"/>
    <x v="0"/>
  </r>
  <r>
    <x v="92"/>
    <x v="0"/>
    <x v="13"/>
    <s v="Chicago"/>
    <s v="IL"/>
    <x v="92"/>
    <x v="0"/>
  </r>
  <r>
    <x v="92"/>
    <x v="0"/>
    <x v="35"/>
    <s v="Chicago"/>
    <s v="IL"/>
    <x v="92"/>
    <x v="0"/>
  </r>
  <r>
    <x v="92"/>
    <x v="0"/>
    <x v="18"/>
    <s v="Chicago"/>
    <s v="IL"/>
    <x v="92"/>
    <x v="0"/>
  </r>
  <r>
    <x v="92"/>
    <x v="0"/>
    <x v="19"/>
    <s v="Chicago"/>
    <s v="IL"/>
    <x v="92"/>
    <x v="0"/>
  </r>
  <r>
    <x v="92"/>
    <x v="0"/>
    <x v="3"/>
    <s v="Chicago"/>
    <s v="IL"/>
    <x v="92"/>
    <x v="0"/>
  </r>
  <r>
    <x v="92"/>
    <x v="0"/>
    <x v="47"/>
    <s v="Chicago"/>
    <s v="IL"/>
    <x v="92"/>
    <x v="0"/>
  </r>
  <r>
    <x v="92"/>
    <x v="0"/>
    <x v="4"/>
    <s v="Chicago"/>
    <s v="IL"/>
    <x v="92"/>
    <x v="0"/>
  </r>
  <r>
    <x v="92"/>
    <x v="0"/>
    <x v="5"/>
    <s v="Chicago"/>
    <s v="IL"/>
    <x v="92"/>
    <x v="0"/>
  </r>
  <r>
    <x v="92"/>
    <x v="0"/>
    <x v="48"/>
    <s v="Chicago"/>
    <s v="IL"/>
    <x v="92"/>
    <x v="0"/>
  </r>
  <r>
    <x v="92"/>
    <x v="0"/>
    <x v="6"/>
    <s v="Chicago"/>
    <s v="IL"/>
    <x v="92"/>
    <x v="0"/>
  </r>
  <r>
    <x v="93"/>
    <x v="0"/>
    <x v="30"/>
    <s v="Jackson"/>
    <s v="MI"/>
    <x v="93"/>
    <x v="56"/>
  </r>
  <r>
    <x v="93"/>
    <x v="0"/>
    <x v="31"/>
    <s v="Jackson"/>
    <s v="MI"/>
    <x v="93"/>
    <x v="56"/>
  </r>
  <r>
    <x v="94"/>
    <x v="0"/>
    <x v="29"/>
    <s v="Aurora"/>
    <s v="IL"/>
    <x v="94"/>
    <x v="8"/>
  </r>
  <r>
    <x v="95"/>
    <x v="1"/>
    <x v="13"/>
    <s v="Chicago"/>
    <s v="IL"/>
    <x v="95"/>
    <x v="0"/>
  </r>
  <r>
    <x v="95"/>
    <x v="1"/>
    <x v="15"/>
    <s v="Chicago"/>
    <s v="IL"/>
    <x v="95"/>
    <x v="0"/>
  </r>
  <r>
    <x v="95"/>
    <x v="1"/>
    <x v="18"/>
    <s v="Chicago"/>
    <s v="IL"/>
    <x v="95"/>
    <x v="0"/>
  </r>
  <r>
    <x v="96"/>
    <x v="1"/>
    <x v="13"/>
    <s v="Chicago"/>
    <s v="IL"/>
    <x v="96"/>
    <x v="0"/>
  </r>
  <r>
    <x v="96"/>
    <x v="1"/>
    <x v="15"/>
    <s v="Chicago"/>
    <s v="IL"/>
    <x v="96"/>
    <x v="0"/>
  </r>
  <r>
    <x v="97"/>
    <x v="0"/>
    <x v="33"/>
    <s v="Springfield"/>
    <s v="IL"/>
    <x v="97"/>
    <x v="12"/>
  </r>
  <r>
    <x v="97"/>
    <x v="0"/>
    <x v="61"/>
    <s v="Springfield"/>
    <s v="IL"/>
    <x v="97"/>
    <x v="12"/>
  </r>
  <r>
    <x v="97"/>
    <x v="0"/>
    <x v="34"/>
    <s v="Springfield"/>
    <s v="IL"/>
    <x v="97"/>
    <x v="12"/>
  </r>
  <r>
    <x v="97"/>
    <x v="0"/>
    <x v="37"/>
    <s v="Springfield"/>
    <s v="IL"/>
    <x v="97"/>
    <x v="12"/>
  </r>
  <r>
    <x v="97"/>
    <x v="0"/>
    <x v="38"/>
    <s v="Springfield"/>
    <s v="IL"/>
    <x v="97"/>
    <x v="12"/>
  </r>
  <r>
    <x v="97"/>
    <x v="0"/>
    <x v="39"/>
    <s v="Springfield"/>
    <s v="IL"/>
    <x v="97"/>
    <x v="12"/>
  </r>
  <r>
    <x v="97"/>
    <x v="0"/>
    <x v="40"/>
    <s v="Springfield"/>
    <s v="IL"/>
    <x v="97"/>
    <x v="12"/>
  </r>
  <r>
    <x v="97"/>
    <x v="0"/>
    <x v="7"/>
    <s v="Springfield"/>
    <s v="IL"/>
    <x v="97"/>
    <x v="12"/>
  </r>
  <r>
    <x v="97"/>
    <x v="0"/>
    <x v="8"/>
    <s v="Springfield"/>
    <s v="IL"/>
    <x v="97"/>
    <x v="12"/>
  </r>
  <r>
    <x v="97"/>
    <x v="0"/>
    <x v="9"/>
    <s v="Springfield"/>
    <s v="IL"/>
    <x v="97"/>
    <x v="12"/>
  </r>
  <r>
    <x v="97"/>
    <x v="0"/>
    <x v="10"/>
    <s v="Springfield"/>
    <s v="IL"/>
    <x v="97"/>
    <x v="12"/>
  </r>
  <r>
    <x v="97"/>
    <x v="0"/>
    <x v="11"/>
    <s v="Springfield"/>
    <s v="IL"/>
    <x v="97"/>
    <x v="12"/>
  </r>
  <r>
    <x v="97"/>
    <x v="0"/>
    <x v="24"/>
    <s v="Springfield"/>
    <s v="IL"/>
    <x v="97"/>
    <x v="12"/>
  </r>
  <r>
    <x v="97"/>
    <x v="0"/>
    <x v="25"/>
    <s v="Springfield"/>
    <s v="IL"/>
    <x v="97"/>
    <x v="12"/>
  </r>
  <r>
    <x v="97"/>
    <x v="0"/>
    <x v="12"/>
    <s v="Springfield"/>
    <s v="IL"/>
    <x v="97"/>
    <x v="12"/>
  </r>
  <r>
    <x v="97"/>
    <x v="0"/>
    <x v="26"/>
    <s v="Springfield"/>
    <s v="IL"/>
    <x v="97"/>
    <x v="12"/>
  </r>
  <r>
    <x v="97"/>
    <x v="0"/>
    <x v="21"/>
    <s v="Springfield"/>
    <s v="IL"/>
    <x v="97"/>
    <x v="12"/>
  </r>
  <r>
    <x v="97"/>
    <x v="0"/>
    <x v="44"/>
    <s v="Springfield"/>
    <s v="IL"/>
    <x v="97"/>
    <x v="12"/>
  </r>
  <r>
    <x v="97"/>
    <x v="0"/>
    <x v="27"/>
    <s v="Springfield"/>
    <s v="IL"/>
    <x v="97"/>
    <x v="12"/>
  </r>
  <r>
    <x v="97"/>
    <x v="0"/>
    <x v="52"/>
    <s v="Springfield"/>
    <s v="IL"/>
    <x v="97"/>
    <x v="12"/>
  </r>
  <r>
    <x v="97"/>
    <x v="0"/>
    <x v="13"/>
    <s v="Springfield"/>
    <s v="IL"/>
    <x v="97"/>
    <x v="12"/>
  </r>
  <r>
    <x v="97"/>
    <x v="0"/>
    <x v="22"/>
    <s v="Springfield"/>
    <s v="IL"/>
    <x v="97"/>
    <x v="12"/>
  </r>
  <r>
    <x v="97"/>
    <x v="0"/>
    <x v="14"/>
    <s v="Springfield"/>
    <s v="IL"/>
    <x v="97"/>
    <x v="12"/>
  </r>
  <r>
    <x v="97"/>
    <x v="0"/>
    <x v="23"/>
    <s v="Springfield"/>
    <s v="IL"/>
    <x v="97"/>
    <x v="12"/>
  </r>
  <r>
    <x v="97"/>
    <x v="0"/>
    <x v="36"/>
    <s v="Springfield"/>
    <s v="IL"/>
    <x v="97"/>
    <x v="12"/>
  </r>
  <r>
    <x v="97"/>
    <x v="0"/>
    <x v="16"/>
    <s v="Springfield"/>
    <s v="IL"/>
    <x v="97"/>
    <x v="12"/>
  </r>
  <r>
    <x v="97"/>
    <x v="0"/>
    <x v="29"/>
    <s v="Springfield"/>
    <s v="IL"/>
    <x v="97"/>
    <x v="12"/>
  </r>
  <r>
    <x v="97"/>
    <x v="0"/>
    <x v="35"/>
    <s v="Springfield"/>
    <s v="IL"/>
    <x v="97"/>
    <x v="12"/>
  </r>
  <r>
    <x v="97"/>
    <x v="0"/>
    <x v="17"/>
    <s v="Springfield"/>
    <s v="IL"/>
    <x v="97"/>
    <x v="12"/>
  </r>
  <r>
    <x v="97"/>
    <x v="0"/>
    <x v="18"/>
    <s v="Springfield"/>
    <s v="IL"/>
    <x v="97"/>
    <x v="12"/>
  </r>
  <r>
    <x v="97"/>
    <x v="0"/>
    <x v="19"/>
    <s v="Springfield"/>
    <s v="IL"/>
    <x v="97"/>
    <x v="12"/>
  </r>
  <r>
    <x v="97"/>
    <x v="0"/>
    <x v="1"/>
    <s v="Springfield"/>
    <s v="IL"/>
    <x v="97"/>
    <x v="12"/>
  </r>
  <r>
    <x v="97"/>
    <x v="0"/>
    <x v="30"/>
    <s v="Springfield"/>
    <s v="IL"/>
    <x v="97"/>
    <x v="12"/>
  </r>
  <r>
    <x v="97"/>
    <x v="0"/>
    <x v="31"/>
    <s v="Springfield"/>
    <s v="IL"/>
    <x v="97"/>
    <x v="12"/>
  </r>
  <r>
    <x v="97"/>
    <x v="0"/>
    <x v="2"/>
    <s v="Springfield"/>
    <s v="IL"/>
    <x v="97"/>
    <x v="12"/>
  </r>
  <r>
    <x v="97"/>
    <x v="0"/>
    <x v="3"/>
    <s v="Springfield"/>
    <s v="IL"/>
    <x v="97"/>
    <x v="12"/>
  </r>
  <r>
    <x v="97"/>
    <x v="0"/>
    <x v="47"/>
    <s v="Springfield"/>
    <s v="IL"/>
    <x v="97"/>
    <x v="12"/>
  </r>
  <r>
    <x v="97"/>
    <x v="0"/>
    <x v="4"/>
    <s v="Springfield"/>
    <s v="IL"/>
    <x v="97"/>
    <x v="12"/>
  </r>
  <r>
    <x v="97"/>
    <x v="0"/>
    <x v="5"/>
    <s v="Springfield"/>
    <s v="IL"/>
    <x v="97"/>
    <x v="12"/>
  </r>
  <r>
    <x v="97"/>
    <x v="0"/>
    <x v="6"/>
    <s v="Springfield"/>
    <s v="IL"/>
    <x v="97"/>
    <x v="12"/>
  </r>
  <r>
    <x v="97"/>
    <x v="0"/>
    <x v="49"/>
    <s v="Springfield"/>
    <s v="IL"/>
    <x v="97"/>
    <x v="12"/>
  </r>
  <r>
    <x v="97"/>
    <x v="0"/>
    <x v="32"/>
    <s v="Springfield"/>
    <s v="IL"/>
    <x v="97"/>
    <x v="12"/>
  </r>
  <r>
    <x v="97"/>
    <x v="0"/>
    <x v="51"/>
    <s v="Springfield"/>
    <s v="IL"/>
    <x v="97"/>
    <x v="12"/>
  </r>
  <r>
    <x v="98"/>
    <x v="1"/>
    <x v="42"/>
    <s v="Springfield"/>
    <s v="IL"/>
    <x v="98"/>
    <x v="12"/>
  </r>
  <r>
    <x v="98"/>
    <x v="1"/>
    <x v="7"/>
    <s v="Springfield"/>
    <s v="IL"/>
    <x v="98"/>
    <x v="12"/>
  </r>
  <r>
    <x v="98"/>
    <x v="1"/>
    <x v="8"/>
    <s v="Springfield"/>
    <s v="IL"/>
    <x v="98"/>
    <x v="12"/>
  </r>
  <r>
    <x v="98"/>
    <x v="1"/>
    <x v="25"/>
    <s v="Springfield"/>
    <s v="IL"/>
    <x v="98"/>
    <x v="12"/>
  </r>
  <r>
    <x v="98"/>
    <x v="1"/>
    <x v="12"/>
    <s v="Springfield"/>
    <s v="IL"/>
    <x v="98"/>
    <x v="12"/>
  </r>
  <r>
    <x v="98"/>
    <x v="1"/>
    <x v="13"/>
    <s v="Springfield"/>
    <s v="IL"/>
    <x v="98"/>
    <x v="12"/>
  </r>
  <r>
    <x v="98"/>
    <x v="1"/>
    <x v="29"/>
    <s v="Springfield"/>
    <s v="IL"/>
    <x v="98"/>
    <x v="12"/>
  </r>
  <r>
    <x v="98"/>
    <x v="1"/>
    <x v="17"/>
    <s v="Springfield"/>
    <s v="IL"/>
    <x v="98"/>
    <x v="12"/>
  </r>
  <r>
    <x v="98"/>
    <x v="1"/>
    <x v="18"/>
    <s v="Springfield"/>
    <s v="IL"/>
    <x v="98"/>
    <x v="12"/>
  </r>
  <r>
    <x v="98"/>
    <x v="1"/>
    <x v="4"/>
    <s v="Springfield"/>
    <s v="IL"/>
    <x v="98"/>
    <x v="12"/>
  </r>
  <r>
    <x v="98"/>
    <x v="1"/>
    <x v="5"/>
    <s v="Springfield"/>
    <s v="IL"/>
    <x v="98"/>
    <x v="12"/>
  </r>
  <r>
    <x v="99"/>
    <x v="1"/>
    <x v="23"/>
    <s v="Independence"/>
    <s v="MO"/>
    <x v="99"/>
    <x v="57"/>
  </r>
  <r>
    <x v="100"/>
    <x v="1"/>
    <x v="7"/>
    <s v="Burr Ridge"/>
    <s v="IL"/>
    <x v="100"/>
    <x v="3"/>
  </r>
  <r>
    <x v="100"/>
    <x v="1"/>
    <x v="8"/>
    <s v="Burr Ridge"/>
    <s v="IL"/>
    <x v="100"/>
    <x v="3"/>
  </r>
  <r>
    <x v="100"/>
    <x v="1"/>
    <x v="25"/>
    <s v="Burr Ridge"/>
    <s v="IL"/>
    <x v="100"/>
    <x v="3"/>
  </r>
  <r>
    <x v="100"/>
    <x v="1"/>
    <x v="12"/>
    <s v="Burr Ridge"/>
    <s v="IL"/>
    <x v="100"/>
    <x v="3"/>
  </r>
  <r>
    <x v="100"/>
    <x v="1"/>
    <x v="3"/>
    <s v="Burr Ridge"/>
    <s v="IL"/>
    <x v="100"/>
    <x v="3"/>
  </r>
  <r>
    <x v="100"/>
    <x v="1"/>
    <x v="4"/>
    <s v="Burr Ridge"/>
    <s v="IL"/>
    <x v="100"/>
    <x v="3"/>
  </r>
  <r>
    <x v="100"/>
    <x v="1"/>
    <x v="5"/>
    <s v="Burr Ridge"/>
    <s v="IL"/>
    <x v="100"/>
    <x v="3"/>
  </r>
  <r>
    <x v="100"/>
    <x v="1"/>
    <x v="6"/>
    <s v="Burr Ridge"/>
    <s v="IL"/>
    <x v="100"/>
    <x v="3"/>
  </r>
  <r>
    <x v="100"/>
    <x v="1"/>
    <x v="32"/>
    <s v="Burr Ridge"/>
    <s v="IL"/>
    <x v="100"/>
    <x v="3"/>
  </r>
  <r>
    <x v="101"/>
    <x v="1"/>
    <x v="7"/>
    <s v="Chicago"/>
    <s v="IL"/>
    <x v="101"/>
    <x v="0"/>
  </r>
  <r>
    <x v="101"/>
    <x v="1"/>
    <x v="8"/>
    <s v="Chicago"/>
    <s v="IL"/>
    <x v="101"/>
    <x v="0"/>
  </r>
  <r>
    <x v="101"/>
    <x v="1"/>
    <x v="25"/>
    <s v="Chicago"/>
    <s v="IL"/>
    <x v="101"/>
    <x v="0"/>
  </r>
  <r>
    <x v="101"/>
    <x v="1"/>
    <x v="12"/>
    <s v="Chicago"/>
    <s v="IL"/>
    <x v="101"/>
    <x v="0"/>
  </r>
  <r>
    <x v="101"/>
    <x v="1"/>
    <x v="13"/>
    <s v="Chicago"/>
    <s v="IL"/>
    <x v="101"/>
    <x v="0"/>
  </r>
  <r>
    <x v="101"/>
    <x v="1"/>
    <x v="15"/>
    <s v="Chicago"/>
    <s v="IL"/>
    <x v="101"/>
    <x v="0"/>
  </r>
  <r>
    <x v="101"/>
    <x v="1"/>
    <x v="19"/>
    <s v="Chicago"/>
    <s v="IL"/>
    <x v="101"/>
    <x v="0"/>
  </r>
  <r>
    <x v="102"/>
    <x v="1"/>
    <x v="0"/>
    <s v="Hickory Hills"/>
    <s v="IL"/>
    <x v="102"/>
    <x v="58"/>
  </r>
  <r>
    <x v="103"/>
    <x v="1"/>
    <x v="8"/>
    <s v="Chicago"/>
    <s v="IL"/>
    <x v="103"/>
    <x v="0"/>
  </r>
  <r>
    <x v="103"/>
    <x v="1"/>
    <x v="12"/>
    <s v="Chicago"/>
    <s v="IL"/>
    <x v="103"/>
    <x v="0"/>
  </r>
  <r>
    <x v="103"/>
    <x v="1"/>
    <x v="27"/>
    <s v="Chicago"/>
    <s v="IL"/>
    <x v="103"/>
    <x v="0"/>
  </r>
  <r>
    <x v="103"/>
    <x v="1"/>
    <x v="13"/>
    <s v="Chicago"/>
    <s v="IL"/>
    <x v="103"/>
    <x v="0"/>
  </r>
  <r>
    <x v="103"/>
    <x v="1"/>
    <x v="36"/>
    <s v="Chicago"/>
    <s v="IL"/>
    <x v="103"/>
    <x v="0"/>
  </r>
  <r>
    <x v="103"/>
    <x v="1"/>
    <x v="35"/>
    <s v="Chicago"/>
    <s v="IL"/>
    <x v="103"/>
    <x v="0"/>
  </r>
  <r>
    <x v="103"/>
    <x v="1"/>
    <x v="17"/>
    <s v="Chicago"/>
    <s v="IL"/>
    <x v="103"/>
    <x v="0"/>
  </r>
  <r>
    <x v="103"/>
    <x v="1"/>
    <x v="18"/>
    <s v="Chicago"/>
    <s v="IL"/>
    <x v="103"/>
    <x v="0"/>
  </r>
  <r>
    <x v="104"/>
    <x v="0"/>
    <x v="59"/>
    <s v="Knoxville"/>
    <s v="TN"/>
    <x v="104"/>
    <x v="59"/>
  </r>
  <r>
    <x v="104"/>
    <x v="0"/>
    <x v="41"/>
    <s v="Knoxville"/>
    <s v="TN"/>
    <x v="104"/>
    <x v="59"/>
  </r>
  <r>
    <x v="104"/>
    <x v="0"/>
    <x v="42"/>
    <s v="Knoxville"/>
    <s v="TN"/>
    <x v="104"/>
    <x v="59"/>
  </r>
  <r>
    <x v="105"/>
    <x v="1"/>
    <x v="13"/>
    <s v="Chicago"/>
    <s v="IL"/>
    <x v="105"/>
    <x v="0"/>
  </r>
  <r>
    <x v="105"/>
    <x v="1"/>
    <x v="15"/>
    <s v="Chicago"/>
    <s v="IL"/>
    <x v="105"/>
    <x v="0"/>
  </r>
  <r>
    <x v="106"/>
    <x v="0"/>
    <x v="45"/>
    <s v="Champaign"/>
    <s v="IL"/>
    <x v="106"/>
    <x v="16"/>
  </r>
  <r>
    <x v="107"/>
    <x v="0"/>
    <x v="51"/>
    <s v="Chicago"/>
    <s v="IL"/>
    <x v="107"/>
    <x v="0"/>
  </r>
  <r>
    <x v="108"/>
    <x v="1"/>
    <x v="1"/>
    <s v="Peoria"/>
    <s v="IL"/>
    <x v="108"/>
    <x v="60"/>
  </r>
  <r>
    <x v="108"/>
    <x v="1"/>
    <x v="2"/>
    <s v="Peoria"/>
    <s v="IL"/>
    <x v="108"/>
    <x v="60"/>
  </r>
  <r>
    <x v="109"/>
    <x v="1"/>
    <x v="7"/>
    <s v="Chicago"/>
    <s v="IL"/>
    <x v="109"/>
    <x v="0"/>
  </r>
  <r>
    <x v="109"/>
    <x v="1"/>
    <x v="8"/>
    <s v="Chicago"/>
    <s v="IL"/>
    <x v="109"/>
    <x v="0"/>
  </r>
  <r>
    <x v="109"/>
    <x v="1"/>
    <x v="26"/>
    <s v="Chicago"/>
    <s v="IL"/>
    <x v="109"/>
    <x v="0"/>
  </r>
  <r>
    <x v="109"/>
    <x v="1"/>
    <x v="21"/>
    <s v="Chicago"/>
    <s v="IL"/>
    <x v="109"/>
    <x v="0"/>
  </r>
  <r>
    <x v="109"/>
    <x v="1"/>
    <x v="44"/>
    <s v="Chicago"/>
    <s v="IL"/>
    <x v="109"/>
    <x v="0"/>
  </r>
  <r>
    <x v="109"/>
    <x v="1"/>
    <x v="27"/>
    <s v="Chicago"/>
    <s v="IL"/>
    <x v="109"/>
    <x v="0"/>
  </r>
  <r>
    <x v="109"/>
    <x v="1"/>
    <x v="22"/>
    <s v="Chicago"/>
    <s v="IL"/>
    <x v="109"/>
    <x v="0"/>
  </r>
  <r>
    <x v="109"/>
    <x v="1"/>
    <x v="23"/>
    <s v="Chicago"/>
    <s v="IL"/>
    <x v="109"/>
    <x v="0"/>
  </r>
  <r>
    <x v="109"/>
    <x v="1"/>
    <x v="4"/>
    <s v="Chicago"/>
    <s v="IL"/>
    <x v="109"/>
    <x v="0"/>
  </r>
  <r>
    <x v="109"/>
    <x v="1"/>
    <x v="5"/>
    <s v="Chicago"/>
    <s v="IL"/>
    <x v="109"/>
    <x v="0"/>
  </r>
  <r>
    <x v="110"/>
    <x v="0"/>
    <x v="59"/>
    <s v="Pittsburgh"/>
    <s v="PA"/>
    <x v="110"/>
    <x v="61"/>
  </r>
  <r>
    <x v="110"/>
    <x v="0"/>
    <x v="41"/>
    <s v="Pittsburgh"/>
    <s v="PA"/>
    <x v="110"/>
    <x v="61"/>
  </r>
  <r>
    <x v="110"/>
    <x v="0"/>
    <x v="42"/>
    <s v="Pittsburgh"/>
    <s v="PA"/>
    <x v="110"/>
    <x v="61"/>
  </r>
  <r>
    <x v="111"/>
    <x v="1"/>
    <x v="13"/>
    <s v="Chicago"/>
    <s v="IL"/>
    <x v="111"/>
    <x v="0"/>
  </r>
  <r>
    <x v="112"/>
    <x v="0"/>
    <x v="32"/>
    <s v="St. Louis"/>
    <s v="MO"/>
    <x v="112"/>
    <x v="41"/>
  </r>
  <r>
    <x v="113"/>
    <x v="0"/>
    <x v="8"/>
    <s v="Peoria"/>
    <s v="IL"/>
    <x v="113"/>
    <x v="60"/>
  </r>
  <r>
    <x v="113"/>
    <x v="0"/>
    <x v="16"/>
    <s v="Peoria"/>
    <s v="IL"/>
    <x v="113"/>
    <x v="60"/>
  </r>
  <r>
    <x v="113"/>
    <x v="0"/>
    <x v="19"/>
    <s v="Peoria"/>
    <s v="IL"/>
    <x v="113"/>
    <x v="60"/>
  </r>
  <r>
    <x v="114"/>
    <x v="1"/>
    <x v="0"/>
    <s v="HIGHLAND"/>
    <s v="IL"/>
    <x v="114"/>
    <x v="62"/>
  </r>
  <r>
    <x v="115"/>
    <x v="0"/>
    <x v="7"/>
    <s v="Chicago"/>
    <s v="IL"/>
    <x v="115"/>
    <x v="0"/>
  </r>
  <r>
    <x v="115"/>
    <x v="0"/>
    <x v="8"/>
    <s v="Chicago"/>
    <s v="IL"/>
    <x v="115"/>
    <x v="0"/>
  </r>
  <r>
    <x v="115"/>
    <x v="0"/>
    <x v="10"/>
    <s v="Chicago"/>
    <s v="IL"/>
    <x v="115"/>
    <x v="0"/>
  </r>
  <r>
    <x v="115"/>
    <x v="0"/>
    <x v="11"/>
    <s v="Chicago"/>
    <s v="IL"/>
    <x v="115"/>
    <x v="0"/>
  </r>
  <r>
    <x v="115"/>
    <x v="0"/>
    <x v="24"/>
    <s v="Chicago"/>
    <s v="IL"/>
    <x v="115"/>
    <x v="0"/>
  </r>
  <r>
    <x v="115"/>
    <x v="0"/>
    <x v="25"/>
    <s v="Chicago"/>
    <s v="IL"/>
    <x v="115"/>
    <x v="0"/>
  </r>
  <r>
    <x v="115"/>
    <x v="0"/>
    <x v="12"/>
    <s v="Chicago"/>
    <s v="IL"/>
    <x v="115"/>
    <x v="0"/>
  </r>
  <r>
    <x v="115"/>
    <x v="0"/>
    <x v="44"/>
    <s v="Chicago"/>
    <s v="IL"/>
    <x v="115"/>
    <x v="0"/>
  </r>
  <r>
    <x v="115"/>
    <x v="0"/>
    <x v="27"/>
    <s v="Chicago"/>
    <s v="IL"/>
    <x v="115"/>
    <x v="0"/>
  </r>
  <r>
    <x v="115"/>
    <x v="0"/>
    <x v="52"/>
    <s v="Chicago"/>
    <s v="IL"/>
    <x v="115"/>
    <x v="0"/>
  </r>
  <r>
    <x v="115"/>
    <x v="0"/>
    <x v="13"/>
    <s v="Chicago"/>
    <s v="IL"/>
    <x v="115"/>
    <x v="0"/>
  </r>
  <r>
    <x v="115"/>
    <x v="0"/>
    <x v="22"/>
    <s v="Chicago"/>
    <s v="IL"/>
    <x v="115"/>
    <x v="0"/>
  </r>
  <r>
    <x v="115"/>
    <x v="0"/>
    <x v="14"/>
    <s v="Chicago"/>
    <s v="IL"/>
    <x v="115"/>
    <x v="0"/>
  </r>
  <r>
    <x v="115"/>
    <x v="0"/>
    <x v="23"/>
    <s v="Chicago"/>
    <s v="IL"/>
    <x v="115"/>
    <x v="0"/>
  </r>
  <r>
    <x v="115"/>
    <x v="0"/>
    <x v="16"/>
    <s v="Chicago"/>
    <s v="IL"/>
    <x v="115"/>
    <x v="0"/>
  </r>
  <r>
    <x v="115"/>
    <x v="0"/>
    <x v="35"/>
    <s v="Chicago"/>
    <s v="IL"/>
    <x v="115"/>
    <x v="0"/>
  </r>
  <r>
    <x v="115"/>
    <x v="0"/>
    <x v="17"/>
    <s v="Chicago"/>
    <s v="IL"/>
    <x v="115"/>
    <x v="0"/>
  </r>
  <r>
    <x v="115"/>
    <x v="0"/>
    <x v="18"/>
    <s v="Chicago"/>
    <s v="IL"/>
    <x v="115"/>
    <x v="0"/>
  </r>
  <r>
    <x v="115"/>
    <x v="0"/>
    <x v="19"/>
    <s v="Chicago"/>
    <s v="IL"/>
    <x v="115"/>
    <x v="0"/>
  </r>
  <r>
    <x v="115"/>
    <x v="0"/>
    <x v="3"/>
    <s v="Chicago"/>
    <s v="IL"/>
    <x v="115"/>
    <x v="0"/>
  </r>
  <r>
    <x v="115"/>
    <x v="0"/>
    <x v="4"/>
    <s v="Chicago"/>
    <s v="IL"/>
    <x v="115"/>
    <x v="0"/>
  </r>
  <r>
    <x v="115"/>
    <x v="0"/>
    <x v="5"/>
    <s v="Chicago"/>
    <s v="IL"/>
    <x v="115"/>
    <x v="0"/>
  </r>
  <r>
    <x v="115"/>
    <x v="0"/>
    <x v="6"/>
    <s v="Chicago"/>
    <s v="IL"/>
    <x v="115"/>
    <x v="0"/>
  </r>
  <r>
    <x v="116"/>
    <x v="0"/>
    <x v="29"/>
    <s v="Joliet"/>
    <s v="IL"/>
    <x v="116"/>
    <x v="54"/>
  </r>
  <r>
    <x v="117"/>
    <x v="1"/>
    <x v="8"/>
    <s v="Palatine"/>
    <s v="IL"/>
    <x v="117"/>
    <x v="63"/>
  </r>
  <r>
    <x v="117"/>
    <x v="1"/>
    <x v="13"/>
    <s v="Palatine"/>
    <s v="IL"/>
    <x v="117"/>
    <x v="63"/>
  </r>
  <r>
    <x v="117"/>
    <x v="1"/>
    <x v="16"/>
    <s v="Palatine"/>
    <s v="IL"/>
    <x v="117"/>
    <x v="63"/>
  </r>
  <r>
    <x v="117"/>
    <x v="1"/>
    <x v="29"/>
    <s v="Palatine"/>
    <s v="IL"/>
    <x v="117"/>
    <x v="63"/>
  </r>
  <r>
    <x v="118"/>
    <x v="0"/>
    <x v="8"/>
    <s v="Chicago"/>
    <s v="IL"/>
    <x v="118"/>
    <x v="0"/>
  </r>
  <r>
    <x v="118"/>
    <x v="0"/>
    <x v="9"/>
    <s v="Chicago"/>
    <s v="IL"/>
    <x v="118"/>
    <x v="0"/>
  </r>
  <r>
    <x v="118"/>
    <x v="0"/>
    <x v="10"/>
    <s v="Chicago"/>
    <s v="IL"/>
    <x v="118"/>
    <x v="0"/>
  </r>
  <r>
    <x v="118"/>
    <x v="0"/>
    <x v="11"/>
    <s v="Chicago"/>
    <s v="IL"/>
    <x v="118"/>
    <x v="0"/>
  </r>
  <r>
    <x v="118"/>
    <x v="0"/>
    <x v="12"/>
    <s v="Chicago"/>
    <s v="IL"/>
    <x v="118"/>
    <x v="0"/>
  </r>
  <r>
    <x v="118"/>
    <x v="0"/>
    <x v="44"/>
    <s v="Chicago"/>
    <s v="IL"/>
    <x v="118"/>
    <x v="0"/>
  </r>
  <r>
    <x v="118"/>
    <x v="0"/>
    <x v="22"/>
    <s v="Chicago"/>
    <s v="IL"/>
    <x v="118"/>
    <x v="0"/>
  </r>
  <r>
    <x v="118"/>
    <x v="0"/>
    <x v="23"/>
    <s v="Chicago"/>
    <s v="IL"/>
    <x v="118"/>
    <x v="0"/>
  </r>
  <r>
    <x v="118"/>
    <x v="0"/>
    <x v="16"/>
    <s v="Chicago"/>
    <s v="IL"/>
    <x v="118"/>
    <x v="0"/>
  </r>
  <r>
    <x v="118"/>
    <x v="0"/>
    <x v="19"/>
    <s v="Chicago"/>
    <s v="IL"/>
    <x v="118"/>
    <x v="0"/>
  </r>
  <r>
    <x v="118"/>
    <x v="0"/>
    <x v="4"/>
    <s v="Chicago"/>
    <s v="IL"/>
    <x v="118"/>
    <x v="0"/>
  </r>
  <r>
    <x v="119"/>
    <x v="1"/>
    <x v="29"/>
    <s v="Chicago"/>
    <s v="IL"/>
    <x v="119"/>
    <x v="0"/>
  </r>
  <r>
    <x v="120"/>
    <x v="0"/>
    <x v="52"/>
    <s v="Downers Grove"/>
    <s v="IL"/>
    <x v="120"/>
    <x v="11"/>
  </r>
  <r>
    <x v="121"/>
    <x v="0"/>
    <x v="41"/>
    <s v="Buffalo Grove"/>
    <s v="IL"/>
    <x v="121"/>
    <x v="64"/>
  </r>
  <r>
    <x v="121"/>
    <x v="0"/>
    <x v="42"/>
    <s v="Buffalo Grove"/>
    <s v="IL"/>
    <x v="121"/>
    <x v="64"/>
  </r>
  <r>
    <x v="121"/>
    <x v="0"/>
    <x v="43"/>
    <s v="Buffalo Grove"/>
    <s v="IL"/>
    <x v="121"/>
    <x v="64"/>
  </r>
  <r>
    <x v="121"/>
    <x v="0"/>
    <x v="55"/>
    <s v="Buffalo Grove"/>
    <s v="IL"/>
    <x v="121"/>
    <x v="64"/>
  </r>
  <r>
    <x v="121"/>
    <x v="0"/>
    <x v="57"/>
    <s v="Buffalo Grove"/>
    <s v="IL"/>
    <x v="121"/>
    <x v="64"/>
  </r>
  <r>
    <x v="121"/>
    <x v="0"/>
    <x v="58"/>
    <s v="Buffalo Grove"/>
    <s v="IL"/>
    <x v="121"/>
    <x v="64"/>
  </r>
  <r>
    <x v="122"/>
    <x v="1"/>
    <x v="7"/>
    <s v="St. Louis"/>
    <s v="MO"/>
    <x v="122"/>
    <x v="41"/>
  </r>
  <r>
    <x v="122"/>
    <x v="1"/>
    <x v="8"/>
    <s v="St. Louis"/>
    <s v="MO"/>
    <x v="122"/>
    <x v="41"/>
  </r>
  <r>
    <x v="122"/>
    <x v="1"/>
    <x v="11"/>
    <s v="St. Louis"/>
    <s v="MO"/>
    <x v="122"/>
    <x v="41"/>
  </r>
  <r>
    <x v="122"/>
    <x v="1"/>
    <x v="24"/>
    <s v="St. Louis"/>
    <s v="MO"/>
    <x v="122"/>
    <x v="41"/>
  </r>
  <r>
    <x v="122"/>
    <x v="1"/>
    <x v="25"/>
    <s v="St. Louis"/>
    <s v="MO"/>
    <x v="122"/>
    <x v="41"/>
  </r>
  <r>
    <x v="122"/>
    <x v="1"/>
    <x v="12"/>
    <s v="St. Louis"/>
    <s v="MO"/>
    <x v="122"/>
    <x v="41"/>
  </r>
  <r>
    <x v="122"/>
    <x v="1"/>
    <x v="27"/>
    <s v="St. Louis"/>
    <s v="MO"/>
    <x v="122"/>
    <x v="41"/>
  </r>
  <r>
    <x v="122"/>
    <x v="1"/>
    <x v="13"/>
    <s v="St. Louis"/>
    <s v="MO"/>
    <x v="122"/>
    <x v="41"/>
  </r>
  <r>
    <x v="122"/>
    <x v="1"/>
    <x v="29"/>
    <s v="St. Louis"/>
    <s v="MO"/>
    <x v="122"/>
    <x v="41"/>
  </r>
  <r>
    <x v="122"/>
    <x v="1"/>
    <x v="35"/>
    <s v="St. Louis"/>
    <s v="MO"/>
    <x v="122"/>
    <x v="41"/>
  </r>
  <r>
    <x v="122"/>
    <x v="1"/>
    <x v="17"/>
    <s v="St. Louis"/>
    <s v="MO"/>
    <x v="122"/>
    <x v="41"/>
  </r>
  <r>
    <x v="122"/>
    <x v="1"/>
    <x v="18"/>
    <s v="St. Louis"/>
    <s v="MO"/>
    <x v="122"/>
    <x v="41"/>
  </r>
  <r>
    <x v="122"/>
    <x v="1"/>
    <x v="19"/>
    <s v="St. Louis"/>
    <s v="MO"/>
    <x v="122"/>
    <x v="41"/>
  </r>
  <r>
    <x v="122"/>
    <x v="1"/>
    <x v="3"/>
    <s v="St. Louis"/>
    <s v="MO"/>
    <x v="122"/>
    <x v="41"/>
  </r>
  <r>
    <x v="122"/>
    <x v="1"/>
    <x v="4"/>
    <s v="St. Louis"/>
    <s v="MO"/>
    <x v="122"/>
    <x v="41"/>
  </r>
  <r>
    <x v="122"/>
    <x v="1"/>
    <x v="5"/>
    <s v="St. Louis"/>
    <s v="MO"/>
    <x v="122"/>
    <x v="41"/>
  </r>
  <r>
    <x v="123"/>
    <x v="0"/>
    <x v="1"/>
    <s v="Springfield"/>
    <s v="IL"/>
    <x v="123"/>
    <x v="12"/>
  </r>
  <r>
    <x v="123"/>
    <x v="0"/>
    <x v="2"/>
    <s v="Springfield"/>
    <s v="IL"/>
    <x v="123"/>
    <x v="12"/>
  </r>
  <r>
    <x v="124"/>
    <x v="0"/>
    <x v="30"/>
    <s v="Duluth"/>
    <s v="MN"/>
    <x v="124"/>
    <x v="65"/>
  </r>
  <r>
    <x v="124"/>
    <x v="0"/>
    <x v="31"/>
    <s v="Duluth"/>
    <s v="MN"/>
    <x v="124"/>
    <x v="65"/>
  </r>
  <r>
    <x v="125"/>
    <x v="1"/>
    <x v="8"/>
    <s v="Chesterfield"/>
    <s v="MO"/>
    <x v="125"/>
    <x v="66"/>
  </r>
  <r>
    <x v="125"/>
    <x v="1"/>
    <x v="25"/>
    <s v="Chesterfield"/>
    <s v="MO"/>
    <x v="125"/>
    <x v="66"/>
  </r>
  <r>
    <x v="125"/>
    <x v="1"/>
    <x v="12"/>
    <s v="Chesterfield"/>
    <s v="MO"/>
    <x v="125"/>
    <x v="66"/>
  </r>
  <r>
    <x v="125"/>
    <x v="1"/>
    <x v="27"/>
    <s v="Chesterfield"/>
    <s v="MO"/>
    <x v="125"/>
    <x v="66"/>
  </r>
  <r>
    <x v="125"/>
    <x v="1"/>
    <x v="56"/>
    <s v="Chesterfield"/>
    <s v="MO"/>
    <x v="125"/>
    <x v="66"/>
  </r>
  <r>
    <x v="125"/>
    <x v="1"/>
    <x v="13"/>
    <s v="Chesterfield"/>
    <s v="MO"/>
    <x v="125"/>
    <x v="66"/>
  </r>
  <r>
    <x v="125"/>
    <x v="1"/>
    <x v="53"/>
    <s v="Chesterfield"/>
    <s v="MO"/>
    <x v="125"/>
    <x v="66"/>
  </r>
  <r>
    <x v="125"/>
    <x v="1"/>
    <x v="29"/>
    <s v="Chesterfield"/>
    <s v="MO"/>
    <x v="125"/>
    <x v="66"/>
  </r>
  <r>
    <x v="125"/>
    <x v="1"/>
    <x v="18"/>
    <s v="Chesterfield"/>
    <s v="MO"/>
    <x v="125"/>
    <x v="66"/>
  </r>
  <r>
    <x v="126"/>
    <x v="0"/>
    <x v="8"/>
    <s v="Sugar Grove"/>
    <s v="IL"/>
    <x v="126"/>
    <x v="67"/>
  </r>
  <r>
    <x v="126"/>
    <x v="0"/>
    <x v="25"/>
    <s v="Sugar Grove"/>
    <s v="IL"/>
    <x v="126"/>
    <x v="67"/>
  </r>
  <r>
    <x v="126"/>
    <x v="0"/>
    <x v="12"/>
    <s v="Sugar Grove"/>
    <s v="IL"/>
    <x v="126"/>
    <x v="67"/>
  </r>
  <r>
    <x v="126"/>
    <x v="0"/>
    <x v="27"/>
    <s v="Sugar Grove"/>
    <s v="IL"/>
    <x v="126"/>
    <x v="67"/>
  </r>
  <r>
    <x v="126"/>
    <x v="0"/>
    <x v="13"/>
    <s v="Sugar Grove"/>
    <s v="IL"/>
    <x v="126"/>
    <x v="67"/>
  </r>
  <r>
    <x v="126"/>
    <x v="0"/>
    <x v="16"/>
    <s v="Sugar Grove"/>
    <s v="IL"/>
    <x v="126"/>
    <x v="67"/>
  </r>
  <r>
    <x v="126"/>
    <x v="0"/>
    <x v="29"/>
    <s v="Sugar Grove"/>
    <s v="IL"/>
    <x v="126"/>
    <x v="67"/>
  </r>
  <r>
    <x v="126"/>
    <x v="0"/>
    <x v="35"/>
    <s v="Sugar Grove"/>
    <s v="IL"/>
    <x v="126"/>
    <x v="67"/>
  </r>
  <r>
    <x v="126"/>
    <x v="0"/>
    <x v="17"/>
    <s v="Sugar Grove"/>
    <s v="IL"/>
    <x v="126"/>
    <x v="67"/>
  </r>
  <r>
    <x v="126"/>
    <x v="0"/>
    <x v="18"/>
    <s v="Sugar Grove"/>
    <s v="IL"/>
    <x v="126"/>
    <x v="67"/>
  </r>
  <r>
    <x v="126"/>
    <x v="0"/>
    <x v="19"/>
    <s v="Sugar Grove"/>
    <s v="IL"/>
    <x v="126"/>
    <x v="67"/>
  </r>
  <r>
    <x v="127"/>
    <x v="0"/>
    <x v="8"/>
    <s v="Warrenville"/>
    <s v="IL"/>
    <x v="127"/>
    <x v="68"/>
  </r>
  <r>
    <x v="127"/>
    <x v="0"/>
    <x v="9"/>
    <s v="Warrenville"/>
    <s v="IL"/>
    <x v="127"/>
    <x v="68"/>
  </r>
  <r>
    <x v="127"/>
    <x v="0"/>
    <x v="10"/>
    <s v="Warrenville"/>
    <s v="IL"/>
    <x v="127"/>
    <x v="68"/>
  </r>
  <r>
    <x v="127"/>
    <x v="0"/>
    <x v="11"/>
    <s v="Warrenville"/>
    <s v="IL"/>
    <x v="127"/>
    <x v="68"/>
  </r>
  <r>
    <x v="127"/>
    <x v="0"/>
    <x v="25"/>
    <s v="Warrenville"/>
    <s v="IL"/>
    <x v="127"/>
    <x v="68"/>
  </r>
  <r>
    <x v="127"/>
    <x v="0"/>
    <x v="12"/>
    <s v="Warrenville"/>
    <s v="IL"/>
    <x v="127"/>
    <x v="68"/>
  </r>
  <r>
    <x v="127"/>
    <x v="0"/>
    <x v="27"/>
    <s v="Warrenville"/>
    <s v="IL"/>
    <x v="127"/>
    <x v="68"/>
  </r>
  <r>
    <x v="127"/>
    <x v="0"/>
    <x v="13"/>
    <s v="Warrenville"/>
    <s v="IL"/>
    <x v="127"/>
    <x v="68"/>
  </r>
  <r>
    <x v="127"/>
    <x v="0"/>
    <x v="29"/>
    <s v="Warrenville"/>
    <s v="IL"/>
    <x v="127"/>
    <x v="68"/>
  </r>
  <r>
    <x v="127"/>
    <x v="0"/>
    <x v="35"/>
    <s v="Warrenville"/>
    <s v="IL"/>
    <x v="127"/>
    <x v="68"/>
  </r>
  <r>
    <x v="127"/>
    <x v="0"/>
    <x v="18"/>
    <s v="Warrenville"/>
    <s v="IL"/>
    <x v="127"/>
    <x v="68"/>
  </r>
  <r>
    <x v="127"/>
    <x v="0"/>
    <x v="19"/>
    <s v="Warrenville"/>
    <s v="IL"/>
    <x v="127"/>
    <x v="68"/>
  </r>
  <r>
    <x v="127"/>
    <x v="0"/>
    <x v="4"/>
    <s v="Warrenville"/>
    <s v="IL"/>
    <x v="127"/>
    <x v="68"/>
  </r>
  <r>
    <x v="127"/>
    <x v="0"/>
    <x v="5"/>
    <s v="Warrenville"/>
    <s v="IL"/>
    <x v="127"/>
    <x v="68"/>
  </r>
  <r>
    <x v="128"/>
    <x v="1"/>
    <x v="8"/>
    <s v="Aurora"/>
    <s v="IL"/>
    <x v="128"/>
    <x v="8"/>
  </r>
  <r>
    <x v="128"/>
    <x v="1"/>
    <x v="27"/>
    <s v="Aurora"/>
    <s v="IL"/>
    <x v="128"/>
    <x v="8"/>
  </r>
  <r>
    <x v="128"/>
    <x v="1"/>
    <x v="13"/>
    <s v="Aurora"/>
    <s v="IL"/>
    <x v="128"/>
    <x v="8"/>
  </r>
  <r>
    <x v="128"/>
    <x v="1"/>
    <x v="18"/>
    <s v="Aurora"/>
    <s v="IL"/>
    <x v="128"/>
    <x v="8"/>
  </r>
  <r>
    <x v="128"/>
    <x v="1"/>
    <x v="19"/>
    <s v="Aurora"/>
    <s v="IL"/>
    <x v="128"/>
    <x v="8"/>
  </r>
  <r>
    <x v="129"/>
    <x v="1"/>
    <x v="8"/>
    <s v="Chicago "/>
    <s v="IL"/>
    <x v="129"/>
    <x v="24"/>
  </r>
  <r>
    <x v="129"/>
    <x v="1"/>
    <x v="10"/>
    <s v="Chicago "/>
    <s v="IL"/>
    <x v="129"/>
    <x v="24"/>
  </r>
  <r>
    <x v="129"/>
    <x v="1"/>
    <x v="11"/>
    <s v="Chicago "/>
    <s v="IL"/>
    <x v="129"/>
    <x v="24"/>
  </r>
  <r>
    <x v="129"/>
    <x v="1"/>
    <x v="12"/>
    <s v="Chicago "/>
    <s v="IL"/>
    <x v="129"/>
    <x v="24"/>
  </r>
  <r>
    <x v="129"/>
    <x v="1"/>
    <x v="55"/>
    <s v="Chicago "/>
    <s v="IL"/>
    <x v="129"/>
    <x v="24"/>
  </r>
  <r>
    <x v="129"/>
    <x v="1"/>
    <x v="13"/>
    <s v="Chicago "/>
    <s v="IL"/>
    <x v="129"/>
    <x v="24"/>
  </r>
  <r>
    <x v="129"/>
    <x v="1"/>
    <x v="20"/>
    <s v="Chicago "/>
    <s v="IL"/>
    <x v="129"/>
    <x v="24"/>
  </r>
  <r>
    <x v="129"/>
    <x v="1"/>
    <x v="16"/>
    <s v="Chicago "/>
    <s v="IL"/>
    <x v="129"/>
    <x v="24"/>
  </r>
  <r>
    <x v="129"/>
    <x v="1"/>
    <x v="29"/>
    <s v="Chicago "/>
    <s v="IL"/>
    <x v="129"/>
    <x v="24"/>
  </r>
  <r>
    <x v="129"/>
    <x v="1"/>
    <x v="17"/>
    <s v="Chicago "/>
    <s v="IL"/>
    <x v="129"/>
    <x v="24"/>
  </r>
  <r>
    <x v="129"/>
    <x v="1"/>
    <x v="18"/>
    <s v="Chicago "/>
    <s v="IL"/>
    <x v="129"/>
    <x v="24"/>
  </r>
  <r>
    <x v="129"/>
    <x v="1"/>
    <x v="19"/>
    <s v="Chicago "/>
    <s v="IL"/>
    <x v="129"/>
    <x v="24"/>
  </r>
  <r>
    <x v="130"/>
    <x v="0"/>
    <x v="34"/>
    <s v="Chicago"/>
    <s v="IL"/>
    <x v="130"/>
    <x v="0"/>
  </r>
  <r>
    <x v="130"/>
    <x v="0"/>
    <x v="39"/>
    <s v="Chicago"/>
    <s v="IL"/>
    <x v="130"/>
    <x v="0"/>
  </r>
  <r>
    <x v="130"/>
    <x v="0"/>
    <x v="7"/>
    <s v="Chicago"/>
    <s v="IL"/>
    <x v="130"/>
    <x v="0"/>
  </r>
  <r>
    <x v="130"/>
    <x v="0"/>
    <x v="8"/>
    <s v="Chicago"/>
    <s v="IL"/>
    <x v="130"/>
    <x v="0"/>
  </r>
  <r>
    <x v="130"/>
    <x v="0"/>
    <x v="10"/>
    <s v="Chicago"/>
    <s v="IL"/>
    <x v="130"/>
    <x v="0"/>
  </r>
  <r>
    <x v="130"/>
    <x v="0"/>
    <x v="11"/>
    <s v="Chicago"/>
    <s v="IL"/>
    <x v="130"/>
    <x v="0"/>
  </r>
  <r>
    <x v="130"/>
    <x v="0"/>
    <x v="24"/>
    <s v="Chicago"/>
    <s v="IL"/>
    <x v="130"/>
    <x v="0"/>
  </r>
  <r>
    <x v="130"/>
    <x v="0"/>
    <x v="25"/>
    <s v="Chicago"/>
    <s v="IL"/>
    <x v="130"/>
    <x v="0"/>
  </r>
  <r>
    <x v="130"/>
    <x v="0"/>
    <x v="12"/>
    <s v="Chicago"/>
    <s v="IL"/>
    <x v="130"/>
    <x v="0"/>
  </r>
  <r>
    <x v="130"/>
    <x v="0"/>
    <x v="44"/>
    <s v="Chicago"/>
    <s v="IL"/>
    <x v="130"/>
    <x v="0"/>
  </r>
  <r>
    <x v="130"/>
    <x v="0"/>
    <x v="27"/>
    <s v="Chicago"/>
    <s v="IL"/>
    <x v="130"/>
    <x v="0"/>
  </r>
  <r>
    <x v="130"/>
    <x v="0"/>
    <x v="52"/>
    <s v="Chicago"/>
    <s v="IL"/>
    <x v="130"/>
    <x v="0"/>
  </r>
  <r>
    <x v="130"/>
    <x v="0"/>
    <x v="22"/>
    <s v="Chicago"/>
    <s v="IL"/>
    <x v="130"/>
    <x v="0"/>
  </r>
  <r>
    <x v="130"/>
    <x v="0"/>
    <x v="14"/>
    <s v="Chicago"/>
    <s v="IL"/>
    <x v="130"/>
    <x v="0"/>
  </r>
  <r>
    <x v="130"/>
    <x v="0"/>
    <x v="23"/>
    <s v="Chicago"/>
    <s v="IL"/>
    <x v="130"/>
    <x v="0"/>
  </r>
  <r>
    <x v="130"/>
    <x v="0"/>
    <x v="36"/>
    <s v="Chicago"/>
    <s v="IL"/>
    <x v="130"/>
    <x v="0"/>
  </r>
  <r>
    <x v="130"/>
    <x v="0"/>
    <x v="16"/>
    <s v="Chicago"/>
    <s v="IL"/>
    <x v="130"/>
    <x v="0"/>
  </r>
  <r>
    <x v="130"/>
    <x v="0"/>
    <x v="35"/>
    <s v="Chicago"/>
    <s v="IL"/>
    <x v="130"/>
    <x v="0"/>
  </r>
  <r>
    <x v="130"/>
    <x v="0"/>
    <x v="17"/>
    <s v="Chicago"/>
    <s v="IL"/>
    <x v="130"/>
    <x v="0"/>
  </r>
  <r>
    <x v="130"/>
    <x v="0"/>
    <x v="18"/>
    <s v="Chicago"/>
    <s v="IL"/>
    <x v="130"/>
    <x v="0"/>
  </r>
  <r>
    <x v="130"/>
    <x v="0"/>
    <x v="19"/>
    <s v="Chicago"/>
    <s v="IL"/>
    <x v="130"/>
    <x v="0"/>
  </r>
  <r>
    <x v="130"/>
    <x v="0"/>
    <x v="3"/>
    <s v="Chicago"/>
    <s v="IL"/>
    <x v="130"/>
    <x v="0"/>
  </r>
  <r>
    <x v="130"/>
    <x v="0"/>
    <x v="4"/>
    <s v="Chicago"/>
    <s v="IL"/>
    <x v="130"/>
    <x v="0"/>
  </r>
  <r>
    <x v="130"/>
    <x v="0"/>
    <x v="5"/>
    <s v="Chicago"/>
    <s v="IL"/>
    <x v="130"/>
    <x v="0"/>
  </r>
  <r>
    <x v="130"/>
    <x v="0"/>
    <x v="48"/>
    <s v="Chicago"/>
    <s v="IL"/>
    <x v="130"/>
    <x v="0"/>
  </r>
  <r>
    <x v="130"/>
    <x v="0"/>
    <x v="6"/>
    <s v="Chicago"/>
    <s v="IL"/>
    <x v="130"/>
    <x v="0"/>
  </r>
  <r>
    <x v="131"/>
    <x v="0"/>
    <x v="0"/>
    <s v="New Lenox"/>
    <s v="IL"/>
    <x v="131"/>
    <x v="69"/>
  </r>
  <r>
    <x v="132"/>
    <x v="0"/>
    <x v="7"/>
    <s v="Urbana"/>
    <s v="IL"/>
    <x v="132"/>
    <x v="32"/>
  </r>
  <r>
    <x v="132"/>
    <x v="0"/>
    <x v="8"/>
    <s v="Urbana"/>
    <s v="IL"/>
    <x v="132"/>
    <x v="32"/>
  </r>
  <r>
    <x v="132"/>
    <x v="0"/>
    <x v="11"/>
    <s v="Urbana"/>
    <s v="IL"/>
    <x v="132"/>
    <x v="32"/>
  </r>
  <r>
    <x v="132"/>
    <x v="0"/>
    <x v="25"/>
    <s v="Urbana"/>
    <s v="IL"/>
    <x v="132"/>
    <x v="32"/>
  </r>
  <r>
    <x v="132"/>
    <x v="0"/>
    <x v="12"/>
    <s v="Urbana"/>
    <s v="IL"/>
    <x v="132"/>
    <x v="32"/>
  </r>
  <r>
    <x v="132"/>
    <x v="0"/>
    <x v="27"/>
    <s v="Urbana"/>
    <s v="IL"/>
    <x v="132"/>
    <x v="32"/>
  </r>
  <r>
    <x v="132"/>
    <x v="0"/>
    <x v="13"/>
    <s v="Urbana"/>
    <s v="IL"/>
    <x v="132"/>
    <x v="32"/>
  </r>
  <r>
    <x v="132"/>
    <x v="0"/>
    <x v="35"/>
    <s v="Urbana"/>
    <s v="IL"/>
    <x v="132"/>
    <x v="32"/>
  </r>
  <r>
    <x v="132"/>
    <x v="0"/>
    <x v="18"/>
    <s v="Urbana"/>
    <s v="IL"/>
    <x v="132"/>
    <x v="32"/>
  </r>
  <r>
    <x v="132"/>
    <x v="0"/>
    <x v="19"/>
    <s v="Urbana"/>
    <s v="IL"/>
    <x v="132"/>
    <x v="32"/>
  </r>
  <r>
    <x v="132"/>
    <x v="0"/>
    <x v="3"/>
    <s v="Urbana"/>
    <s v="IL"/>
    <x v="132"/>
    <x v="32"/>
  </r>
  <r>
    <x v="132"/>
    <x v="0"/>
    <x v="4"/>
    <s v="Urbana"/>
    <s v="IL"/>
    <x v="132"/>
    <x v="32"/>
  </r>
  <r>
    <x v="132"/>
    <x v="0"/>
    <x v="5"/>
    <s v="Urbana"/>
    <s v="IL"/>
    <x v="132"/>
    <x v="32"/>
  </r>
  <r>
    <x v="132"/>
    <x v="0"/>
    <x v="6"/>
    <s v="Urbana"/>
    <s v="IL"/>
    <x v="132"/>
    <x v="32"/>
  </r>
  <r>
    <x v="132"/>
    <x v="0"/>
    <x v="32"/>
    <s v="Urbana"/>
    <s v="IL"/>
    <x v="132"/>
    <x v="32"/>
  </r>
  <r>
    <x v="133"/>
    <x v="1"/>
    <x v="0"/>
    <s v="Belleville"/>
    <s v="IL"/>
    <x v="133"/>
    <x v="70"/>
  </r>
  <r>
    <x v="133"/>
    <x v="1"/>
    <x v="30"/>
    <s v="Belleville"/>
    <s v="IL"/>
    <x v="133"/>
    <x v="70"/>
  </r>
  <r>
    <x v="134"/>
    <x v="0"/>
    <x v="34"/>
    <s v="Chicago"/>
    <s v="IL"/>
    <x v="134"/>
    <x v="0"/>
  </r>
  <r>
    <x v="134"/>
    <x v="0"/>
    <x v="39"/>
    <s v="Chicago"/>
    <s v="IL"/>
    <x v="134"/>
    <x v="0"/>
  </r>
  <r>
    <x v="134"/>
    <x v="0"/>
    <x v="7"/>
    <s v="Chicago"/>
    <s v="IL"/>
    <x v="134"/>
    <x v="0"/>
  </r>
  <r>
    <x v="134"/>
    <x v="0"/>
    <x v="8"/>
    <s v="Chicago"/>
    <s v="IL"/>
    <x v="134"/>
    <x v="0"/>
  </r>
  <r>
    <x v="134"/>
    <x v="0"/>
    <x v="9"/>
    <s v="Chicago"/>
    <s v="IL"/>
    <x v="134"/>
    <x v="0"/>
  </r>
  <r>
    <x v="134"/>
    <x v="0"/>
    <x v="10"/>
    <s v="Chicago"/>
    <s v="IL"/>
    <x v="134"/>
    <x v="0"/>
  </r>
  <r>
    <x v="134"/>
    <x v="0"/>
    <x v="11"/>
    <s v="Chicago"/>
    <s v="IL"/>
    <x v="134"/>
    <x v="0"/>
  </r>
  <r>
    <x v="134"/>
    <x v="0"/>
    <x v="24"/>
    <s v="Chicago"/>
    <s v="IL"/>
    <x v="134"/>
    <x v="0"/>
  </r>
  <r>
    <x v="134"/>
    <x v="0"/>
    <x v="25"/>
    <s v="Chicago"/>
    <s v="IL"/>
    <x v="134"/>
    <x v="0"/>
  </r>
  <r>
    <x v="134"/>
    <x v="0"/>
    <x v="12"/>
    <s v="Chicago"/>
    <s v="IL"/>
    <x v="134"/>
    <x v="0"/>
  </r>
  <r>
    <x v="134"/>
    <x v="0"/>
    <x v="44"/>
    <s v="Chicago"/>
    <s v="IL"/>
    <x v="134"/>
    <x v="0"/>
  </r>
  <r>
    <x v="134"/>
    <x v="0"/>
    <x v="27"/>
    <s v="Chicago"/>
    <s v="IL"/>
    <x v="134"/>
    <x v="0"/>
  </r>
  <r>
    <x v="134"/>
    <x v="0"/>
    <x v="52"/>
    <s v="Chicago"/>
    <s v="IL"/>
    <x v="134"/>
    <x v="0"/>
  </r>
  <r>
    <x v="134"/>
    <x v="0"/>
    <x v="13"/>
    <s v="Chicago"/>
    <s v="IL"/>
    <x v="134"/>
    <x v="0"/>
  </r>
  <r>
    <x v="134"/>
    <x v="0"/>
    <x v="22"/>
    <s v="Chicago"/>
    <s v="IL"/>
    <x v="134"/>
    <x v="0"/>
  </r>
  <r>
    <x v="134"/>
    <x v="0"/>
    <x v="14"/>
    <s v="Chicago"/>
    <s v="IL"/>
    <x v="134"/>
    <x v="0"/>
  </r>
  <r>
    <x v="134"/>
    <x v="0"/>
    <x v="23"/>
    <s v="Chicago"/>
    <s v="IL"/>
    <x v="134"/>
    <x v="0"/>
  </r>
  <r>
    <x v="134"/>
    <x v="0"/>
    <x v="36"/>
    <s v="Chicago"/>
    <s v="IL"/>
    <x v="134"/>
    <x v="0"/>
  </r>
  <r>
    <x v="134"/>
    <x v="0"/>
    <x v="29"/>
    <s v="Chicago"/>
    <s v="IL"/>
    <x v="134"/>
    <x v="0"/>
  </r>
  <r>
    <x v="134"/>
    <x v="0"/>
    <x v="35"/>
    <s v="Chicago"/>
    <s v="IL"/>
    <x v="134"/>
    <x v="0"/>
  </r>
  <r>
    <x v="134"/>
    <x v="0"/>
    <x v="17"/>
    <s v="Chicago"/>
    <s v="IL"/>
    <x v="134"/>
    <x v="0"/>
  </r>
  <r>
    <x v="134"/>
    <x v="0"/>
    <x v="18"/>
    <s v="Chicago"/>
    <s v="IL"/>
    <x v="134"/>
    <x v="0"/>
  </r>
  <r>
    <x v="134"/>
    <x v="0"/>
    <x v="19"/>
    <s v="Chicago"/>
    <s v="IL"/>
    <x v="134"/>
    <x v="0"/>
  </r>
  <r>
    <x v="134"/>
    <x v="0"/>
    <x v="3"/>
    <s v="Chicago"/>
    <s v="IL"/>
    <x v="134"/>
    <x v="0"/>
  </r>
  <r>
    <x v="134"/>
    <x v="0"/>
    <x v="47"/>
    <s v="Chicago"/>
    <s v="IL"/>
    <x v="134"/>
    <x v="0"/>
  </r>
  <r>
    <x v="134"/>
    <x v="0"/>
    <x v="4"/>
    <s v="Chicago"/>
    <s v="IL"/>
    <x v="134"/>
    <x v="0"/>
  </r>
  <r>
    <x v="134"/>
    <x v="0"/>
    <x v="5"/>
    <s v="Chicago"/>
    <s v="IL"/>
    <x v="134"/>
    <x v="0"/>
  </r>
  <r>
    <x v="134"/>
    <x v="0"/>
    <x v="48"/>
    <s v="Chicago"/>
    <s v="IL"/>
    <x v="134"/>
    <x v="0"/>
  </r>
  <r>
    <x v="134"/>
    <x v="0"/>
    <x v="6"/>
    <s v="Chicago"/>
    <s v="IL"/>
    <x v="134"/>
    <x v="0"/>
  </r>
  <r>
    <x v="134"/>
    <x v="0"/>
    <x v="49"/>
    <s v="Chicago"/>
    <s v="IL"/>
    <x v="134"/>
    <x v="0"/>
  </r>
  <r>
    <x v="134"/>
    <x v="0"/>
    <x v="50"/>
    <s v="Chicago"/>
    <s v="IL"/>
    <x v="134"/>
    <x v="0"/>
  </r>
  <r>
    <x v="134"/>
    <x v="0"/>
    <x v="32"/>
    <s v="Chicago"/>
    <s v="IL"/>
    <x v="134"/>
    <x v="0"/>
  </r>
  <r>
    <x v="135"/>
    <x v="1"/>
    <x v="22"/>
    <s v="Chicago"/>
    <s v="IL"/>
    <x v="135"/>
    <x v="0"/>
  </r>
  <r>
    <x v="136"/>
    <x v="0"/>
    <x v="34"/>
    <s v="Bloomington"/>
    <s v="IL"/>
    <x v="136"/>
    <x v="71"/>
  </r>
  <r>
    <x v="136"/>
    <x v="0"/>
    <x v="39"/>
    <s v="Bloomington"/>
    <s v="IL"/>
    <x v="136"/>
    <x v="71"/>
  </r>
  <r>
    <x v="136"/>
    <x v="0"/>
    <x v="7"/>
    <s v="Bloomington"/>
    <s v="IL"/>
    <x v="136"/>
    <x v="71"/>
  </r>
  <r>
    <x v="136"/>
    <x v="0"/>
    <x v="8"/>
    <s v="Bloomington"/>
    <s v="IL"/>
    <x v="136"/>
    <x v="71"/>
  </r>
  <r>
    <x v="136"/>
    <x v="0"/>
    <x v="10"/>
    <s v="Bloomington"/>
    <s v="IL"/>
    <x v="136"/>
    <x v="71"/>
  </r>
  <r>
    <x v="136"/>
    <x v="0"/>
    <x v="11"/>
    <s v="Bloomington"/>
    <s v="IL"/>
    <x v="136"/>
    <x v="71"/>
  </r>
  <r>
    <x v="136"/>
    <x v="0"/>
    <x v="24"/>
    <s v="Bloomington"/>
    <s v="IL"/>
    <x v="136"/>
    <x v="71"/>
  </r>
  <r>
    <x v="136"/>
    <x v="0"/>
    <x v="25"/>
    <s v="Bloomington"/>
    <s v="IL"/>
    <x v="136"/>
    <x v="71"/>
  </r>
  <r>
    <x v="136"/>
    <x v="0"/>
    <x v="12"/>
    <s v="Bloomington"/>
    <s v="IL"/>
    <x v="136"/>
    <x v="71"/>
  </r>
  <r>
    <x v="136"/>
    <x v="0"/>
    <x v="21"/>
    <s v="Bloomington"/>
    <s v="IL"/>
    <x v="136"/>
    <x v="71"/>
  </r>
  <r>
    <x v="136"/>
    <x v="0"/>
    <x v="44"/>
    <s v="Bloomington"/>
    <s v="IL"/>
    <x v="136"/>
    <x v="71"/>
  </r>
  <r>
    <x v="136"/>
    <x v="0"/>
    <x v="27"/>
    <s v="Bloomington"/>
    <s v="IL"/>
    <x v="136"/>
    <x v="71"/>
  </r>
  <r>
    <x v="136"/>
    <x v="0"/>
    <x v="56"/>
    <s v="Bloomington"/>
    <s v="IL"/>
    <x v="136"/>
    <x v="71"/>
  </r>
  <r>
    <x v="136"/>
    <x v="0"/>
    <x v="52"/>
    <s v="Bloomington"/>
    <s v="IL"/>
    <x v="136"/>
    <x v="71"/>
  </r>
  <r>
    <x v="136"/>
    <x v="0"/>
    <x v="13"/>
    <s v="Bloomington"/>
    <s v="IL"/>
    <x v="136"/>
    <x v="71"/>
  </r>
  <r>
    <x v="136"/>
    <x v="0"/>
    <x v="22"/>
    <s v="Bloomington"/>
    <s v="IL"/>
    <x v="136"/>
    <x v="71"/>
  </r>
  <r>
    <x v="136"/>
    <x v="0"/>
    <x v="14"/>
    <s v="Bloomington"/>
    <s v="IL"/>
    <x v="136"/>
    <x v="71"/>
  </r>
  <r>
    <x v="136"/>
    <x v="0"/>
    <x v="23"/>
    <s v="Bloomington"/>
    <s v="IL"/>
    <x v="136"/>
    <x v="71"/>
  </r>
  <r>
    <x v="136"/>
    <x v="0"/>
    <x v="15"/>
    <s v="Bloomington"/>
    <s v="IL"/>
    <x v="136"/>
    <x v="71"/>
  </r>
  <r>
    <x v="136"/>
    <x v="0"/>
    <x v="16"/>
    <s v="Bloomington"/>
    <s v="IL"/>
    <x v="136"/>
    <x v="71"/>
  </r>
  <r>
    <x v="136"/>
    <x v="0"/>
    <x v="28"/>
    <s v="Bloomington"/>
    <s v="IL"/>
    <x v="136"/>
    <x v="71"/>
  </r>
  <r>
    <x v="136"/>
    <x v="0"/>
    <x v="29"/>
    <s v="Bloomington"/>
    <s v="IL"/>
    <x v="136"/>
    <x v="71"/>
  </r>
  <r>
    <x v="136"/>
    <x v="0"/>
    <x v="35"/>
    <s v="Bloomington"/>
    <s v="IL"/>
    <x v="136"/>
    <x v="71"/>
  </r>
  <r>
    <x v="136"/>
    <x v="0"/>
    <x v="17"/>
    <s v="Bloomington"/>
    <s v="IL"/>
    <x v="136"/>
    <x v="71"/>
  </r>
  <r>
    <x v="136"/>
    <x v="0"/>
    <x v="18"/>
    <s v="Bloomington"/>
    <s v="IL"/>
    <x v="136"/>
    <x v="71"/>
  </r>
  <r>
    <x v="136"/>
    <x v="0"/>
    <x v="19"/>
    <s v="Bloomington"/>
    <s v="IL"/>
    <x v="136"/>
    <x v="71"/>
  </r>
  <r>
    <x v="136"/>
    <x v="0"/>
    <x v="3"/>
    <s v="Bloomington"/>
    <s v="IL"/>
    <x v="136"/>
    <x v="71"/>
  </r>
  <r>
    <x v="136"/>
    <x v="0"/>
    <x v="47"/>
    <s v="Bloomington"/>
    <s v="IL"/>
    <x v="136"/>
    <x v="71"/>
  </r>
  <r>
    <x v="136"/>
    <x v="0"/>
    <x v="4"/>
    <s v="Bloomington"/>
    <s v="IL"/>
    <x v="136"/>
    <x v="71"/>
  </r>
  <r>
    <x v="136"/>
    <x v="0"/>
    <x v="5"/>
    <s v="Bloomington"/>
    <s v="IL"/>
    <x v="136"/>
    <x v="71"/>
  </r>
  <r>
    <x v="136"/>
    <x v="0"/>
    <x v="6"/>
    <s v="Bloomington"/>
    <s v="IL"/>
    <x v="136"/>
    <x v="71"/>
  </r>
  <r>
    <x v="136"/>
    <x v="0"/>
    <x v="32"/>
    <s v="Bloomington"/>
    <s v="IL"/>
    <x v="136"/>
    <x v="71"/>
  </r>
  <r>
    <x v="137"/>
    <x v="0"/>
    <x v="8"/>
    <s v="Rockford"/>
    <s v="IL"/>
    <x v="137"/>
    <x v="72"/>
  </r>
  <r>
    <x v="137"/>
    <x v="0"/>
    <x v="11"/>
    <s v="Rockford"/>
    <s v="IL"/>
    <x v="137"/>
    <x v="72"/>
  </r>
  <r>
    <x v="137"/>
    <x v="0"/>
    <x v="24"/>
    <s v="Rockford"/>
    <s v="IL"/>
    <x v="137"/>
    <x v="72"/>
  </r>
  <r>
    <x v="137"/>
    <x v="0"/>
    <x v="25"/>
    <s v="Rockford"/>
    <s v="IL"/>
    <x v="137"/>
    <x v="72"/>
  </r>
  <r>
    <x v="137"/>
    <x v="0"/>
    <x v="12"/>
    <s v="Rockford"/>
    <s v="IL"/>
    <x v="137"/>
    <x v="72"/>
  </r>
  <r>
    <x v="137"/>
    <x v="0"/>
    <x v="27"/>
    <s v="Rockford"/>
    <s v="IL"/>
    <x v="137"/>
    <x v="72"/>
  </r>
  <r>
    <x v="137"/>
    <x v="0"/>
    <x v="13"/>
    <s v="Rockford"/>
    <s v="IL"/>
    <x v="137"/>
    <x v="72"/>
  </r>
  <r>
    <x v="137"/>
    <x v="0"/>
    <x v="54"/>
    <s v="Rockford"/>
    <s v="IL"/>
    <x v="137"/>
    <x v="72"/>
  </r>
  <r>
    <x v="137"/>
    <x v="0"/>
    <x v="20"/>
    <s v="Rockford"/>
    <s v="IL"/>
    <x v="137"/>
    <x v="72"/>
  </r>
  <r>
    <x v="137"/>
    <x v="0"/>
    <x v="14"/>
    <s v="Rockford"/>
    <s v="IL"/>
    <x v="137"/>
    <x v="72"/>
  </r>
  <r>
    <x v="137"/>
    <x v="0"/>
    <x v="16"/>
    <s v="Rockford"/>
    <s v="IL"/>
    <x v="137"/>
    <x v="72"/>
  </r>
  <r>
    <x v="137"/>
    <x v="0"/>
    <x v="29"/>
    <s v="Rockford"/>
    <s v="IL"/>
    <x v="137"/>
    <x v="72"/>
  </r>
  <r>
    <x v="137"/>
    <x v="0"/>
    <x v="35"/>
    <s v="Rockford"/>
    <s v="IL"/>
    <x v="137"/>
    <x v="72"/>
  </r>
  <r>
    <x v="137"/>
    <x v="0"/>
    <x v="18"/>
    <s v="Rockford"/>
    <s v="IL"/>
    <x v="137"/>
    <x v="72"/>
  </r>
  <r>
    <x v="137"/>
    <x v="0"/>
    <x v="19"/>
    <s v="Rockford"/>
    <s v="IL"/>
    <x v="137"/>
    <x v="72"/>
  </r>
  <r>
    <x v="137"/>
    <x v="0"/>
    <x v="4"/>
    <s v="Rockford"/>
    <s v="IL"/>
    <x v="137"/>
    <x v="72"/>
  </r>
  <r>
    <x v="137"/>
    <x v="0"/>
    <x v="5"/>
    <s v="Rockford"/>
    <s v="IL"/>
    <x v="137"/>
    <x v="72"/>
  </r>
  <r>
    <x v="138"/>
    <x v="1"/>
    <x v="9"/>
    <s v="Oak Park"/>
    <s v="IL"/>
    <x v="138"/>
    <x v="73"/>
  </r>
  <r>
    <x v="138"/>
    <x v="1"/>
    <x v="10"/>
    <s v="Oak Park"/>
    <s v="IL"/>
    <x v="138"/>
    <x v="73"/>
  </r>
  <r>
    <x v="138"/>
    <x v="1"/>
    <x v="11"/>
    <s v="Oak Park"/>
    <s v="IL"/>
    <x v="138"/>
    <x v="73"/>
  </r>
  <r>
    <x v="138"/>
    <x v="1"/>
    <x v="16"/>
    <s v="Oak Park"/>
    <s v="IL"/>
    <x v="138"/>
    <x v="73"/>
  </r>
  <r>
    <x v="138"/>
    <x v="1"/>
    <x v="29"/>
    <s v="Oak Park"/>
    <s v="IL"/>
    <x v="138"/>
    <x v="73"/>
  </r>
  <r>
    <x v="138"/>
    <x v="1"/>
    <x v="19"/>
    <s v="Oak Park"/>
    <s v="IL"/>
    <x v="138"/>
    <x v="73"/>
  </r>
  <r>
    <x v="139"/>
    <x v="1"/>
    <x v="13"/>
    <s v="Chicago"/>
    <s v="IL"/>
    <x v="139"/>
    <x v="0"/>
  </r>
  <r>
    <x v="140"/>
    <x v="1"/>
    <x v="36"/>
    <s v="Chicago"/>
    <s v="IL"/>
    <x v="140"/>
    <x v="0"/>
  </r>
  <r>
    <x v="141"/>
    <x v="1"/>
    <x v="7"/>
    <s v="Springfield"/>
    <s v="IL"/>
    <x v="141"/>
    <x v="12"/>
  </r>
  <r>
    <x v="141"/>
    <x v="1"/>
    <x v="8"/>
    <s v="Springfield"/>
    <s v="IL"/>
    <x v="141"/>
    <x v="12"/>
  </r>
  <r>
    <x v="141"/>
    <x v="1"/>
    <x v="11"/>
    <s v="Springfield"/>
    <s v="IL"/>
    <x v="141"/>
    <x v="12"/>
  </r>
  <r>
    <x v="141"/>
    <x v="1"/>
    <x v="25"/>
    <s v="Springfield"/>
    <s v="IL"/>
    <x v="141"/>
    <x v="12"/>
  </r>
  <r>
    <x v="141"/>
    <x v="1"/>
    <x v="12"/>
    <s v="Springfield"/>
    <s v="IL"/>
    <x v="141"/>
    <x v="12"/>
  </r>
  <r>
    <x v="141"/>
    <x v="1"/>
    <x v="27"/>
    <s v="Springfield"/>
    <s v="IL"/>
    <x v="141"/>
    <x v="12"/>
  </r>
  <r>
    <x v="141"/>
    <x v="1"/>
    <x v="13"/>
    <s v="Springfield"/>
    <s v="IL"/>
    <x v="141"/>
    <x v="12"/>
  </r>
  <r>
    <x v="141"/>
    <x v="1"/>
    <x v="22"/>
    <s v="Springfield"/>
    <s v="IL"/>
    <x v="141"/>
    <x v="12"/>
  </r>
  <r>
    <x v="141"/>
    <x v="1"/>
    <x v="29"/>
    <s v="Springfield"/>
    <s v="IL"/>
    <x v="141"/>
    <x v="12"/>
  </r>
  <r>
    <x v="141"/>
    <x v="1"/>
    <x v="17"/>
    <s v="Springfield"/>
    <s v="IL"/>
    <x v="141"/>
    <x v="12"/>
  </r>
  <r>
    <x v="141"/>
    <x v="1"/>
    <x v="18"/>
    <s v="Springfield"/>
    <s v="IL"/>
    <x v="141"/>
    <x v="12"/>
  </r>
  <r>
    <x v="141"/>
    <x v="1"/>
    <x v="19"/>
    <s v="Springfield"/>
    <s v="IL"/>
    <x v="141"/>
    <x v="12"/>
  </r>
  <r>
    <x v="142"/>
    <x v="1"/>
    <x v="26"/>
    <s v="Chicago"/>
    <s v="IL"/>
    <x v="142"/>
    <x v="0"/>
  </r>
  <r>
    <x v="142"/>
    <x v="1"/>
    <x v="21"/>
    <s v="Chicago"/>
    <s v="IL"/>
    <x v="142"/>
    <x v="0"/>
  </r>
  <r>
    <x v="142"/>
    <x v="1"/>
    <x v="27"/>
    <s v="Chicago"/>
    <s v="IL"/>
    <x v="142"/>
    <x v="0"/>
  </r>
  <r>
    <x v="142"/>
    <x v="1"/>
    <x v="22"/>
    <s v="Chicago"/>
    <s v="IL"/>
    <x v="142"/>
    <x v="0"/>
  </r>
  <r>
    <x v="142"/>
    <x v="1"/>
    <x v="23"/>
    <s v="Chicago"/>
    <s v="IL"/>
    <x v="142"/>
    <x v="0"/>
  </r>
  <r>
    <x v="142"/>
    <x v="1"/>
    <x v="18"/>
    <s v="Chicago"/>
    <s v="IL"/>
    <x v="142"/>
    <x v="0"/>
  </r>
  <r>
    <x v="143"/>
    <x v="0"/>
    <x v="34"/>
    <s v="Indianapolis"/>
    <s v="IN"/>
    <x v="143"/>
    <x v="10"/>
  </r>
  <r>
    <x v="143"/>
    <x v="0"/>
    <x v="37"/>
    <s v="Indianapolis"/>
    <s v="IN"/>
    <x v="143"/>
    <x v="10"/>
  </r>
  <r>
    <x v="143"/>
    <x v="0"/>
    <x v="38"/>
    <s v="Indianapolis"/>
    <s v="IN"/>
    <x v="143"/>
    <x v="10"/>
  </r>
  <r>
    <x v="143"/>
    <x v="0"/>
    <x v="15"/>
    <s v="Indianapolis"/>
    <s v="IN"/>
    <x v="143"/>
    <x v="10"/>
  </r>
  <r>
    <x v="144"/>
    <x v="1"/>
    <x v="7"/>
    <s v="Chicago"/>
    <s v="IL"/>
    <x v="144"/>
    <x v="0"/>
  </r>
  <r>
    <x v="144"/>
    <x v="1"/>
    <x v="8"/>
    <s v="Chicago"/>
    <s v="IL"/>
    <x v="144"/>
    <x v="0"/>
  </r>
  <r>
    <x v="144"/>
    <x v="1"/>
    <x v="12"/>
    <s v="Chicago"/>
    <s v="IL"/>
    <x v="144"/>
    <x v="0"/>
  </r>
  <r>
    <x v="144"/>
    <x v="1"/>
    <x v="13"/>
    <s v="Chicago"/>
    <s v="IL"/>
    <x v="144"/>
    <x v="0"/>
  </r>
  <r>
    <x v="144"/>
    <x v="1"/>
    <x v="3"/>
    <s v="Chicago"/>
    <s v="IL"/>
    <x v="144"/>
    <x v="0"/>
  </r>
  <r>
    <x v="144"/>
    <x v="1"/>
    <x v="47"/>
    <s v="Chicago"/>
    <s v="IL"/>
    <x v="144"/>
    <x v="0"/>
  </r>
  <r>
    <x v="144"/>
    <x v="1"/>
    <x v="4"/>
    <s v="Chicago"/>
    <s v="IL"/>
    <x v="144"/>
    <x v="0"/>
  </r>
  <r>
    <x v="144"/>
    <x v="1"/>
    <x v="5"/>
    <s v="Chicago"/>
    <s v="IL"/>
    <x v="144"/>
    <x v="0"/>
  </r>
  <r>
    <x v="144"/>
    <x v="1"/>
    <x v="6"/>
    <s v="Chicago"/>
    <s v="IL"/>
    <x v="144"/>
    <x v="0"/>
  </r>
  <r>
    <x v="145"/>
    <x v="1"/>
    <x v="7"/>
    <s v="Downers Grove"/>
    <s v="IL"/>
    <x v="145"/>
    <x v="11"/>
  </r>
  <r>
    <x v="145"/>
    <x v="1"/>
    <x v="8"/>
    <s v="Downers Grove"/>
    <s v="IL"/>
    <x v="145"/>
    <x v="11"/>
  </r>
  <r>
    <x v="145"/>
    <x v="1"/>
    <x v="11"/>
    <s v="Downers Grove"/>
    <s v="IL"/>
    <x v="145"/>
    <x v="11"/>
  </r>
  <r>
    <x v="145"/>
    <x v="1"/>
    <x v="25"/>
    <s v="Downers Grove"/>
    <s v="IL"/>
    <x v="145"/>
    <x v="11"/>
  </r>
  <r>
    <x v="145"/>
    <x v="1"/>
    <x v="12"/>
    <s v="Downers Grove"/>
    <s v="IL"/>
    <x v="145"/>
    <x v="11"/>
  </r>
  <r>
    <x v="145"/>
    <x v="1"/>
    <x v="13"/>
    <s v="Downers Grove"/>
    <s v="IL"/>
    <x v="145"/>
    <x v="11"/>
  </r>
  <r>
    <x v="145"/>
    <x v="1"/>
    <x v="28"/>
    <s v="Downers Grove"/>
    <s v="IL"/>
    <x v="145"/>
    <x v="11"/>
  </r>
  <r>
    <x v="145"/>
    <x v="1"/>
    <x v="29"/>
    <s v="Downers Grove"/>
    <s v="IL"/>
    <x v="145"/>
    <x v="11"/>
  </r>
  <r>
    <x v="145"/>
    <x v="1"/>
    <x v="17"/>
    <s v="Downers Grove"/>
    <s v="IL"/>
    <x v="145"/>
    <x v="11"/>
  </r>
  <r>
    <x v="145"/>
    <x v="1"/>
    <x v="18"/>
    <s v="Downers Grove"/>
    <s v="IL"/>
    <x v="145"/>
    <x v="11"/>
  </r>
  <r>
    <x v="145"/>
    <x v="1"/>
    <x v="19"/>
    <s v="Downers Grove"/>
    <s v="IL"/>
    <x v="145"/>
    <x v="11"/>
  </r>
  <r>
    <x v="146"/>
    <x v="0"/>
    <x v="27"/>
    <s v="Lenexa"/>
    <s v="KS"/>
    <x v="146"/>
    <x v="74"/>
  </r>
  <r>
    <x v="146"/>
    <x v="0"/>
    <x v="18"/>
    <s v="Lenexa"/>
    <s v="KS"/>
    <x v="146"/>
    <x v="74"/>
  </r>
  <r>
    <x v="147"/>
    <x v="0"/>
    <x v="59"/>
    <s v="Chicago"/>
    <s v="IL"/>
    <x v="147"/>
    <x v="0"/>
  </r>
  <r>
    <x v="147"/>
    <x v="0"/>
    <x v="41"/>
    <s v="Chicago"/>
    <s v="IL"/>
    <x v="147"/>
    <x v="0"/>
  </r>
  <r>
    <x v="147"/>
    <x v="0"/>
    <x v="42"/>
    <s v="Chicago"/>
    <s v="IL"/>
    <x v="147"/>
    <x v="0"/>
  </r>
  <r>
    <x v="147"/>
    <x v="0"/>
    <x v="43"/>
    <s v="Chicago"/>
    <s v="IL"/>
    <x v="147"/>
    <x v="0"/>
  </r>
  <r>
    <x v="148"/>
    <x v="1"/>
    <x v="41"/>
    <s v="Naperville"/>
    <s v="IL"/>
    <x v="148"/>
    <x v="52"/>
  </r>
  <r>
    <x v="148"/>
    <x v="1"/>
    <x v="42"/>
    <s v="Naperville"/>
    <s v="IL"/>
    <x v="148"/>
    <x v="52"/>
  </r>
  <r>
    <x v="148"/>
    <x v="1"/>
    <x v="43"/>
    <s v="Naperville"/>
    <s v="IL"/>
    <x v="148"/>
    <x v="52"/>
  </r>
  <r>
    <x v="148"/>
    <x v="1"/>
    <x v="13"/>
    <s v="Naperville"/>
    <s v="IL"/>
    <x v="148"/>
    <x v="52"/>
  </r>
  <r>
    <x v="148"/>
    <x v="1"/>
    <x v="57"/>
    <s v="Naperville"/>
    <s v="IL"/>
    <x v="148"/>
    <x v="52"/>
  </r>
  <r>
    <x v="148"/>
    <x v="1"/>
    <x v="58"/>
    <s v="Naperville"/>
    <s v="IL"/>
    <x v="148"/>
    <x v="52"/>
  </r>
  <r>
    <x v="149"/>
    <x v="0"/>
    <x v="41"/>
    <s v="Frankfort"/>
    <s v="IL"/>
    <x v="149"/>
    <x v="75"/>
  </r>
  <r>
    <x v="149"/>
    <x v="0"/>
    <x v="42"/>
    <s v="Frankfort"/>
    <s v="IL"/>
    <x v="149"/>
    <x v="75"/>
  </r>
  <r>
    <x v="149"/>
    <x v="0"/>
    <x v="43"/>
    <s v="Frankfort"/>
    <s v="IL"/>
    <x v="149"/>
    <x v="75"/>
  </r>
  <r>
    <x v="149"/>
    <x v="0"/>
    <x v="57"/>
    <s v="Frankfort"/>
    <s v="IL"/>
    <x v="149"/>
    <x v="75"/>
  </r>
  <r>
    <x v="149"/>
    <x v="0"/>
    <x v="58"/>
    <s v="Frankfort"/>
    <s v="IL"/>
    <x v="149"/>
    <x v="75"/>
  </r>
  <r>
    <x v="150"/>
    <x v="0"/>
    <x v="7"/>
    <s v="Lenexa"/>
    <s v="KS"/>
    <x v="150"/>
    <x v="74"/>
  </r>
  <r>
    <x v="150"/>
    <x v="0"/>
    <x v="8"/>
    <s v="Lenexa"/>
    <s v="KS"/>
    <x v="150"/>
    <x v="74"/>
  </r>
  <r>
    <x v="150"/>
    <x v="0"/>
    <x v="11"/>
    <s v="Lenexa"/>
    <s v="KS"/>
    <x v="150"/>
    <x v="74"/>
  </r>
  <r>
    <x v="150"/>
    <x v="0"/>
    <x v="24"/>
    <s v="Lenexa"/>
    <s v="KS"/>
    <x v="150"/>
    <x v="74"/>
  </r>
  <r>
    <x v="150"/>
    <x v="0"/>
    <x v="25"/>
    <s v="Lenexa"/>
    <s v="KS"/>
    <x v="150"/>
    <x v="74"/>
  </r>
  <r>
    <x v="150"/>
    <x v="0"/>
    <x v="12"/>
    <s v="Lenexa"/>
    <s v="KS"/>
    <x v="150"/>
    <x v="74"/>
  </r>
  <r>
    <x v="150"/>
    <x v="0"/>
    <x v="27"/>
    <s v="Lenexa"/>
    <s v="KS"/>
    <x v="150"/>
    <x v="74"/>
  </r>
  <r>
    <x v="150"/>
    <x v="0"/>
    <x v="35"/>
    <s v="Lenexa"/>
    <s v="KS"/>
    <x v="150"/>
    <x v="74"/>
  </r>
  <r>
    <x v="150"/>
    <x v="0"/>
    <x v="17"/>
    <s v="Lenexa"/>
    <s v="KS"/>
    <x v="150"/>
    <x v="74"/>
  </r>
  <r>
    <x v="150"/>
    <x v="0"/>
    <x v="46"/>
    <s v="Lenexa"/>
    <s v="KS"/>
    <x v="150"/>
    <x v="74"/>
  </r>
  <r>
    <x v="150"/>
    <x v="0"/>
    <x v="18"/>
    <s v="Lenexa"/>
    <s v="KS"/>
    <x v="150"/>
    <x v="74"/>
  </r>
  <r>
    <x v="150"/>
    <x v="0"/>
    <x v="19"/>
    <s v="Lenexa"/>
    <s v="KS"/>
    <x v="150"/>
    <x v="74"/>
  </r>
  <r>
    <x v="150"/>
    <x v="0"/>
    <x v="3"/>
    <s v="Lenexa"/>
    <s v="KS"/>
    <x v="150"/>
    <x v="74"/>
  </r>
  <r>
    <x v="150"/>
    <x v="0"/>
    <x v="4"/>
    <s v="Lenexa"/>
    <s v="KS"/>
    <x v="150"/>
    <x v="74"/>
  </r>
  <r>
    <x v="150"/>
    <x v="0"/>
    <x v="5"/>
    <s v="Lenexa"/>
    <s v="KS"/>
    <x v="150"/>
    <x v="74"/>
  </r>
  <r>
    <x v="151"/>
    <x v="0"/>
    <x v="59"/>
    <s v="Boca Raton"/>
    <s v="FL"/>
    <x v="151"/>
    <x v="76"/>
  </r>
  <r>
    <x v="151"/>
    <x v="0"/>
    <x v="19"/>
    <s v="Boca Raton"/>
    <s v="FL"/>
    <x v="151"/>
    <x v="76"/>
  </r>
  <r>
    <x v="152"/>
    <x v="0"/>
    <x v="41"/>
    <s v="Fishers"/>
    <s v="IN"/>
    <x v="152"/>
    <x v="77"/>
  </r>
  <r>
    <x v="152"/>
    <x v="0"/>
    <x v="43"/>
    <s v="Fishers"/>
    <s v="IN"/>
    <x v="152"/>
    <x v="77"/>
  </r>
  <r>
    <x v="153"/>
    <x v="1"/>
    <x v="41"/>
    <s v="Milwaukee"/>
    <s v="WI"/>
    <x v="153"/>
    <x v="42"/>
  </r>
  <r>
    <x v="153"/>
    <x v="1"/>
    <x v="42"/>
    <s v="Milwaukee"/>
    <s v="WI"/>
    <x v="153"/>
    <x v="42"/>
  </r>
  <r>
    <x v="154"/>
    <x v="0"/>
    <x v="8"/>
    <s v="Vernon Hills"/>
    <s v="IL"/>
    <x v="154"/>
    <x v="78"/>
  </r>
  <r>
    <x v="154"/>
    <x v="0"/>
    <x v="9"/>
    <s v="Vernon Hills"/>
    <s v="IL"/>
    <x v="154"/>
    <x v="78"/>
  </r>
  <r>
    <x v="154"/>
    <x v="0"/>
    <x v="10"/>
    <s v="Vernon Hills"/>
    <s v="IL"/>
    <x v="154"/>
    <x v="78"/>
  </r>
  <r>
    <x v="154"/>
    <x v="0"/>
    <x v="11"/>
    <s v="Vernon Hills"/>
    <s v="IL"/>
    <x v="154"/>
    <x v="78"/>
  </r>
  <r>
    <x v="154"/>
    <x v="0"/>
    <x v="24"/>
    <s v="Vernon Hills"/>
    <s v="IL"/>
    <x v="154"/>
    <x v="78"/>
  </r>
  <r>
    <x v="154"/>
    <x v="0"/>
    <x v="25"/>
    <s v="Vernon Hills"/>
    <s v="IL"/>
    <x v="154"/>
    <x v="78"/>
  </r>
  <r>
    <x v="154"/>
    <x v="0"/>
    <x v="12"/>
    <s v="Vernon Hills"/>
    <s v="IL"/>
    <x v="154"/>
    <x v="78"/>
  </r>
  <r>
    <x v="154"/>
    <x v="0"/>
    <x v="27"/>
    <s v="Vernon Hills"/>
    <s v="IL"/>
    <x v="154"/>
    <x v="78"/>
  </r>
  <r>
    <x v="154"/>
    <x v="0"/>
    <x v="56"/>
    <s v="Vernon Hills"/>
    <s v="IL"/>
    <x v="154"/>
    <x v="78"/>
  </r>
  <r>
    <x v="154"/>
    <x v="0"/>
    <x v="13"/>
    <s v="Vernon Hills"/>
    <s v="IL"/>
    <x v="154"/>
    <x v="78"/>
  </r>
  <r>
    <x v="154"/>
    <x v="0"/>
    <x v="16"/>
    <s v="Vernon Hills"/>
    <s v="IL"/>
    <x v="154"/>
    <x v="78"/>
  </r>
  <r>
    <x v="154"/>
    <x v="0"/>
    <x v="29"/>
    <s v="Vernon Hills"/>
    <s v="IL"/>
    <x v="154"/>
    <x v="78"/>
  </r>
  <r>
    <x v="154"/>
    <x v="0"/>
    <x v="17"/>
    <s v="Vernon Hills"/>
    <s v="IL"/>
    <x v="154"/>
    <x v="78"/>
  </r>
  <r>
    <x v="154"/>
    <x v="0"/>
    <x v="46"/>
    <s v="Vernon Hills"/>
    <s v="IL"/>
    <x v="154"/>
    <x v="78"/>
  </r>
  <r>
    <x v="154"/>
    <x v="0"/>
    <x v="18"/>
    <s v="Vernon Hills"/>
    <s v="IL"/>
    <x v="154"/>
    <x v="78"/>
  </r>
  <r>
    <x v="154"/>
    <x v="0"/>
    <x v="19"/>
    <s v="Vernon Hills"/>
    <s v="IL"/>
    <x v="154"/>
    <x v="78"/>
  </r>
  <r>
    <x v="155"/>
    <x v="0"/>
    <x v="40"/>
    <s v="Chicago"/>
    <s v="IL"/>
    <x v="155"/>
    <x v="0"/>
  </r>
  <r>
    <x v="155"/>
    <x v="0"/>
    <x v="41"/>
    <s v="Chicago"/>
    <s v="IL"/>
    <x v="155"/>
    <x v="0"/>
  </r>
  <r>
    <x v="155"/>
    <x v="0"/>
    <x v="42"/>
    <s v="Chicago"/>
    <s v="IL"/>
    <x v="155"/>
    <x v="0"/>
  </r>
  <r>
    <x v="155"/>
    <x v="0"/>
    <x v="7"/>
    <s v="Chicago"/>
    <s v="IL"/>
    <x v="155"/>
    <x v="0"/>
  </r>
  <r>
    <x v="155"/>
    <x v="0"/>
    <x v="8"/>
    <s v="Chicago"/>
    <s v="IL"/>
    <x v="155"/>
    <x v="0"/>
  </r>
  <r>
    <x v="155"/>
    <x v="0"/>
    <x v="10"/>
    <s v="Chicago"/>
    <s v="IL"/>
    <x v="155"/>
    <x v="0"/>
  </r>
  <r>
    <x v="155"/>
    <x v="0"/>
    <x v="11"/>
    <s v="Chicago"/>
    <s v="IL"/>
    <x v="155"/>
    <x v="0"/>
  </r>
  <r>
    <x v="155"/>
    <x v="0"/>
    <x v="24"/>
    <s v="Chicago"/>
    <s v="IL"/>
    <x v="155"/>
    <x v="0"/>
  </r>
  <r>
    <x v="155"/>
    <x v="0"/>
    <x v="25"/>
    <s v="Chicago"/>
    <s v="IL"/>
    <x v="155"/>
    <x v="0"/>
  </r>
  <r>
    <x v="155"/>
    <x v="0"/>
    <x v="12"/>
    <s v="Chicago"/>
    <s v="IL"/>
    <x v="155"/>
    <x v="0"/>
  </r>
  <r>
    <x v="155"/>
    <x v="0"/>
    <x v="27"/>
    <s v="Chicago"/>
    <s v="IL"/>
    <x v="155"/>
    <x v="0"/>
  </r>
  <r>
    <x v="155"/>
    <x v="0"/>
    <x v="13"/>
    <s v="Chicago"/>
    <s v="IL"/>
    <x v="155"/>
    <x v="0"/>
  </r>
  <r>
    <x v="155"/>
    <x v="0"/>
    <x v="36"/>
    <s v="Chicago"/>
    <s v="IL"/>
    <x v="155"/>
    <x v="0"/>
  </r>
  <r>
    <x v="155"/>
    <x v="0"/>
    <x v="35"/>
    <s v="Chicago"/>
    <s v="IL"/>
    <x v="155"/>
    <x v="0"/>
  </r>
  <r>
    <x v="155"/>
    <x v="0"/>
    <x v="17"/>
    <s v="Chicago"/>
    <s v="IL"/>
    <x v="155"/>
    <x v="0"/>
  </r>
  <r>
    <x v="155"/>
    <x v="0"/>
    <x v="18"/>
    <s v="Chicago"/>
    <s v="IL"/>
    <x v="155"/>
    <x v="0"/>
  </r>
  <r>
    <x v="155"/>
    <x v="0"/>
    <x v="19"/>
    <s v="Chicago"/>
    <s v="IL"/>
    <x v="155"/>
    <x v="0"/>
  </r>
  <r>
    <x v="155"/>
    <x v="0"/>
    <x v="3"/>
    <s v="Chicago"/>
    <s v="IL"/>
    <x v="155"/>
    <x v="0"/>
  </r>
  <r>
    <x v="155"/>
    <x v="0"/>
    <x v="47"/>
    <s v="Chicago"/>
    <s v="IL"/>
    <x v="155"/>
    <x v="0"/>
  </r>
  <r>
    <x v="155"/>
    <x v="0"/>
    <x v="4"/>
    <s v="Chicago"/>
    <s v="IL"/>
    <x v="155"/>
    <x v="0"/>
  </r>
  <r>
    <x v="155"/>
    <x v="0"/>
    <x v="5"/>
    <s v="Chicago"/>
    <s v="IL"/>
    <x v="155"/>
    <x v="0"/>
  </r>
  <r>
    <x v="155"/>
    <x v="0"/>
    <x v="6"/>
    <s v="Chicago"/>
    <s v="IL"/>
    <x v="155"/>
    <x v="0"/>
  </r>
  <r>
    <x v="155"/>
    <x v="0"/>
    <x v="50"/>
    <s v="Chicago"/>
    <s v="IL"/>
    <x v="155"/>
    <x v="0"/>
  </r>
  <r>
    <x v="155"/>
    <x v="0"/>
    <x v="32"/>
    <s v="Chicago"/>
    <s v="IL"/>
    <x v="155"/>
    <x v="0"/>
  </r>
  <r>
    <x v="156"/>
    <x v="0"/>
    <x v="8"/>
    <s v="Chicago"/>
    <s v="IL"/>
    <x v="156"/>
    <x v="0"/>
  </r>
  <r>
    <x v="156"/>
    <x v="0"/>
    <x v="25"/>
    <s v="Chicago"/>
    <s v="IL"/>
    <x v="156"/>
    <x v="0"/>
  </r>
  <r>
    <x v="156"/>
    <x v="0"/>
    <x v="12"/>
    <s v="Chicago"/>
    <s v="IL"/>
    <x v="156"/>
    <x v="0"/>
  </r>
  <r>
    <x v="156"/>
    <x v="0"/>
    <x v="21"/>
    <s v="Chicago"/>
    <s v="IL"/>
    <x v="156"/>
    <x v="0"/>
  </r>
  <r>
    <x v="156"/>
    <x v="0"/>
    <x v="44"/>
    <s v="Chicago"/>
    <s v="IL"/>
    <x v="156"/>
    <x v="0"/>
  </r>
  <r>
    <x v="156"/>
    <x v="0"/>
    <x v="27"/>
    <s v="Chicago"/>
    <s v="IL"/>
    <x v="156"/>
    <x v="0"/>
  </r>
  <r>
    <x v="156"/>
    <x v="0"/>
    <x v="52"/>
    <s v="Chicago"/>
    <s v="IL"/>
    <x v="156"/>
    <x v="0"/>
  </r>
  <r>
    <x v="156"/>
    <x v="0"/>
    <x v="13"/>
    <s v="Chicago"/>
    <s v="IL"/>
    <x v="156"/>
    <x v="0"/>
  </r>
  <r>
    <x v="156"/>
    <x v="0"/>
    <x v="23"/>
    <s v="Chicago"/>
    <s v="IL"/>
    <x v="156"/>
    <x v="0"/>
  </r>
  <r>
    <x v="156"/>
    <x v="0"/>
    <x v="35"/>
    <s v="Chicago"/>
    <s v="IL"/>
    <x v="156"/>
    <x v="0"/>
  </r>
  <r>
    <x v="156"/>
    <x v="0"/>
    <x v="17"/>
    <s v="Chicago"/>
    <s v="IL"/>
    <x v="156"/>
    <x v="0"/>
  </r>
  <r>
    <x v="156"/>
    <x v="0"/>
    <x v="18"/>
    <s v="Chicago"/>
    <s v="IL"/>
    <x v="156"/>
    <x v="0"/>
  </r>
  <r>
    <x v="156"/>
    <x v="0"/>
    <x v="19"/>
    <s v="Chicago"/>
    <s v="IL"/>
    <x v="156"/>
    <x v="0"/>
  </r>
  <r>
    <x v="156"/>
    <x v="0"/>
    <x v="4"/>
    <s v="Chicago"/>
    <s v="IL"/>
    <x v="156"/>
    <x v="0"/>
  </r>
  <r>
    <x v="157"/>
    <x v="1"/>
    <x v="8"/>
    <s v="St. Louis"/>
    <s v="MO"/>
    <x v="157"/>
    <x v="41"/>
  </r>
  <r>
    <x v="157"/>
    <x v="1"/>
    <x v="25"/>
    <s v="St. Louis"/>
    <s v="MO"/>
    <x v="157"/>
    <x v="41"/>
  </r>
  <r>
    <x v="157"/>
    <x v="1"/>
    <x v="12"/>
    <s v="St. Louis"/>
    <s v="MO"/>
    <x v="157"/>
    <x v="41"/>
  </r>
  <r>
    <x v="157"/>
    <x v="1"/>
    <x v="36"/>
    <s v="St. Louis"/>
    <s v="MO"/>
    <x v="157"/>
    <x v="41"/>
  </r>
  <r>
    <x v="158"/>
    <x v="0"/>
    <x v="41"/>
    <s v="Belleville"/>
    <s v="IL"/>
    <x v="158"/>
    <x v="70"/>
  </r>
  <r>
    <x v="158"/>
    <x v="0"/>
    <x v="42"/>
    <s v="Belleville"/>
    <s v="IL"/>
    <x v="158"/>
    <x v="70"/>
  </r>
  <r>
    <x v="158"/>
    <x v="0"/>
    <x v="7"/>
    <s v="Belleville"/>
    <s v="IL"/>
    <x v="158"/>
    <x v="70"/>
  </r>
  <r>
    <x v="158"/>
    <x v="0"/>
    <x v="8"/>
    <s v="Belleville"/>
    <s v="IL"/>
    <x v="158"/>
    <x v="70"/>
  </r>
  <r>
    <x v="158"/>
    <x v="0"/>
    <x v="9"/>
    <s v="Belleville"/>
    <s v="IL"/>
    <x v="158"/>
    <x v="70"/>
  </r>
  <r>
    <x v="158"/>
    <x v="0"/>
    <x v="10"/>
    <s v="Belleville"/>
    <s v="IL"/>
    <x v="158"/>
    <x v="70"/>
  </r>
  <r>
    <x v="158"/>
    <x v="0"/>
    <x v="11"/>
    <s v="Belleville"/>
    <s v="IL"/>
    <x v="158"/>
    <x v="70"/>
  </r>
  <r>
    <x v="158"/>
    <x v="0"/>
    <x v="25"/>
    <s v="Belleville"/>
    <s v="IL"/>
    <x v="158"/>
    <x v="70"/>
  </r>
  <r>
    <x v="158"/>
    <x v="0"/>
    <x v="12"/>
    <s v="Belleville"/>
    <s v="IL"/>
    <x v="158"/>
    <x v="70"/>
  </r>
  <r>
    <x v="158"/>
    <x v="0"/>
    <x v="21"/>
    <s v="Belleville"/>
    <s v="IL"/>
    <x v="158"/>
    <x v="70"/>
  </r>
  <r>
    <x v="158"/>
    <x v="0"/>
    <x v="27"/>
    <s v="Belleville"/>
    <s v="IL"/>
    <x v="158"/>
    <x v="70"/>
  </r>
  <r>
    <x v="158"/>
    <x v="0"/>
    <x v="13"/>
    <s v="Belleville"/>
    <s v="IL"/>
    <x v="158"/>
    <x v="70"/>
  </r>
  <r>
    <x v="158"/>
    <x v="0"/>
    <x v="15"/>
    <s v="Belleville"/>
    <s v="IL"/>
    <x v="158"/>
    <x v="70"/>
  </r>
  <r>
    <x v="158"/>
    <x v="0"/>
    <x v="16"/>
    <s v="Belleville"/>
    <s v="IL"/>
    <x v="158"/>
    <x v="70"/>
  </r>
  <r>
    <x v="158"/>
    <x v="0"/>
    <x v="29"/>
    <s v="Belleville"/>
    <s v="IL"/>
    <x v="158"/>
    <x v="70"/>
  </r>
  <r>
    <x v="158"/>
    <x v="0"/>
    <x v="35"/>
    <s v="Belleville"/>
    <s v="IL"/>
    <x v="158"/>
    <x v="70"/>
  </r>
  <r>
    <x v="158"/>
    <x v="0"/>
    <x v="17"/>
    <s v="Belleville"/>
    <s v="IL"/>
    <x v="158"/>
    <x v="70"/>
  </r>
  <r>
    <x v="158"/>
    <x v="0"/>
    <x v="18"/>
    <s v="Belleville"/>
    <s v="IL"/>
    <x v="158"/>
    <x v="70"/>
  </r>
  <r>
    <x v="158"/>
    <x v="0"/>
    <x v="19"/>
    <s v="Belleville"/>
    <s v="IL"/>
    <x v="158"/>
    <x v="70"/>
  </r>
  <r>
    <x v="158"/>
    <x v="0"/>
    <x v="4"/>
    <s v="Belleville"/>
    <s v="IL"/>
    <x v="158"/>
    <x v="70"/>
  </r>
  <r>
    <x v="158"/>
    <x v="0"/>
    <x v="5"/>
    <s v="Belleville"/>
    <s v="IL"/>
    <x v="158"/>
    <x v="70"/>
  </r>
  <r>
    <x v="159"/>
    <x v="0"/>
    <x v="7"/>
    <s v="Chicago"/>
    <s v="IL"/>
    <x v="159"/>
    <x v="0"/>
  </r>
  <r>
    <x v="159"/>
    <x v="0"/>
    <x v="8"/>
    <s v="Chicago"/>
    <s v="IL"/>
    <x v="159"/>
    <x v="0"/>
  </r>
  <r>
    <x v="159"/>
    <x v="0"/>
    <x v="10"/>
    <s v="Chicago"/>
    <s v="IL"/>
    <x v="159"/>
    <x v="0"/>
  </r>
  <r>
    <x v="159"/>
    <x v="0"/>
    <x v="11"/>
    <s v="Chicago"/>
    <s v="IL"/>
    <x v="159"/>
    <x v="0"/>
  </r>
  <r>
    <x v="159"/>
    <x v="0"/>
    <x v="24"/>
    <s v="Chicago"/>
    <s v="IL"/>
    <x v="159"/>
    <x v="0"/>
  </r>
  <r>
    <x v="159"/>
    <x v="0"/>
    <x v="25"/>
    <s v="Chicago"/>
    <s v="IL"/>
    <x v="159"/>
    <x v="0"/>
  </r>
  <r>
    <x v="159"/>
    <x v="0"/>
    <x v="12"/>
    <s v="Chicago"/>
    <s v="IL"/>
    <x v="159"/>
    <x v="0"/>
  </r>
  <r>
    <x v="159"/>
    <x v="0"/>
    <x v="21"/>
    <s v="Chicago"/>
    <s v="IL"/>
    <x v="159"/>
    <x v="0"/>
  </r>
  <r>
    <x v="159"/>
    <x v="0"/>
    <x v="27"/>
    <s v="Chicago"/>
    <s v="IL"/>
    <x v="159"/>
    <x v="0"/>
  </r>
  <r>
    <x v="159"/>
    <x v="0"/>
    <x v="13"/>
    <s v="Chicago"/>
    <s v="IL"/>
    <x v="159"/>
    <x v="0"/>
  </r>
  <r>
    <x v="159"/>
    <x v="0"/>
    <x v="22"/>
    <s v="Chicago"/>
    <s v="IL"/>
    <x v="159"/>
    <x v="0"/>
  </r>
  <r>
    <x v="159"/>
    <x v="0"/>
    <x v="14"/>
    <s v="Chicago"/>
    <s v="IL"/>
    <x v="159"/>
    <x v="0"/>
  </r>
  <r>
    <x v="159"/>
    <x v="0"/>
    <x v="36"/>
    <s v="Chicago"/>
    <s v="IL"/>
    <x v="159"/>
    <x v="0"/>
  </r>
  <r>
    <x v="159"/>
    <x v="0"/>
    <x v="16"/>
    <s v="Chicago"/>
    <s v="IL"/>
    <x v="159"/>
    <x v="0"/>
  </r>
  <r>
    <x v="159"/>
    <x v="0"/>
    <x v="29"/>
    <s v="Chicago"/>
    <s v="IL"/>
    <x v="159"/>
    <x v="0"/>
  </r>
  <r>
    <x v="159"/>
    <x v="0"/>
    <x v="35"/>
    <s v="Chicago"/>
    <s v="IL"/>
    <x v="159"/>
    <x v="0"/>
  </r>
  <r>
    <x v="159"/>
    <x v="0"/>
    <x v="17"/>
    <s v="Chicago"/>
    <s v="IL"/>
    <x v="159"/>
    <x v="0"/>
  </r>
  <r>
    <x v="159"/>
    <x v="0"/>
    <x v="18"/>
    <s v="Chicago"/>
    <s v="IL"/>
    <x v="159"/>
    <x v="0"/>
  </r>
  <r>
    <x v="159"/>
    <x v="0"/>
    <x v="19"/>
    <s v="Chicago"/>
    <s v="IL"/>
    <x v="159"/>
    <x v="0"/>
  </r>
  <r>
    <x v="159"/>
    <x v="0"/>
    <x v="3"/>
    <s v="Chicago"/>
    <s v="IL"/>
    <x v="159"/>
    <x v="0"/>
  </r>
  <r>
    <x v="159"/>
    <x v="0"/>
    <x v="4"/>
    <s v="Chicago"/>
    <s v="IL"/>
    <x v="159"/>
    <x v="0"/>
  </r>
  <r>
    <x v="159"/>
    <x v="0"/>
    <x v="5"/>
    <s v="Chicago"/>
    <s v="IL"/>
    <x v="159"/>
    <x v="0"/>
  </r>
  <r>
    <x v="159"/>
    <x v="0"/>
    <x v="6"/>
    <s v="Chicago"/>
    <s v="IL"/>
    <x v="159"/>
    <x v="0"/>
  </r>
  <r>
    <x v="160"/>
    <x v="1"/>
    <x v="8"/>
    <s v="Springfield"/>
    <s v="IL"/>
    <x v="160"/>
    <x v="12"/>
  </r>
  <r>
    <x v="160"/>
    <x v="1"/>
    <x v="11"/>
    <s v="Springfield"/>
    <s v="IL"/>
    <x v="160"/>
    <x v="12"/>
  </r>
  <r>
    <x v="160"/>
    <x v="1"/>
    <x v="25"/>
    <s v="Springfield"/>
    <s v="IL"/>
    <x v="160"/>
    <x v="12"/>
  </r>
  <r>
    <x v="160"/>
    <x v="1"/>
    <x v="12"/>
    <s v="Springfield"/>
    <s v="IL"/>
    <x v="160"/>
    <x v="12"/>
  </r>
  <r>
    <x v="160"/>
    <x v="1"/>
    <x v="13"/>
    <s v="Springfield"/>
    <s v="IL"/>
    <x v="160"/>
    <x v="12"/>
  </r>
  <r>
    <x v="160"/>
    <x v="1"/>
    <x v="16"/>
    <s v="Springfield"/>
    <s v="IL"/>
    <x v="160"/>
    <x v="12"/>
  </r>
  <r>
    <x v="160"/>
    <x v="1"/>
    <x v="29"/>
    <s v="Springfield"/>
    <s v="IL"/>
    <x v="160"/>
    <x v="12"/>
  </r>
  <r>
    <x v="160"/>
    <x v="1"/>
    <x v="18"/>
    <s v="Springfield"/>
    <s v="IL"/>
    <x v="160"/>
    <x v="12"/>
  </r>
  <r>
    <x v="160"/>
    <x v="1"/>
    <x v="19"/>
    <s v="Springfield"/>
    <s v="IL"/>
    <x v="160"/>
    <x v="12"/>
  </r>
  <r>
    <x v="160"/>
    <x v="1"/>
    <x v="4"/>
    <s v="Springfield"/>
    <s v="IL"/>
    <x v="160"/>
    <x v="12"/>
  </r>
  <r>
    <x v="160"/>
    <x v="1"/>
    <x v="5"/>
    <s v="Springfield"/>
    <s v="IL"/>
    <x v="160"/>
    <x v="12"/>
  </r>
  <r>
    <x v="161"/>
    <x v="0"/>
    <x v="27"/>
    <s v="Babylon"/>
    <s v="NY"/>
    <x v="161"/>
    <x v="79"/>
  </r>
  <r>
    <x v="161"/>
    <x v="0"/>
    <x v="18"/>
    <s v="Babylon"/>
    <s v="NY"/>
    <x v="161"/>
    <x v="79"/>
  </r>
  <r>
    <x v="162"/>
    <x v="1"/>
    <x v="59"/>
    <s v="Northbrook"/>
    <s v="IL"/>
    <x v="162"/>
    <x v="50"/>
  </r>
  <r>
    <x v="162"/>
    <x v="1"/>
    <x v="41"/>
    <s v="Northbrook"/>
    <s v="IL"/>
    <x v="162"/>
    <x v="50"/>
  </r>
  <r>
    <x v="162"/>
    <x v="1"/>
    <x v="42"/>
    <s v="Northbrook"/>
    <s v="IL"/>
    <x v="162"/>
    <x v="50"/>
  </r>
  <r>
    <x v="163"/>
    <x v="1"/>
    <x v="59"/>
    <s v="Schaumburg"/>
    <s v="IL"/>
    <x v="163"/>
    <x v="15"/>
  </r>
  <r>
    <x v="163"/>
    <x v="1"/>
    <x v="41"/>
    <s v="Schaumburg"/>
    <s v="IL"/>
    <x v="163"/>
    <x v="15"/>
  </r>
  <r>
    <x v="163"/>
    <x v="1"/>
    <x v="42"/>
    <s v="Schaumburg"/>
    <s v="IL"/>
    <x v="163"/>
    <x v="15"/>
  </r>
  <r>
    <x v="163"/>
    <x v="1"/>
    <x v="43"/>
    <s v="Schaumburg"/>
    <s v="IL"/>
    <x v="163"/>
    <x v="15"/>
  </r>
  <r>
    <x v="163"/>
    <x v="1"/>
    <x v="7"/>
    <s v="Schaumburg"/>
    <s v="IL"/>
    <x v="163"/>
    <x v="15"/>
  </r>
  <r>
    <x v="163"/>
    <x v="1"/>
    <x v="8"/>
    <s v="Schaumburg"/>
    <s v="IL"/>
    <x v="163"/>
    <x v="15"/>
  </r>
  <r>
    <x v="163"/>
    <x v="1"/>
    <x v="10"/>
    <s v="Schaumburg"/>
    <s v="IL"/>
    <x v="163"/>
    <x v="15"/>
  </r>
  <r>
    <x v="163"/>
    <x v="1"/>
    <x v="11"/>
    <s v="Schaumburg"/>
    <s v="IL"/>
    <x v="163"/>
    <x v="15"/>
  </r>
  <r>
    <x v="163"/>
    <x v="1"/>
    <x v="25"/>
    <s v="Schaumburg"/>
    <s v="IL"/>
    <x v="163"/>
    <x v="15"/>
  </r>
  <r>
    <x v="163"/>
    <x v="1"/>
    <x v="12"/>
    <s v="Schaumburg"/>
    <s v="IL"/>
    <x v="163"/>
    <x v="15"/>
  </r>
  <r>
    <x v="163"/>
    <x v="1"/>
    <x v="56"/>
    <s v="Schaumburg"/>
    <s v="IL"/>
    <x v="163"/>
    <x v="15"/>
  </r>
  <r>
    <x v="163"/>
    <x v="1"/>
    <x v="55"/>
    <s v="Schaumburg"/>
    <s v="IL"/>
    <x v="163"/>
    <x v="15"/>
  </r>
  <r>
    <x v="163"/>
    <x v="1"/>
    <x v="13"/>
    <s v="Schaumburg"/>
    <s v="IL"/>
    <x v="163"/>
    <x v="15"/>
  </r>
  <r>
    <x v="163"/>
    <x v="1"/>
    <x v="20"/>
    <s v="Schaumburg"/>
    <s v="IL"/>
    <x v="163"/>
    <x v="15"/>
  </r>
  <r>
    <x v="163"/>
    <x v="1"/>
    <x v="53"/>
    <s v="Schaumburg"/>
    <s v="IL"/>
    <x v="163"/>
    <x v="15"/>
  </r>
  <r>
    <x v="163"/>
    <x v="1"/>
    <x v="15"/>
    <s v="Schaumburg"/>
    <s v="IL"/>
    <x v="163"/>
    <x v="15"/>
  </r>
  <r>
    <x v="163"/>
    <x v="1"/>
    <x v="28"/>
    <s v="Schaumburg"/>
    <s v="IL"/>
    <x v="163"/>
    <x v="15"/>
  </r>
  <r>
    <x v="163"/>
    <x v="1"/>
    <x v="29"/>
    <s v="Schaumburg"/>
    <s v="IL"/>
    <x v="163"/>
    <x v="15"/>
  </r>
  <r>
    <x v="163"/>
    <x v="1"/>
    <x v="19"/>
    <s v="Schaumburg"/>
    <s v="IL"/>
    <x v="163"/>
    <x v="15"/>
  </r>
  <r>
    <x v="163"/>
    <x v="1"/>
    <x v="4"/>
    <s v="Schaumburg"/>
    <s v="IL"/>
    <x v="163"/>
    <x v="15"/>
  </r>
  <r>
    <x v="163"/>
    <x v="1"/>
    <x v="5"/>
    <s v="Schaumburg"/>
    <s v="IL"/>
    <x v="163"/>
    <x v="15"/>
  </r>
  <r>
    <x v="163"/>
    <x v="1"/>
    <x v="32"/>
    <s v="Schaumburg"/>
    <s v="IL"/>
    <x v="163"/>
    <x v="15"/>
  </r>
  <r>
    <x v="164"/>
    <x v="0"/>
    <x v="0"/>
    <s v="Chicago"/>
    <s v="IL"/>
    <x v="164"/>
    <x v="0"/>
  </r>
  <r>
    <x v="165"/>
    <x v="1"/>
    <x v="13"/>
    <s v="Elgin"/>
    <s v="IL"/>
    <x v="165"/>
    <x v="80"/>
  </r>
  <r>
    <x v="166"/>
    <x v="1"/>
    <x v="13"/>
    <s v="Chicago"/>
    <s v="IL"/>
    <x v="166"/>
    <x v="0"/>
  </r>
  <r>
    <x v="167"/>
    <x v="0"/>
    <x v="33"/>
    <s v="Chicago"/>
    <s v="IL"/>
    <x v="167"/>
    <x v="0"/>
  </r>
  <r>
    <x v="167"/>
    <x v="0"/>
    <x v="34"/>
    <s v="Chicago"/>
    <s v="IL"/>
    <x v="167"/>
    <x v="0"/>
  </r>
  <r>
    <x v="167"/>
    <x v="0"/>
    <x v="37"/>
    <s v="Chicago"/>
    <s v="IL"/>
    <x v="167"/>
    <x v="0"/>
  </r>
  <r>
    <x v="167"/>
    <x v="0"/>
    <x v="38"/>
    <s v="Chicago"/>
    <s v="IL"/>
    <x v="167"/>
    <x v="0"/>
  </r>
  <r>
    <x v="167"/>
    <x v="0"/>
    <x v="39"/>
    <s v="Chicago"/>
    <s v="IL"/>
    <x v="167"/>
    <x v="0"/>
  </r>
  <r>
    <x v="167"/>
    <x v="0"/>
    <x v="40"/>
    <s v="Chicago"/>
    <s v="IL"/>
    <x v="167"/>
    <x v="0"/>
  </r>
  <r>
    <x v="167"/>
    <x v="0"/>
    <x v="59"/>
    <s v="Chicago"/>
    <s v="IL"/>
    <x v="167"/>
    <x v="0"/>
  </r>
  <r>
    <x v="167"/>
    <x v="0"/>
    <x v="41"/>
    <s v="Chicago"/>
    <s v="IL"/>
    <x v="167"/>
    <x v="0"/>
  </r>
  <r>
    <x v="167"/>
    <x v="0"/>
    <x v="42"/>
    <s v="Chicago"/>
    <s v="IL"/>
    <x v="167"/>
    <x v="0"/>
  </r>
  <r>
    <x v="167"/>
    <x v="0"/>
    <x v="43"/>
    <s v="Chicago"/>
    <s v="IL"/>
    <x v="167"/>
    <x v="0"/>
  </r>
  <r>
    <x v="167"/>
    <x v="0"/>
    <x v="7"/>
    <s v="Chicago"/>
    <s v="IL"/>
    <x v="167"/>
    <x v="0"/>
  </r>
  <r>
    <x v="167"/>
    <x v="0"/>
    <x v="8"/>
    <s v="Chicago"/>
    <s v="IL"/>
    <x v="167"/>
    <x v="0"/>
  </r>
  <r>
    <x v="167"/>
    <x v="0"/>
    <x v="9"/>
    <s v="Chicago"/>
    <s v="IL"/>
    <x v="167"/>
    <x v="0"/>
  </r>
  <r>
    <x v="167"/>
    <x v="0"/>
    <x v="10"/>
    <s v="Chicago"/>
    <s v="IL"/>
    <x v="167"/>
    <x v="0"/>
  </r>
  <r>
    <x v="167"/>
    <x v="0"/>
    <x v="11"/>
    <s v="Chicago"/>
    <s v="IL"/>
    <x v="167"/>
    <x v="0"/>
  </r>
  <r>
    <x v="167"/>
    <x v="0"/>
    <x v="24"/>
    <s v="Chicago"/>
    <s v="IL"/>
    <x v="167"/>
    <x v="0"/>
  </r>
  <r>
    <x v="167"/>
    <x v="0"/>
    <x v="25"/>
    <s v="Chicago"/>
    <s v="IL"/>
    <x v="167"/>
    <x v="0"/>
  </r>
  <r>
    <x v="167"/>
    <x v="0"/>
    <x v="12"/>
    <s v="Chicago"/>
    <s v="IL"/>
    <x v="167"/>
    <x v="0"/>
  </r>
  <r>
    <x v="167"/>
    <x v="0"/>
    <x v="26"/>
    <s v="Chicago"/>
    <s v="IL"/>
    <x v="167"/>
    <x v="0"/>
  </r>
  <r>
    <x v="167"/>
    <x v="0"/>
    <x v="21"/>
    <s v="Chicago"/>
    <s v="IL"/>
    <x v="167"/>
    <x v="0"/>
  </r>
  <r>
    <x v="167"/>
    <x v="0"/>
    <x v="44"/>
    <s v="Chicago"/>
    <s v="IL"/>
    <x v="167"/>
    <x v="0"/>
  </r>
  <r>
    <x v="167"/>
    <x v="0"/>
    <x v="27"/>
    <s v="Chicago"/>
    <s v="IL"/>
    <x v="167"/>
    <x v="0"/>
  </r>
  <r>
    <x v="167"/>
    <x v="0"/>
    <x v="13"/>
    <s v="Chicago"/>
    <s v="IL"/>
    <x v="167"/>
    <x v="0"/>
  </r>
  <r>
    <x v="167"/>
    <x v="0"/>
    <x v="22"/>
    <s v="Chicago"/>
    <s v="IL"/>
    <x v="167"/>
    <x v="0"/>
  </r>
  <r>
    <x v="167"/>
    <x v="0"/>
    <x v="14"/>
    <s v="Chicago"/>
    <s v="IL"/>
    <x v="167"/>
    <x v="0"/>
  </r>
  <r>
    <x v="167"/>
    <x v="0"/>
    <x v="23"/>
    <s v="Chicago"/>
    <s v="IL"/>
    <x v="167"/>
    <x v="0"/>
  </r>
  <r>
    <x v="167"/>
    <x v="0"/>
    <x v="15"/>
    <s v="Chicago"/>
    <s v="IL"/>
    <x v="167"/>
    <x v="0"/>
  </r>
  <r>
    <x v="167"/>
    <x v="0"/>
    <x v="36"/>
    <s v="Chicago"/>
    <s v="IL"/>
    <x v="167"/>
    <x v="0"/>
  </r>
  <r>
    <x v="167"/>
    <x v="0"/>
    <x v="16"/>
    <s v="Chicago"/>
    <s v="IL"/>
    <x v="167"/>
    <x v="0"/>
  </r>
  <r>
    <x v="167"/>
    <x v="0"/>
    <x v="35"/>
    <s v="Chicago"/>
    <s v="IL"/>
    <x v="167"/>
    <x v="0"/>
  </r>
  <r>
    <x v="167"/>
    <x v="0"/>
    <x v="17"/>
    <s v="Chicago"/>
    <s v="IL"/>
    <x v="167"/>
    <x v="0"/>
  </r>
  <r>
    <x v="167"/>
    <x v="0"/>
    <x v="18"/>
    <s v="Chicago"/>
    <s v="IL"/>
    <x v="167"/>
    <x v="0"/>
  </r>
  <r>
    <x v="167"/>
    <x v="0"/>
    <x v="19"/>
    <s v="Chicago"/>
    <s v="IL"/>
    <x v="167"/>
    <x v="0"/>
  </r>
  <r>
    <x v="167"/>
    <x v="0"/>
    <x v="3"/>
    <s v="Chicago"/>
    <s v="IL"/>
    <x v="167"/>
    <x v="0"/>
  </r>
  <r>
    <x v="167"/>
    <x v="0"/>
    <x v="47"/>
    <s v="Chicago"/>
    <s v="IL"/>
    <x v="167"/>
    <x v="0"/>
  </r>
  <r>
    <x v="167"/>
    <x v="0"/>
    <x v="4"/>
    <s v="Chicago"/>
    <s v="IL"/>
    <x v="167"/>
    <x v="0"/>
  </r>
  <r>
    <x v="167"/>
    <x v="0"/>
    <x v="5"/>
    <s v="Chicago"/>
    <s v="IL"/>
    <x v="167"/>
    <x v="0"/>
  </r>
  <r>
    <x v="167"/>
    <x v="0"/>
    <x v="48"/>
    <s v="Chicago"/>
    <s v="IL"/>
    <x v="167"/>
    <x v="0"/>
  </r>
  <r>
    <x v="167"/>
    <x v="0"/>
    <x v="6"/>
    <s v="Chicago"/>
    <s v="IL"/>
    <x v="167"/>
    <x v="0"/>
  </r>
  <r>
    <x v="167"/>
    <x v="0"/>
    <x v="49"/>
    <s v="Chicago"/>
    <s v="IL"/>
    <x v="167"/>
    <x v="0"/>
  </r>
  <r>
    <x v="167"/>
    <x v="0"/>
    <x v="50"/>
    <s v="Chicago"/>
    <s v="IL"/>
    <x v="167"/>
    <x v="0"/>
  </r>
  <r>
    <x v="167"/>
    <x v="0"/>
    <x v="32"/>
    <s v="Chicago"/>
    <s v="IL"/>
    <x v="167"/>
    <x v="0"/>
  </r>
  <r>
    <x v="167"/>
    <x v="0"/>
    <x v="51"/>
    <s v="Chicago"/>
    <s v="IL"/>
    <x v="167"/>
    <x v="0"/>
  </r>
  <r>
    <x v="168"/>
    <x v="0"/>
    <x v="33"/>
    <s v="Elgin"/>
    <s v="IL"/>
    <x v="168"/>
    <x v="80"/>
  </r>
  <r>
    <x v="168"/>
    <x v="0"/>
    <x v="39"/>
    <s v="Elgin"/>
    <s v="IL"/>
    <x v="168"/>
    <x v="80"/>
  </r>
  <r>
    <x v="168"/>
    <x v="0"/>
    <x v="7"/>
    <s v="Elgin"/>
    <s v="IL"/>
    <x v="168"/>
    <x v="80"/>
  </r>
  <r>
    <x v="168"/>
    <x v="0"/>
    <x v="8"/>
    <s v="Elgin"/>
    <s v="IL"/>
    <x v="168"/>
    <x v="80"/>
  </r>
  <r>
    <x v="168"/>
    <x v="0"/>
    <x v="9"/>
    <s v="Elgin"/>
    <s v="IL"/>
    <x v="168"/>
    <x v="80"/>
  </r>
  <r>
    <x v="168"/>
    <x v="0"/>
    <x v="10"/>
    <s v="Elgin"/>
    <s v="IL"/>
    <x v="168"/>
    <x v="80"/>
  </r>
  <r>
    <x v="168"/>
    <x v="0"/>
    <x v="11"/>
    <s v="Elgin"/>
    <s v="IL"/>
    <x v="168"/>
    <x v="80"/>
  </r>
  <r>
    <x v="168"/>
    <x v="0"/>
    <x v="24"/>
    <s v="Elgin"/>
    <s v="IL"/>
    <x v="168"/>
    <x v="80"/>
  </r>
  <r>
    <x v="168"/>
    <x v="0"/>
    <x v="25"/>
    <s v="Elgin"/>
    <s v="IL"/>
    <x v="168"/>
    <x v="80"/>
  </r>
  <r>
    <x v="168"/>
    <x v="0"/>
    <x v="12"/>
    <s v="Elgin"/>
    <s v="IL"/>
    <x v="168"/>
    <x v="80"/>
  </r>
  <r>
    <x v="168"/>
    <x v="0"/>
    <x v="27"/>
    <s v="Elgin"/>
    <s v="IL"/>
    <x v="168"/>
    <x v="80"/>
  </r>
  <r>
    <x v="168"/>
    <x v="0"/>
    <x v="56"/>
    <s v="Elgin"/>
    <s v="IL"/>
    <x v="168"/>
    <x v="80"/>
  </r>
  <r>
    <x v="168"/>
    <x v="0"/>
    <x v="13"/>
    <s v="Elgin"/>
    <s v="IL"/>
    <x v="168"/>
    <x v="80"/>
  </r>
  <r>
    <x v="168"/>
    <x v="0"/>
    <x v="22"/>
    <s v="Elgin"/>
    <s v="IL"/>
    <x v="168"/>
    <x v="80"/>
  </r>
  <r>
    <x v="168"/>
    <x v="0"/>
    <x v="14"/>
    <s v="Elgin"/>
    <s v="IL"/>
    <x v="168"/>
    <x v="80"/>
  </r>
  <r>
    <x v="168"/>
    <x v="0"/>
    <x v="53"/>
    <s v="Elgin"/>
    <s v="IL"/>
    <x v="168"/>
    <x v="80"/>
  </r>
  <r>
    <x v="168"/>
    <x v="0"/>
    <x v="16"/>
    <s v="Elgin"/>
    <s v="IL"/>
    <x v="168"/>
    <x v="80"/>
  </r>
  <r>
    <x v="168"/>
    <x v="0"/>
    <x v="29"/>
    <s v="Elgin"/>
    <s v="IL"/>
    <x v="168"/>
    <x v="80"/>
  </r>
  <r>
    <x v="168"/>
    <x v="0"/>
    <x v="35"/>
    <s v="Elgin"/>
    <s v="IL"/>
    <x v="168"/>
    <x v="80"/>
  </r>
  <r>
    <x v="168"/>
    <x v="0"/>
    <x v="17"/>
    <s v="Elgin"/>
    <s v="IL"/>
    <x v="168"/>
    <x v="80"/>
  </r>
  <r>
    <x v="168"/>
    <x v="0"/>
    <x v="46"/>
    <s v="Elgin"/>
    <s v="IL"/>
    <x v="168"/>
    <x v="80"/>
  </r>
  <r>
    <x v="168"/>
    <x v="0"/>
    <x v="18"/>
    <s v="Elgin"/>
    <s v="IL"/>
    <x v="168"/>
    <x v="80"/>
  </r>
  <r>
    <x v="168"/>
    <x v="0"/>
    <x v="19"/>
    <s v="Elgin"/>
    <s v="IL"/>
    <x v="168"/>
    <x v="80"/>
  </r>
  <r>
    <x v="168"/>
    <x v="0"/>
    <x v="1"/>
    <s v="Elgin"/>
    <s v="IL"/>
    <x v="168"/>
    <x v="80"/>
  </r>
  <r>
    <x v="168"/>
    <x v="0"/>
    <x v="30"/>
    <s v="Elgin"/>
    <s v="IL"/>
    <x v="168"/>
    <x v="80"/>
  </r>
  <r>
    <x v="168"/>
    <x v="0"/>
    <x v="2"/>
    <s v="Elgin"/>
    <s v="IL"/>
    <x v="168"/>
    <x v="80"/>
  </r>
  <r>
    <x v="168"/>
    <x v="0"/>
    <x v="3"/>
    <s v="Elgin"/>
    <s v="IL"/>
    <x v="168"/>
    <x v="80"/>
  </r>
  <r>
    <x v="168"/>
    <x v="0"/>
    <x v="4"/>
    <s v="Elgin"/>
    <s v="IL"/>
    <x v="168"/>
    <x v="80"/>
  </r>
  <r>
    <x v="168"/>
    <x v="0"/>
    <x v="5"/>
    <s v="Elgin"/>
    <s v="IL"/>
    <x v="168"/>
    <x v="80"/>
  </r>
  <r>
    <x v="169"/>
    <x v="0"/>
    <x v="8"/>
    <s v="Westchester"/>
    <s v="IL"/>
    <x v="169"/>
    <x v="81"/>
  </r>
  <r>
    <x v="169"/>
    <x v="0"/>
    <x v="25"/>
    <s v="Westchester"/>
    <s v="IL"/>
    <x v="169"/>
    <x v="81"/>
  </r>
  <r>
    <x v="169"/>
    <x v="0"/>
    <x v="12"/>
    <s v="Westchester"/>
    <s v="IL"/>
    <x v="169"/>
    <x v="81"/>
  </r>
  <r>
    <x v="169"/>
    <x v="0"/>
    <x v="13"/>
    <s v="Westchester"/>
    <s v="IL"/>
    <x v="169"/>
    <x v="81"/>
  </r>
  <r>
    <x v="169"/>
    <x v="0"/>
    <x v="16"/>
    <s v="Westchester"/>
    <s v="IL"/>
    <x v="169"/>
    <x v="81"/>
  </r>
  <r>
    <x v="169"/>
    <x v="0"/>
    <x v="18"/>
    <s v="Westchester"/>
    <s v="IL"/>
    <x v="169"/>
    <x v="81"/>
  </r>
  <r>
    <x v="169"/>
    <x v="0"/>
    <x v="19"/>
    <s v="Westchester"/>
    <s v="IL"/>
    <x v="169"/>
    <x v="81"/>
  </r>
  <r>
    <x v="170"/>
    <x v="0"/>
    <x v="33"/>
    <s v="Springfield"/>
    <s v="IL"/>
    <x v="170"/>
    <x v="12"/>
  </r>
  <r>
    <x v="170"/>
    <x v="0"/>
    <x v="61"/>
    <s v="Springfield"/>
    <s v="IL"/>
    <x v="170"/>
    <x v="12"/>
  </r>
  <r>
    <x v="170"/>
    <x v="0"/>
    <x v="34"/>
    <s v="Springfield"/>
    <s v="IL"/>
    <x v="170"/>
    <x v="12"/>
  </r>
  <r>
    <x v="170"/>
    <x v="0"/>
    <x v="37"/>
    <s v="Springfield"/>
    <s v="IL"/>
    <x v="170"/>
    <x v="12"/>
  </r>
  <r>
    <x v="170"/>
    <x v="0"/>
    <x v="38"/>
    <s v="Springfield"/>
    <s v="IL"/>
    <x v="170"/>
    <x v="12"/>
  </r>
  <r>
    <x v="170"/>
    <x v="0"/>
    <x v="39"/>
    <s v="Springfield"/>
    <s v="IL"/>
    <x v="170"/>
    <x v="12"/>
  </r>
  <r>
    <x v="170"/>
    <x v="0"/>
    <x v="40"/>
    <s v="Springfield"/>
    <s v="IL"/>
    <x v="170"/>
    <x v="12"/>
  </r>
  <r>
    <x v="170"/>
    <x v="0"/>
    <x v="59"/>
    <s v="Springfield"/>
    <s v="IL"/>
    <x v="170"/>
    <x v="12"/>
  </r>
  <r>
    <x v="170"/>
    <x v="0"/>
    <x v="41"/>
    <s v="Springfield"/>
    <s v="IL"/>
    <x v="170"/>
    <x v="12"/>
  </r>
  <r>
    <x v="170"/>
    <x v="0"/>
    <x v="42"/>
    <s v="Springfield"/>
    <s v="IL"/>
    <x v="170"/>
    <x v="12"/>
  </r>
  <r>
    <x v="170"/>
    <x v="0"/>
    <x v="7"/>
    <s v="Springfield"/>
    <s v="IL"/>
    <x v="170"/>
    <x v="12"/>
  </r>
  <r>
    <x v="170"/>
    <x v="0"/>
    <x v="8"/>
    <s v="Springfield"/>
    <s v="IL"/>
    <x v="170"/>
    <x v="12"/>
  </r>
  <r>
    <x v="170"/>
    <x v="0"/>
    <x v="9"/>
    <s v="Springfield"/>
    <s v="IL"/>
    <x v="170"/>
    <x v="12"/>
  </r>
  <r>
    <x v="170"/>
    <x v="0"/>
    <x v="10"/>
    <s v="Springfield"/>
    <s v="IL"/>
    <x v="170"/>
    <x v="12"/>
  </r>
  <r>
    <x v="170"/>
    <x v="0"/>
    <x v="60"/>
    <s v="Springfield"/>
    <s v="IL"/>
    <x v="170"/>
    <x v="12"/>
  </r>
  <r>
    <x v="170"/>
    <x v="0"/>
    <x v="11"/>
    <s v="Springfield"/>
    <s v="IL"/>
    <x v="170"/>
    <x v="12"/>
  </r>
  <r>
    <x v="170"/>
    <x v="0"/>
    <x v="24"/>
    <s v="Springfield"/>
    <s v="IL"/>
    <x v="170"/>
    <x v="12"/>
  </r>
  <r>
    <x v="170"/>
    <x v="0"/>
    <x v="25"/>
    <s v="Springfield"/>
    <s v="IL"/>
    <x v="170"/>
    <x v="12"/>
  </r>
  <r>
    <x v="170"/>
    <x v="0"/>
    <x v="12"/>
    <s v="Springfield"/>
    <s v="IL"/>
    <x v="170"/>
    <x v="12"/>
  </r>
  <r>
    <x v="170"/>
    <x v="0"/>
    <x v="21"/>
    <s v="Springfield"/>
    <s v="IL"/>
    <x v="170"/>
    <x v="12"/>
  </r>
  <r>
    <x v="170"/>
    <x v="0"/>
    <x v="44"/>
    <s v="Springfield"/>
    <s v="IL"/>
    <x v="170"/>
    <x v="12"/>
  </r>
  <r>
    <x v="170"/>
    <x v="0"/>
    <x v="27"/>
    <s v="Springfield"/>
    <s v="IL"/>
    <x v="170"/>
    <x v="12"/>
  </r>
  <r>
    <x v="170"/>
    <x v="0"/>
    <x v="13"/>
    <s v="Springfield"/>
    <s v="IL"/>
    <x v="170"/>
    <x v="12"/>
  </r>
  <r>
    <x v="170"/>
    <x v="0"/>
    <x v="22"/>
    <s v="Springfield"/>
    <s v="IL"/>
    <x v="170"/>
    <x v="12"/>
  </r>
  <r>
    <x v="170"/>
    <x v="0"/>
    <x v="23"/>
    <s v="Springfield"/>
    <s v="IL"/>
    <x v="170"/>
    <x v="12"/>
  </r>
  <r>
    <x v="170"/>
    <x v="0"/>
    <x v="15"/>
    <s v="Springfield"/>
    <s v="IL"/>
    <x v="170"/>
    <x v="12"/>
  </r>
  <r>
    <x v="170"/>
    <x v="0"/>
    <x v="36"/>
    <s v="Springfield"/>
    <s v="IL"/>
    <x v="170"/>
    <x v="12"/>
  </r>
  <r>
    <x v="170"/>
    <x v="0"/>
    <x v="16"/>
    <s v="Springfield"/>
    <s v="IL"/>
    <x v="170"/>
    <x v="12"/>
  </r>
  <r>
    <x v="170"/>
    <x v="0"/>
    <x v="29"/>
    <s v="Springfield"/>
    <s v="IL"/>
    <x v="170"/>
    <x v="12"/>
  </r>
  <r>
    <x v="170"/>
    <x v="0"/>
    <x v="35"/>
    <s v="Springfield"/>
    <s v="IL"/>
    <x v="170"/>
    <x v="12"/>
  </r>
  <r>
    <x v="170"/>
    <x v="0"/>
    <x v="17"/>
    <s v="Springfield"/>
    <s v="IL"/>
    <x v="170"/>
    <x v="12"/>
  </r>
  <r>
    <x v="170"/>
    <x v="0"/>
    <x v="18"/>
    <s v="Springfield"/>
    <s v="IL"/>
    <x v="170"/>
    <x v="12"/>
  </r>
  <r>
    <x v="170"/>
    <x v="0"/>
    <x v="19"/>
    <s v="Springfield"/>
    <s v="IL"/>
    <x v="170"/>
    <x v="12"/>
  </r>
  <r>
    <x v="170"/>
    <x v="0"/>
    <x v="1"/>
    <s v="Springfield"/>
    <s v="IL"/>
    <x v="170"/>
    <x v="12"/>
  </r>
  <r>
    <x v="170"/>
    <x v="0"/>
    <x v="30"/>
    <s v="Springfield"/>
    <s v="IL"/>
    <x v="170"/>
    <x v="12"/>
  </r>
  <r>
    <x v="170"/>
    <x v="0"/>
    <x v="31"/>
    <s v="Springfield"/>
    <s v="IL"/>
    <x v="170"/>
    <x v="12"/>
  </r>
  <r>
    <x v="170"/>
    <x v="0"/>
    <x v="2"/>
    <s v="Springfield"/>
    <s v="IL"/>
    <x v="170"/>
    <x v="12"/>
  </r>
  <r>
    <x v="170"/>
    <x v="0"/>
    <x v="3"/>
    <s v="Springfield"/>
    <s v="IL"/>
    <x v="170"/>
    <x v="12"/>
  </r>
  <r>
    <x v="170"/>
    <x v="0"/>
    <x v="47"/>
    <s v="Springfield"/>
    <s v="IL"/>
    <x v="170"/>
    <x v="12"/>
  </r>
  <r>
    <x v="170"/>
    <x v="0"/>
    <x v="4"/>
    <s v="Springfield"/>
    <s v="IL"/>
    <x v="170"/>
    <x v="12"/>
  </r>
  <r>
    <x v="170"/>
    <x v="0"/>
    <x v="5"/>
    <s v="Springfield"/>
    <s v="IL"/>
    <x v="170"/>
    <x v="12"/>
  </r>
  <r>
    <x v="170"/>
    <x v="0"/>
    <x v="6"/>
    <s v="Springfield"/>
    <s v="IL"/>
    <x v="170"/>
    <x v="12"/>
  </r>
  <r>
    <x v="170"/>
    <x v="0"/>
    <x v="49"/>
    <s v="Springfield"/>
    <s v="IL"/>
    <x v="170"/>
    <x v="12"/>
  </r>
  <r>
    <x v="170"/>
    <x v="0"/>
    <x v="50"/>
    <s v="Springfield"/>
    <s v="IL"/>
    <x v="170"/>
    <x v="12"/>
  </r>
  <r>
    <x v="170"/>
    <x v="0"/>
    <x v="32"/>
    <s v="Springfield"/>
    <s v="IL"/>
    <x v="170"/>
    <x v="12"/>
  </r>
  <r>
    <x v="170"/>
    <x v="0"/>
    <x v="51"/>
    <s v="Springfield"/>
    <s v="IL"/>
    <x v="170"/>
    <x v="12"/>
  </r>
  <r>
    <x v="171"/>
    <x v="0"/>
    <x v="8"/>
    <s v="New York"/>
    <s v="NY"/>
    <x v="171"/>
    <x v="82"/>
  </r>
  <r>
    <x v="171"/>
    <x v="0"/>
    <x v="3"/>
    <s v="New York"/>
    <s v="NY"/>
    <x v="171"/>
    <x v="82"/>
  </r>
  <r>
    <x v="171"/>
    <x v="0"/>
    <x v="47"/>
    <s v="New York"/>
    <s v="NY"/>
    <x v="171"/>
    <x v="82"/>
  </r>
  <r>
    <x v="171"/>
    <x v="0"/>
    <x v="4"/>
    <s v="New York"/>
    <s v="NY"/>
    <x v="171"/>
    <x v="82"/>
  </r>
  <r>
    <x v="171"/>
    <x v="0"/>
    <x v="5"/>
    <s v="New York"/>
    <s v="NY"/>
    <x v="171"/>
    <x v="82"/>
  </r>
  <r>
    <x v="171"/>
    <x v="0"/>
    <x v="48"/>
    <s v="New York"/>
    <s v="NY"/>
    <x v="171"/>
    <x v="82"/>
  </r>
  <r>
    <x v="171"/>
    <x v="0"/>
    <x v="6"/>
    <s v="New York"/>
    <s v="NY"/>
    <x v="171"/>
    <x v="82"/>
  </r>
  <r>
    <x v="171"/>
    <x v="0"/>
    <x v="49"/>
    <s v="New York"/>
    <s v="NY"/>
    <x v="171"/>
    <x v="82"/>
  </r>
  <r>
    <x v="172"/>
    <x v="0"/>
    <x v="8"/>
    <s v="Chicago"/>
    <s v="IL"/>
    <x v="172"/>
    <x v="0"/>
  </r>
  <r>
    <x v="172"/>
    <x v="0"/>
    <x v="9"/>
    <s v="Chicago"/>
    <s v="IL"/>
    <x v="172"/>
    <x v="0"/>
  </r>
  <r>
    <x v="172"/>
    <x v="0"/>
    <x v="10"/>
    <s v="Chicago"/>
    <s v="IL"/>
    <x v="172"/>
    <x v="0"/>
  </r>
  <r>
    <x v="172"/>
    <x v="0"/>
    <x v="11"/>
    <s v="Chicago"/>
    <s v="IL"/>
    <x v="172"/>
    <x v="0"/>
  </r>
  <r>
    <x v="172"/>
    <x v="0"/>
    <x v="25"/>
    <s v="Chicago"/>
    <s v="IL"/>
    <x v="172"/>
    <x v="0"/>
  </r>
  <r>
    <x v="172"/>
    <x v="0"/>
    <x v="13"/>
    <s v="Chicago"/>
    <s v="IL"/>
    <x v="172"/>
    <x v="0"/>
  </r>
  <r>
    <x v="172"/>
    <x v="0"/>
    <x v="28"/>
    <s v="Chicago"/>
    <s v="IL"/>
    <x v="172"/>
    <x v="0"/>
  </r>
  <r>
    <x v="172"/>
    <x v="0"/>
    <x v="29"/>
    <s v="Chicago"/>
    <s v="IL"/>
    <x v="172"/>
    <x v="0"/>
  </r>
  <r>
    <x v="172"/>
    <x v="0"/>
    <x v="4"/>
    <s v="Chicago"/>
    <s v="IL"/>
    <x v="172"/>
    <x v="0"/>
  </r>
  <r>
    <x v="173"/>
    <x v="1"/>
    <x v="7"/>
    <s v="Hillside"/>
    <s v="IL"/>
    <x v="173"/>
    <x v="83"/>
  </r>
  <r>
    <x v="173"/>
    <x v="1"/>
    <x v="8"/>
    <s v="Hillside"/>
    <s v="IL"/>
    <x v="173"/>
    <x v="83"/>
  </r>
  <r>
    <x v="173"/>
    <x v="1"/>
    <x v="11"/>
    <s v="Hillside"/>
    <s v="IL"/>
    <x v="173"/>
    <x v="83"/>
  </r>
  <r>
    <x v="173"/>
    <x v="1"/>
    <x v="25"/>
    <s v="Hillside"/>
    <s v="IL"/>
    <x v="173"/>
    <x v="83"/>
  </r>
  <r>
    <x v="173"/>
    <x v="1"/>
    <x v="12"/>
    <s v="Hillside"/>
    <s v="IL"/>
    <x v="173"/>
    <x v="83"/>
  </r>
  <r>
    <x v="173"/>
    <x v="1"/>
    <x v="13"/>
    <s v="Hillside"/>
    <s v="IL"/>
    <x v="173"/>
    <x v="83"/>
  </r>
  <r>
    <x v="173"/>
    <x v="1"/>
    <x v="19"/>
    <s v="Hillside"/>
    <s v="IL"/>
    <x v="173"/>
    <x v="83"/>
  </r>
  <r>
    <x v="173"/>
    <x v="1"/>
    <x v="3"/>
    <s v="Hillside"/>
    <s v="IL"/>
    <x v="173"/>
    <x v="83"/>
  </r>
  <r>
    <x v="173"/>
    <x v="1"/>
    <x v="47"/>
    <s v="Hillside"/>
    <s v="IL"/>
    <x v="173"/>
    <x v="83"/>
  </r>
  <r>
    <x v="173"/>
    <x v="1"/>
    <x v="4"/>
    <s v="Hillside"/>
    <s v="IL"/>
    <x v="173"/>
    <x v="83"/>
  </r>
  <r>
    <x v="173"/>
    <x v="1"/>
    <x v="5"/>
    <s v="Hillside"/>
    <s v="IL"/>
    <x v="173"/>
    <x v="83"/>
  </r>
  <r>
    <x v="173"/>
    <x v="1"/>
    <x v="48"/>
    <s v="Hillside"/>
    <s v="IL"/>
    <x v="173"/>
    <x v="83"/>
  </r>
  <r>
    <x v="173"/>
    <x v="1"/>
    <x v="6"/>
    <s v="Hillside"/>
    <s v="IL"/>
    <x v="173"/>
    <x v="83"/>
  </r>
  <r>
    <x v="173"/>
    <x v="1"/>
    <x v="49"/>
    <s v="Hillside"/>
    <s v="IL"/>
    <x v="173"/>
    <x v="83"/>
  </r>
  <r>
    <x v="174"/>
    <x v="0"/>
    <x v="34"/>
    <s v="Rosemont"/>
    <s v="IL"/>
    <x v="174"/>
    <x v="38"/>
  </r>
  <r>
    <x v="174"/>
    <x v="0"/>
    <x v="38"/>
    <s v="Rosemont"/>
    <s v="IL"/>
    <x v="174"/>
    <x v="38"/>
  </r>
  <r>
    <x v="174"/>
    <x v="0"/>
    <x v="39"/>
    <s v="Rosemont"/>
    <s v="IL"/>
    <x v="174"/>
    <x v="38"/>
  </r>
  <r>
    <x v="174"/>
    <x v="0"/>
    <x v="40"/>
    <s v="Rosemont"/>
    <s v="IL"/>
    <x v="174"/>
    <x v="38"/>
  </r>
  <r>
    <x v="174"/>
    <x v="0"/>
    <x v="41"/>
    <s v="Rosemont"/>
    <s v="IL"/>
    <x v="174"/>
    <x v="38"/>
  </r>
  <r>
    <x v="174"/>
    <x v="0"/>
    <x v="42"/>
    <s v="Rosemont"/>
    <s v="IL"/>
    <x v="174"/>
    <x v="38"/>
  </r>
  <r>
    <x v="174"/>
    <x v="0"/>
    <x v="7"/>
    <s v="Rosemont"/>
    <s v="IL"/>
    <x v="174"/>
    <x v="38"/>
  </r>
  <r>
    <x v="174"/>
    <x v="0"/>
    <x v="8"/>
    <s v="Rosemont"/>
    <s v="IL"/>
    <x v="174"/>
    <x v="38"/>
  </r>
  <r>
    <x v="174"/>
    <x v="0"/>
    <x v="9"/>
    <s v="Rosemont"/>
    <s v="IL"/>
    <x v="174"/>
    <x v="38"/>
  </r>
  <r>
    <x v="174"/>
    <x v="0"/>
    <x v="10"/>
    <s v="Rosemont"/>
    <s v="IL"/>
    <x v="174"/>
    <x v="38"/>
  </r>
  <r>
    <x v="174"/>
    <x v="0"/>
    <x v="11"/>
    <s v="Rosemont"/>
    <s v="IL"/>
    <x v="174"/>
    <x v="38"/>
  </r>
  <r>
    <x v="174"/>
    <x v="0"/>
    <x v="24"/>
    <s v="Rosemont"/>
    <s v="IL"/>
    <x v="174"/>
    <x v="38"/>
  </r>
  <r>
    <x v="174"/>
    <x v="0"/>
    <x v="25"/>
    <s v="Rosemont"/>
    <s v="IL"/>
    <x v="174"/>
    <x v="38"/>
  </r>
  <r>
    <x v="174"/>
    <x v="0"/>
    <x v="12"/>
    <s v="Rosemont"/>
    <s v="IL"/>
    <x v="174"/>
    <x v="38"/>
  </r>
  <r>
    <x v="174"/>
    <x v="0"/>
    <x v="44"/>
    <s v="Rosemont"/>
    <s v="IL"/>
    <x v="174"/>
    <x v="38"/>
  </r>
  <r>
    <x v="174"/>
    <x v="0"/>
    <x v="27"/>
    <s v="Rosemont"/>
    <s v="IL"/>
    <x v="174"/>
    <x v="38"/>
  </r>
  <r>
    <x v="174"/>
    <x v="0"/>
    <x v="52"/>
    <s v="Rosemont"/>
    <s v="IL"/>
    <x v="174"/>
    <x v="38"/>
  </r>
  <r>
    <x v="174"/>
    <x v="0"/>
    <x v="13"/>
    <s v="Rosemont"/>
    <s v="IL"/>
    <x v="174"/>
    <x v="38"/>
  </r>
  <r>
    <x v="174"/>
    <x v="0"/>
    <x v="22"/>
    <s v="Rosemont"/>
    <s v="IL"/>
    <x v="174"/>
    <x v="38"/>
  </r>
  <r>
    <x v="174"/>
    <x v="0"/>
    <x v="14"/>
    <s v="Rosemont"/>
    <s v="IL"/>
    <x v="174"/>
    <x v="38"/>
  </r>
  <r>
    <x v="174"/>
    <x v="0"/>
    <x v="23"/>
    <s v="Rosemont"/>
    <s v="IL"/>
    <x v="174"/>
    <x v="38"/>
  </r>
  <r>
    <x v="174"/>
    <x v="0"/>
    <x v="15"/>
    <s v="Rosemont"/>
    <s v="IL"/>
    <x v="174"/>
    <x v="38"/>
  </r>
  <r>
    <x v="174"/>
    <x v="0"/>
    <x v="36"/>
    <s v="Rosemont"/>
    <s v="IL"/>
    <x v="174"/>
    <x v="38"/>
  </r>
  <r>
    <x v="174"/>
    <x v="0"/>
    <x v="16"/>
    <s v="Rosemont"/>
    <s v="IL"/>
    <x v="174"/>
    <x v="38"/>
  </r>
  <r>
    <x v="174"/>
    <x v="0"/>
    <x v="35"/>
    <s v="Rosemont"/>
    <s v="IL"/>
    <x v="174"/>
    <x v="38"/>
  </r>
  <r>
    <x v="174"/>
    <x v="0"/>
    <x v="17"/>
    <s v="Rosemont"/>
    <s v="IL"/>
    <x v="174"/>
    <x v="38"/>
  </r>
  <r>
    <x v="174"/>
    <x v="0"/>
    <x v="18"/>
    <s v="Rosemont"/>
    <s v="IL"/>
    <x v="174"/>
    <x v="38"/>
  </r>
  <r>
    <x v="174"/>
    <x v="0"/>
    <x v="19"/>
    <s v="Rosemont"/>
    <s v="IL"/>
    <x v="174"/>
    <x v="38"/>
  </r>
  <r>
    <x v="174"/>
    <x v="0"/>
    <x v="3"/>
    <s v="Rosemont"/>
    <s v="IL"/>
    <x v="174"/>
    <x v="38"/>
  </r>
  <r>
    <x v="174"/>
    <x v="0"/>
    <x v="47"/>
    <s v="Rosemont"/>
    <s v="IL"/>
    <x v="174"/>
    <x v="38"/>
  </r>
  <r>
    <x v="174"/>
    <x v="0"/>
    <x v="4"/>
    <s v="Rosemont"/>
    <s v="IL"/>
    <x v="174"/>
    <x v="38"/>
  </r>
  <r>
    <x v="174"/>
    <x v="0"/>
    <x v="5"/>
    <s v="Rosemont"/>
    <s v="IL"/>
    <x v="174"/>
    <x v="38"/>
  </r>
  <r>
    <x v="174"/>
    <x v="0"/>
    <x v="48"/>
    <s v="Rosemont"/>
    <s v="IL"/>
    <x v="174"/>
    <x v="38"/>
  </r>
  <r>
    <x v="174"/>
    <x v="0"/>
    <x v="6"/>
    <s v="Rosemont"/>
    <s v="IL"/>
    <x v="174"/>
    <x v="38"/>
  </r>
  <r>
    <x v="174"/>
    <x v="0"/>
    <x v="49"/>
    <s v="Rosemont"/>
    <s v="IL"/>
    <x v="174"/>
    <x v="38"/>
  </r>
  <r>
    <x v="174"/>
    <x v="0"/>
    <x v="50"/>
    <s v="Rosemont"/>
    <s v="IL"/>
    <x v="174"/>
    <x v="38"/>
  </r>
  <r>
    <x v="174"/>
    <x v="0"/>
    <x v="32"/>
    <s v="Rosemont"/>
    <s v="IL"/>
    <x v="174"/>
    <x v="38"/>
  </r>
  <r>
    <x v="174"/>
    <x v="0"/>
    <x v="51"/>
    <s v="Rosemont"/>
    <s v="IL"/>
    <x v="174"/>
    <x v="38"/>
  </r>
  <r>
    <x v="175"/>
    <x v="0"/>
    <x v="8"/>
    <s v="East Dundee"/>
    <s v="IL"/>
    <x v="175"/>
    <x v="84"/>
  </r>
  <r>
    <x v="176"/>
    <x v="1"/>
    <x v="13"/>
    <s v="Plainfield"/>
    <s v="IL"/>
    <x v="176"/>
    <x v="85"/>
  </r>
  <r>
    <x v="177"/>
    <x v="0"/>
    <x v="8"/>
    <s v="Jerseyville"/>
    <s v="IL"/>
    <x v="177"/>
    <x v="86"/>
  </r>
  <r>
    <x v="177"/>
    <x v="0"/>
    <x v="12"/>
    <s v="Jerseyville"/>
    <s v="IL"/>
    <x v="177"/>
    <x v="86"/>
  </r>
  <r>
    <x v="177"/>
    <x v="0"/>
    <x v="13"/>
    <s v="Jerseyville"/>
    <s v="IL"/>
    <x v="177"/>
    <x v="86"/>
  </r>
  <r>
    <x v="177"/>
    <x v="0"/>
    <x v="16"/>
    <s v="Jerseyville"/>
    <s v="IL"/>
    <x v="177"/>
    <x v="86"/>
  </r>
  <r>
    <x v="177"/>
    <x v="0"/>
    <x v="29"/>
    <s v="Jerseyville"/>
    <s v="IL"/>
    <x v="177"/>
    <x v="86"/>
  </r>
  <r>
    <x v="178"/>
    <x v="0"/>
    <x v="7"/>
    <s v="Breese"/>
    <s v="IL"/>
    <x v="178"/>
    <x v="87"/>
  </r>
  <r>
    <x v="178"/>
    <x v="0"/>
    <x v="8"/>
    <s v="Breese"/>
    <s v="IL"/>
    <x v="178"/>
    <x v="87"/>
  </r>
  <r>
    <x v="178"/>
    <x v="0"/>
    <x v="10"/>
    <s v="Breese"/>
    <s v="IL"/>
    <x v="178"/>
    <x v="87"/>
  </r>
  <r>
    <x v="178"/>
    <x v="0"/>
    <x v="11"/>
    <s v="Breese"/>
    <s v="IL"/>
    <x v="178"/>
    <x v="87"/>
  </r>
  <r>
    <x v="178"/>
    <x v="0"/>
    <x v="24"/>
    <s v="Breese"/>
    <s v="IL"/>
    <x v="178"/>
    <x v="87"/>
  </r>
  <r>
    <x v="178"/>
    <x v="0"/>
    <x v="25"/>
    <s v="Breese"/>
    <s v="IL"/>
    <x v="178"/>
    <x v="87"/>
  </r>
  <r>
    <x v="178"/>
    <x v="0"/>
    <x v="12"/>
    <s v="Breese"/>
    <s v="IL"/>
    <x v="178"/>
    <x v="87"/>
  </r>
  <r>
    <x v="178"/>
    <x v="0"/>
    <x v="27"/>
    <s v="Breese"/>
    <s v="IL"/>
    <x v="178"/>
    <x v="87"/>
  </r>
  <r>
    <x v="178"/>
    <x v="0"/>
    <x v="13"/>
    <s v="Breese"/>
    <s v="IL"/>
    <x v="178"/>
    <x v="87"/>
  </r>
  <r>
    <x v="178"/>
    <x v="0"/>
    <x v="16"/>
    <s v="Breese"/>
    <s v="IL"/>
    <x v="178"/>
    <x v="87"/>
  </r>
  <r>
    <x v="178"/>
    <x v="0"/>
    <x v="29"/>
    <s v="Breese"/>
    <s v="IL"/>
    <x v="178"/>
    <x v="87"/>
  </r>
  <r>
    <x v="178"/>
    <x v="0"/>
    <x v="35"/>
    <s v="Breese"/>
    <s v="IL"/>
    <x v="178"/>
    <x v="87"/>
  </r>
  <r>
    <x v="178"/>
    <x v="0"/>
    <x v="17"/>
    <s v="Breese"/>
    <s v="IL"/>
    <x v="178"/>
    <x v="87"/>
  </r>
  <r>
    <x v="178"/>
    <x v="0"/>
    <x v="18"/>
    <s v="Breese"/>
    <s v="IL"/>
    <x v="178"/>
    <x v="87"/>
  </r>
  <r>
    <x v="178"/>
    <x v="0"/>
    <x v="19"/>
    <s v="Breese"/>
    <s v="IL"/>
    <x v="178"/>
    <x v="87"/>
  </r>
  <r>
    <x v="178"/>
    <x v="0"/>
    <x v="4"/>
    <s v="Breese"/>
    <s v="IL"/>
    <x v="178"/>
    <x v="87"/>
  </r>
  <r>
    <x v="178"/>
    <x v="0"/>
    <x v="5"/>
    <s v="Breese"/>
    <s v="IL"/>
    <x v="178"/>
    <x v="87"/>
  </r>
  <r>
    <x v="179"/>
    <x v="1"/>
    <x v="8"/>
    <s v="Peoria Heights"/>
    <s v="IL"/>
    <x v="179"/>
    <x v="88"/>
  </r>
  <r>
    <x v="179"/>
    <x v="1"/>
    <x v="25"/>
    <s v="Peoria Heights"/>
    <s v="IL"/>
    <x v="179"/>
    <x v="88"/>
  </r>
  <r>
    <x v="179"/>
    <x v="1"/>
    <x v="12"/>
    <s v="Peoria Heights"/>
    <s v="IL"/>
    <x v="179"/>
    <x v="88"/>
  </r>
  <r>
    <x v="179"/>
    <x v="1"/>
    <x v="13"/>
    <s v="Peoria Heights"/>
    <s v="IL"/>
    <x v="179"/>
    <x v="88"/>
  </r>
  <r>
    <x v="179"/>
    <x v="1"/>
    <x v="17"/>
    <s v="Peoria Heights"/>
    <s v="IL"/>
    <x v="179"/>
    <x v="88"/>
  </r>
  <r>
    <x v="179"/>
    <x v="1"/>
    <x v="18"/>
    <s v="Peoria Heights"/>
    <s v="IL"/>
    <x v="179"/>
    <x v="88"/>
  </r>
  <r>
    <x v="179"/>
    <x v="1"/>
    <x v="19"/>
    <s v="Peoria Heights"/>
    <s v="IL"/>
    <x v="179"/>
    <x v="88"/>
  </r>
  <r>
    <x v="180"/>
    <x v="0"/>
    <x v="8"/>
    <s v="Volo"/>
    <s v="IL"/>
    <x v="180"/>
    <x v="89"/>
  </r>
  <r>
    <x v="180"/>
    <x v="0"/>
    <x v="9"/>
    <s v="Volo"/>
    <s v="IL"/>
    <x v="180"/>
    <x v="89"/>
  </r>
  <r>
    <x v="180"/>
    <x v="0"/>
    <x v="10"/>
    <s v="Volo"/>
    <s v="IL"/>
    <x v="180"/>
    <x v="89"/>
  </r>
  <r>
    <x v="180"/>
    <x v="0"/>
    <x v="11"/>
    <s v="Volo"/>
    <s v="IL"/>
    <x v="180"/>
    <x v="89"/>
  </r>
  <r>
    <x v="180"/>
    <x v="0"/>
    <x v="13"/>
    <s v="Volo"/>
    <s v="IL"/>
    <x v="180"/>
    <x v="89"/>
  </r>
  <r>
    <x v="180"/>
    <x v="0"/>
    <x v="14"/>
    <s v="Volo"/>
    <s v="IL"/>
    <x v="180"/>
    <x v="89"/>
  </r>
  <r>
    <x v="180"/>
    <x v="0"/>
    <x v="19"/>
    <s v="Volo"/>
    <s v="IL"/>
    <x v="180"/>
    <x v="89"/>
  </r>
  <r>
    <x v="181"/>
    <x v="1"/>
    <x v="39"/>
    <s v="Kansas City"/>
    <s v="MO"/>
    <x v="181"/>
    <x v="90"/>
  </r>
  <r>
    <x v="181"/>
    <x v="1"/>
    <x v="40"/>
    <s v="Kansas City"/>
    <s v="MO"/>
    <x v="181"/>
    <x v="90"/>
  </r>
  <r>
    <x v="181"/>
    <x v="1"/>
    <x v="7"/>
    <s v="Kansas City"/>
    <s v="MO"/>
    <x v="181"/>
    <x v="90"/>
  </r>
  <r>
    <x v="181"/>
    <x v="1"/>
    <x v="8"/>
    <s v="Kansas City"/>
    <s v="MO"/>
    <x v="181"/>
    <x v="90"/>
  </r>
  <r>
    <x v="181"/>
    <x v="1"/>
    <x v="24"/>
    <s v="Kansas City"/>
    <s v="MO"/>
    <x v="181"/>
    <x v="90"/>
  </r>
  <r>
    <x v="181"/>
    <x v="1"/>
    <x v="25"/>
    <s v="Kansas City"/>
    <s v="MO"/>
    <x v="181"/>
    <x v="90"/>
  </r>
  <r>
    <x v="181"/>
    <x v="1"/>
    <x v="12"/>
    <s v="Kansas City"/>
    <s v="MO"/>
    <x v="181"/>
    <x v="90"/>
  </r>
  <r>
    <x v="182"/>
    <x v="0"/>
    <x v="14"/>
    <s v="Naperville"/>
    <s v="IL"/>
    <x v="182"/>
    <x v="52"/>
  </r>
  <r>
    <x v="183"/>
    <x v="0"/>
    <x v="41"/>
    <s v="Carbondale"/>
    <s v="IL"/>
    <x v="183"/>
    <x v="91"/>
  </r>
  <r>
    <x v="183"/>
    <x v="0"/>
    <x v="42"/>
    <s v="Carbondale"/>
    <s v="IL"/>
    <x v="183"/>
    <x v="91"/>
  </r>
  <r>
    <x v="184"/>
    <x v="0"/>
    <x v="33"/>
    <s v="O'Fallon"/>
    <s v="IL"/>
    <x v="184"/>
    <x v="92"/>
  </r>
  <r>
    <x v="184"/>
    <x v="0"/>
    <x v="34"/>
    <s v="O'Fallon"/>
    <s v="IL"/>
    <x v="184"/>
    <x v="92"/>
  </r>
  <r>
    <x v="184"/>
    <x v="0"/>
    <x v="39"/>
    <s v="O'Fallon"/>
    <s v="IL"/>
    <x v="184"/>
    <x v="92"/>
  </r>
  <r>
    <x v="184"/>
    <x v="0"/>
    <x v="40"/>
    <s v="O'Fallon"/>
    <s v="IL"/>
    <x v="184"/>
    <x v="92"/>
  </r>
  <r>
    <x v="184"/>
    <x v="0"/>
    <x v="7"/>
    <s v="O'Fallon"/>
    <s v="IL"/>
    <x v="184"/>
    <x v="92"/>
  </r>
  <r>
    <x v="184"/>
    <x v="0"/>
    <x v="8"/>
    <s v="O'Fallon"/>
    <s v="IL"/>
    <x v="184"/>
    <x v="92"/>
  </r>
  <r>
    <x v="184"/>
    <x v="0"/>
    <x v="9"/>
    <s v="O'Fallon"/>
    <s v="IL"/>
    <x v="184"/>
    <x v="92"/>
  </r>
  <r>
    <x v="184"/>
    <x v="0"/>
    <x v="10"/>
    <s v="O'Fallon"/>
    <s v="IL"/>
    <x v="184"/>
    <x v="92"/>
  </r>
  <r>
    <x v="184"/>
    <x v="0"/>
    <x v="11"/>
    <s v="O'Fallon"/>
    <s v="IL"/>
    <x v="184"/>
    <x v="92"/>
  </r>
  <r>
    <x v="184"/>
    <x v="0"/>
    <x v="24"/>
    <s v="O'Fallon"/>
    <s v="IL"/>
    <x v="184"/>
    <x v="92"/>
  </r>
  <r>
    <x v="184"/>
    <x v="0"/>
    <x v="25"/>
    <s v="O'Fallon"/>
    <s v="IL"/>
    <x v="184"/>
    <x v="92"/>
  </r>
  <r>
    <x v="184"/>
    <x v="0"/>
    <x v="12"/>
    <s v="O'Fallon"/>
    <s v="IL"/>
    <x v="184"/>
    <x v="92"/>
  </r>
  <r>
    <x v="184"/>
    <x v="0"/>
    <x v="44"/>
    <s v="O'Fallon"/>
    <s v="IL"/>
    <x v="184"/>
    <x v="92"/>
  </r>
  <r>
    <x v="184"/>
    <x v="0"/>
    <x v="27"/>
    <s v="O'Fallon"/>
    <s v="IL"/>
    <x v="184"/>
    <x v="92"/>
  </r>
  <r>
    <x v="184"/>
    <x v="0"/>
    <x v="56"/>
    <s v="O'Fallon"/>
    <s v="IL"/>
    <x v="184"/>
    <x v="92"/>
  </r>
  <r>
    <x v="184"/>
    <x v="0"/>
    <x v="13"/>
    <s v="O'Fallon"/>
    <s v="IL"/>
    <x v="184"/>
    <x v="92"/>
  </r>
  <r>
    <x v="184"/>
    <x v="0"/>
    <x v="22"/>
    <s v="O'Fallon"/>
    <s v="IL"/>
    <x v="184"/>
    <x v="92"/>
  </r>
  <r>
    <x v="184"/>
    <x v="0"/>
    <x v="23"/>
    <s v="O'Fallon"/>
    <s v="IL"/>
    <x v="184"/>
    <x v="92"/>
  </r>
  <r>
    <x v="184"/>
    <x v="0"/>
    <x v="53"/>
    <s v="O'Fallon"/>
    <s v="IL"/>
    <x v="184"/>
    <x v="92"/>
  </r>
  <r>
    <x v="184"/>
    <x v="0"/>
    <x v="36"/>
    <s v="O'Fallon"/>
    <s v="IL"/>
    <x v="184"/>
    <x v="92"/>
  </r>
  <r>
    <x v="184"/>
    <x v="0"/>
    <x v="16"/>
    <s v="O'Fallon"/>
    <s v="IL"/>
    <x v="184"/>
    <x v="92"/>
  </r>
  <r>
    <x v="184"/>
    <x v="0"/>
    <x v="29"/>
    <s v="O'Fallon"/>
    <s v="IL"/>
    <x v="184"/>
    <x v="92"/>
  </r>
  <r>
    <x v="184"/>
    <x v="0"/>
    <x v="35"/>
    <s v="O'Fallon"/>
    <s v="IL"/>
    <x v="184"/>
    <x v="92"/>
  </r>
  <r>
    <x v="184"/>
    <x v="0"/>
    <x v="17"/>
    <s v="O'Fallon"/>
    <s v="IL"/>
    <x v="184"/>
    <x v="92"/>
  </r>
  <r>
    <x v="184"/>
    <x v="0"/>
    <x v="18"/>
    <s v="O'Fallon"/>
    <s v="IL"/>
    <x v="184"/>
    <x v="92"/>
  </r>
  <r>
    <x v="184"/>
    <x v="0"/>
    <x v="19"/>
    <s v="O'Fallon"/>
    <s v="IL"/>
    <x v="184"/>
    <x v="92"/>
  </r>
  <r>
    <x v="184"/>
    <x v="0"/>
    <x v="3"/>
    <s v="O'Fallon"/>
    <s v="IL"/>
    <x v="184"/>
    <x v="92"/>
  </r>
  <r>
    <x v="184"/>
    <x v="0"/>
    <x v="47"/>
    <s v="O'Fallon"/>
    <s v="IL"/>
    <x v="184"/>
    <x v="92"/>
  </r>
  <r>
    <x v="184"/>
    <x v="0"/>
    <x v="4"/>
    <s v="O'Fallon"/>
    <s v="IL"/>
    <x v="184"/>
    <x v="92"/>
  </r>
  <r>
    <x v="184"/>
    <x v="0"/>
    <x v="5"/>
    <s v="O'Fallon"/>
    <s v="IL"/>
    <x v="184"/>
    <x v="92"/>
  </r>
  <r>
    <x v="184"/>
    <x v="0"/>
    <x v="32"/>
    <s v="O'Fallon"/>
    <s v="IL"/>
    <x v="184"/>
    <x v="92"/>
  </r>
  <r>
    <x v="185"/>
    <x v="0"/>
    <x v="33"/>
    <s v="Aurora"/>
    <s v="IL"/>
    <x v="185"/>
    <x v="8"/>
  </r>
  <r>
    <x v="185"/>
    <x v="0"/>
    <x v="39"/>
    <s v="Aurora"/>
    <s v="IL"/>
    <x v="185"/>
    <x v="8"/>
  </r>
  <r>
    <x v="185"/>
    <x v="0"/>
    <x v="40"/>
    <s v="Aurora"/>
    <s v="IL"/>
    <x v="185"/>
    <x v="8"/>
  </r>
  <r>
    <x v="185"/>
    <x v="0"/>
    <x v="7"/>
    <s v="Aurora"/>
    <s v="IL"/>
    <x v="185"/>
    <x v="8"/>
  </r>
  <r>
    <x v="185"/>
    <x v="0"/>
    <x v="8"/>
    <s v="Aurora"/>
    <s v="IL"/>
    <x v="185"/>
    <x v="8"/>
  </r>
  <r>
    <x v="185"/>
    <x v="0"/>
    <x v="9"/>
    <s v="Aurora"/>
    <s v="IL"/>
    <x v="185"/>
    <x v="8"/>
  </r>
  <r>
    <x v="185"/>
    <x v="0"/>
    <x v="10"/>
    <s v="Aurora"/>
    <s v="IL"/>
    <x v="185"/>
    <x v="8"/>
  </r>
  <r>
    <x v="185"/>
    <x v="0"/>
    <x v="11"/>
    <s v="Aurora"/>
    <s v="IL"/>
    <x v="185"/>
    <x v="8"/>
  </r>
  <r>
    <x v="185"/>
    <x v="0"/>
    <x v="24"/>
    <s v="Aurora"/>
    <s v="IL"/>
    <x v="185"/>
    <x v="8"/>
  </r>
  <r>
    <x v="185"/>
    <x v="0"/>
    <x v="25"/>
    <s v="Aurora"/>
    <s v="IL"/>
    <x v="185"/>
    <x v="8"/>
  </r>
  <r>
    <x v="185"/>
    <x v="0"/>
    <x v="12"/>
    <s v="Aurora"/>
    <s v="IL"/>
    <x v="185"/>
    <x v="8"/>
  </r>
  <r>
    <x v="185"/>
    <x v="0"/>
    <x v="44"/>
    <s v="Aurora"/>
    <s v="IL"/>
    <x v="185"/>
    <x v="8"/>
  </r>
  <r>
    <x v="185"/>
    <x v="0"/>
    <x v="27"/>
    <s v="Aurora"/>
    <s v="IL"/>
    <x v="185"/>
    <x v="8"/>
  </r>
  <r>
    <x v="185"/>
    <x v="0"/>
    <x v="13"/>
    <s v="Aurora"/>
    <s v="IL"/>
    <x v="185"/>
    <x v="8"/>
  </r>
  <r>
    <x v="185"/>
    <x v="0"/>
    <x v="22"/>
    <s v="Aurora"/>
    <s v="IL"/>
    <x v="185"/>
    <x v="8"/>
  </r>
  <r>
    <x v="185"/>
    <x v="0"/>
    <x v="14"/>
    <s v="Aurora"/>
    <s v="IL"/>
    <x v="185"/>
    <x v="8"/>
  </r>
  <r>
    <x v="185"/>
    <x v="0"/>
    <x v="23"/>
    <s v="Aurora"/>
    <s v="IL"/>
    <x v="185"/>
    <x v="8"/>
  </r>
  <r>
    <x v="185"/>
    <x v="0"/>
    <x v="36"/>
    <s v="Aurora"/>
    <s v="IL"/>
    <x v="185"/>
    <x v="8"/>
  </r>
  <r>
    <x v="185"/>
    <x v="0"/>
    <x v="16"/>
    <s v="Aurora"/>
    <s v="IL"/>
    <x v="185"/>
    <x v="8"/>
  </r>
  <r>
    <x v="185"/>
    <x v="0"/>
    <x v="29"/>
    <s v="Aurora"/>
    <s v="IL"/>
    <x v="185"/>
    <x v="8"/>
  </r>
  <r>
    <x v="185"/>
    <x v="0"/>
    <x v="35"/>
    <s v="Aurora"/>
    <s v="IL"/>
    <x v="185"/>
    <x v="8"/>
  </r>
  <r>
    <x v="185"/>
    <x v="0"/>
    <x v="17"/>
    <s v="Aurora"/>
    <s v="IL"/>
    <x v="185"/>
    <x v="8"/>
  </r>
  <r>
    <x v="185"/>
    <x v="0"/>
    <x v="46"/>
    <s v="Aurora"/>
    <s v="IL"/>
    <x v="185"/>
    <x v="8"/>
  </r>
  <r>
    <x v="185"/>
    <x v="0"/>
    <x v="18"/>
    <s v="Aurora"/>
    <s v="IL"/>
    <x v="185"/>
    <x v="8"/>
  </r>
  <r>
    <x v="185"/>
    <x v="0"/>
    <x v="19"/>
    <s v="Aurora"/>
    <s v="IL"/>
    <x v="185"/>
    <x v="8"/>
  </r>
  <r>
    <x v="185"/>
    <x v="0"/>
    <x v="3"/>
    <s v="Aurora"/>
    <s v="IL"/>
    <x v="185"/>
    <x v="8"/>
  </r>
  <r>
    <x v="185"/>
    <x v="0"/>
    <x v="47"/>
    <s v="Aurora"/>
    <s v="IL"/>
    <x v="185"/>
    <x v="8"/>
  </r>
  <r>
    <x v="185"/>
    <x v="0"/>
    <x v="4"/>
    <s v="Aurora"/>
    <s v="IL"/>
    <x v="185"/>
    <x v="8"/>
  </r>
  <r>
    <x v="185"/>
    <x v="0"/>
    <x v="5"/>
    <s v="Aurora"/>
    <s v="IL"/>
    <x v="185"/>
    <x v="8"/>
  </r>
  <r>
    <x v="185"/>
    <x v="0"/>
    <x v="6"/>
    <s v="Aurora"/>
    <s v="IL"/>
    <x v="185"/>
    <x v="8"/>
  </r>
  <r>
    <x v="186"/>
    <x v="1"/>
    <x v="0"/>
    <s v="Moon Township"/>
    <s v="PA"/>
    <x v="186"/>
    <x v="93"/>
  </r>
  <r>
    <x v="187"/>
    <x v="0"/>
    <x v="39"/>
    <s v="Oak Brook"/>
    <s v="IL"/>
    <x v="187"/>
    <x v="94"/>
  </r>
  <r>
    <x v="187"/>
    <x v="0"/>
    <x v="40"/>
    <s v="Oak Brook"/>
    <s v="IL"/>
    <x v="187"/>
    <x v="94"/>
  </r>
  <r>
    <x v="187"/>
    <x v="0"/>
    <x v="54"/>
    <s v="Oak Brook"/>
    <s v="IL"/>
    <x v="187"/>
    <x v="94"/>
  </r>
  <r>
    <x v="187"/>
    <x v="0"/>
    <x v="20"/>
    <s v="Oak Brook"/>
    <s v="IL"/>
    <x v="187"/>
    <x v="94"/>
  </r>
  <r>
    <x v="187"/>
    <x v="0"/>
    <x v="14"/>
    <s v="Oak Brook"/>
    <s v="IL"/>
    <x v="187"/>
    <x v="94"/>
  </r>
  <r>
    <x v="188"/>
    <x v="0"/>
    <x v="41"/>
    <s v="Hillsboro"/>
    <s v="IL"/>
    <x v="188"/>
    <x v="95"/>
  </r>
  <r>
    <x v="188"/>
    <x v="0"/>
    <x v="42"/>
    <s v="Hillsboro"/>
    <s v="IL"/>
    <x v="188"/>
    <x v="95"/>
  </r>
  <r>
    <x v="188"/>
    <x v="0"/>
    <x v="43"/>
    <s v="Hillsboro"/>
    <s v="IL"/>
    <x v="188"/>
    <x v="95"/>
  </r>
  <r>
    <x v="188"/>
    <x v="0"/>
    <x v="7"/>
    <s v="Hillsboro"/>
    <s v="IL"/>
    <x v="188"/>
    <x v="95"/>
  </r>
  <r>
    <x v="188"/>
    <x v="0"/>
    <x v="8"/>
    <s v="Hillsboro"/>
    <s v="IL"/>
    <x v="188"/>
    <x v="95"/>
  </r>
  <r>
    <x v="188"/>
    <x v="0"/>
    <x v="9"/>
    <s v="Hillsboro"/>
    <s v="IL"/>
    <x v="188"/>
    <x v="95"/>
  </r>
  <r>
    <x v="188"/>
    <x v="0"/>
    <x v="10"/>
    <s v="Hillsboro"/>
    <s v="IL"/>
    <x v="188"/>
    <x v="95"/>
  </r>
  <r>
    <x v="188"/>
    <x v="0"/>
    <x v="11"/>
    <s v="Hillsboro"/>
    <s v="IL"/>
    <x v="188"/>
    <x v="95"/>
  </r>
  <r>
    <x v="188"/>
    <x v="0"/>
    <x v="24"/>
    <s v="Hillsboro"/>
    <s v="IL"/>
    <x v="188"/>
    <x v="95"/>
  </r>
  <r>
    <x v="188"/>
    <x v="0"/>
    <x v="25"/>
    <s v="Hillsboro"/>
    <s v="IL"/>
    <x v="188"/>
    <x v="95"/>
  </r>
  <r>
    <x v="188"/>
    <x v="0"/>
    <x v="12"/>
    <s v="Hillsboro"/>
    <s v="IL"/>
    <x v="188"/>
    <x v="95"/>
  </r>
  <r>
    <x v="188"/>
    <x v="0"/>
    <x v="27"/>
    <s v="Hillsboro"/>
    <s v="IL"/>
    <x v="188"/>
    <x v="95"/>
  </r>
  <r>
    <x v="188"/>
    <x v="0"/>
    <x v="52"/>
    <s v="Hillsboro"/>
    <s v="IL"/>
    <x v="188"/>
    <x v="95"/>
  </r>
  <r>
    <x v="188"/>
    <x v="0"/>
    <x v="13"/>
    <s v="Hillsboro"/>
    <s v="IL"/>
    <x v="188"/>
    <x v="95"/>
  </r>
  <r>
    <x v="188"/>
    <x v="0"/>
    <x v="16"/>
    <s v="Hillsboro"/>
    <s v="IL"/>
    <x v="188"/>
    <x v="95"/>
  </r>
  <r>
    <x v="188"/>
    <x v="0"/>
    <x v="29"/>
    <s v="Hillsboro"/>
    <s v="IL"/>
    <x v="188"/>
    <x v="95"/>
  </r>
  <r>
    <x v="188"/>
    <x v="0"/>
    <x v="35"/>
    <s v="Hillsboro"/>
    <s v="IL"/>
    <x v="188"/>
    <x v="95"/>
  </r>
  <r>
    <x v="188"/>
    <x v="0"/>
    <x v="17"/>
    <s v="Hillsboro"/>
    <s v="IL"/>
    <x v="188"/>
    <x v="95"/>
  </r>
  <r>
    <x v="188"/>
    <x v="0"/>
    <x v="18"/>
    <s v="Hillsboro"/>
    <s v="IL"/>
    <x v="188"/>
    <x v="95"/>
  </r>
  <r>
    <x v="188"/>
    <x v="0"/>
    <x v="19"/>
    <s v="Hillsboro"/>
    <s v="IL"/>
    <x v="188"/>
    <x v="95"/>
  </r>
  <r>
    <x v="188"/>
    <x v="0"/>
    <x v="4"/>
    <s v="Hillsboro"/>
    <s v="IL"/>
    <x v="188"/>
    <x v="95"/>
  </r>
  <r>
    <x v="188"/>
    <x v="0"/>
    <x v="5"/>
    <s v="Hillsboro"/>
    <s v="IL"/>
    <x v="188"/>
    <x v="95"/>
  </r>
  <r>
    <x v="189"/>
    <x v="0"/>
    <x v="33"/>
    <s v="Jacksonville"/>
    <s v="IL"/>
    <x v="189"/>
    <x v="31"/>
  </r>
  <r>
    <x v="189"/>
    <x v="0"/>
    <x v="34"/>
    <s v="Jacksonville"/>
    <s v="IL"/>
    <x v="189"/>
    <x v="31"/>
  </r>
  <r>
    <x v="189"/>
    <x v="0"/>
    <x v="42"/>
    <s v="Jacksonville"/>
    <s v="IL"/>
    <x v="189"/>
    <x v="31"/>
  </r>
  <r>
    <x v="189"/>
    <x v="0"/>
    <x v="7"/>
    <s v="Jacksonville"/>
    <s v="IL"/>
    <x v="189"/>
    <x v="31"/>
  </r>
  <r>
    <x v="189"/>
    <x v="0"/>
    <x v="8"/>
    <s v="Jacksonville"/>
    <s v="IL"/>
    <x v="189"/>
    <x v="31"/>
  </r>
  <r>
    <x v="189"/>
    <x v="0"/>
    <x v="9"/>
    <s v="Jacksonville"/>
    <s v="IL"/>
    <x v="189"/>
    <x v="31"/>
  </r>
  <r>
    <x v="189"/>
    <x v="0"/>
    <x v="10"/>
    <s v="Jacksonville"/>
    <s v="IL"/>
    <x v="189"/>
    <x v="31"/>
  </r>
  <r>
    <x v="189"/>
    <x v="0"/>
    <x v="11"/>
    <s v="Jacksonville"/>
    <s v="IL"/>
    <x v="189"/>
    <x v="31"/>
  </r>
  <r>
    <x v="189"/>
    <x v="0"/>
    <x v="24"/>
    <s v="Jacksonville"/>
    <s v="IL"/>
    <x v="189"/>
    <x v="31"/>
  </r>
  <r>
    <x v="189"/>
    <x v="0"/>
    <x v="25"/>
    <s v="Jacksonville"/>
    <s v="IL"/>
    <x v="189"/>
    <x v="31"/>
  </r>
  <r>
    <x v="189"/>
    <x v="0"/>
    <x v="12"/>
    <s v="Jacksonville"/>
    <s v="IL"/>
    <x v="189"/>
    <x v="31"/>
  </r>
  <r>
    <x v="189"/>
    <x v="0"/>
    <x v="27"/>
    <s v="Jacksonville"/>
    <s v="IL"/>
    <x v="189"/>
    <x v="31"/>
  </r>
  <r>
    <x v="189"/>
    <x v="0"/>
    <x v="13"/>
    <s v="Jacksonville"/>
    <s v="IL"/>
    <x v="189"/>
    <x v="31"/>
  </r>
  <r>
    <x v="189"/>
    <x v="0"/>
    <x v="16"/>
    <s v="Jacksonville"/>
    <s v="IL"/>
    <x v="189"/>
    <x v="31"/>
  </r>
  <r>
    <x v="189"/>
    <x v="0"/>
    <x v="29"/>
    <s v="Jacksonville"/>
    <s v="IL"/>
    <x v="189"/>
    <x v="31"/>
  </r>
  <r>
    <x v="189"/>
    <x v="0"/>
    <x v="35"/>
    <s v="Jacksonville"/>
    <s v="IL"/>
    <x v="189"/>
    <x v="31"/>
  </r>
  <r>
    <x v="189"/>
    <x v="0"/>
    <x v="17"/>
    <s v="Jacksonville"/>
    <s v="IL"/>
    <x v="189"/>
    <x v="31"/>
  </r>
  <r>
    <x v="189"/>
    <x v="0"/>
    <x v="18"/>
    <s v="Jacksonville"/>
    <s v="IL"/>
    <x v="189"/>
    <x v="31"/>
  </r>
  <r>
    <x v="189"/>
    <x v="0"/>
    <x v="19"/>
    <s v="Jacksonville"/>
    <s v="IL"/>
    <x v="189"/>
    <x v="31"/>
  </r>
  <r>
    <x v="189"/>
    <x v="0"/>
    <x v="3"/>
    <s v="Jacksonville"/>
    <s v="IL"/>
    <x v="189"/>
    <x v="31"/>
  </r>
  <r>
    <x v="189"/>
    <x v="0"/>
    <x v="4"/>
    <s v="Jacksonville"/>
    <s v="IL"/>
    <x v="189"/>
    <x v="31"/>
  </r>
  <r>
    <x v="189"/>
    <x v="0"/>
    <x v="5"/>
    <s v="Jacksonville"/>
    <s v="IL"/>
    <x v="189"/>
    <x v="31"/>
  </r>
  <r>
    <x v="190"/>
    <x v="1"/>
    <x v="13"/>
    <s v="Wheeling"/>
    <s v="IL"/>
    <x v="190"/>
    <x v="96"/>
  </r>
  <r>
    <x v="190"/>
    <x v="1"/>
    <x v="57"/>
    <s v="Wheeling"/>
    <s v="IL"/>
    <x v="190"/>
    <x v="96"/>
  </r>
  <r>
    <x v="190"/>
    <x v="1"/>
    <x v="58"/>
    <s v="Wheeling"/>
    <s v="IL"/>
    <x v="190"/>
    <x v="96"/>
  </r>
  <r>
    <x v="191"/>
    <x v="1"/>
    <x v="36"/>
    <s v="Naperville"/>
    <s v="IL"/>
    <x v="191"/>
    <x v="52"/>
  </r>
  <r>
    <x v="192"/>
    <x v="0"/>
    <x v="34"/>
    <s v="Rockford"/>
    <s v="IL"/>
    <x v="192"/>
    <x v="72"/>
  </r>
  <r>
    <x v="192"/>
    <x v="0"/>
    <x v="41"/>
    <s v="Rockford"/>
    <s v="IL"/>
    <x v="192"/>
    <x v="72"/>
  </r>
  <r>
    <x v="192"/>
    <x v="0"/>
    <x v="42"/>
    <s v="Rockford"/>
    <s v="IL"/>
    <x v="192"/>
    <x v="72"/>
  </r>
  <r>
    <x v="192"/>
    <x v="0"/>
    <x v="43"/>
    <s v="Rockford"/>
    <s v="IL"/>
    <x v="192"/>
    <x v="72"/>
  </r>
  <r>
    <x v="192"/>
    <x v="0"/>
    <x v="7"/>
    <s v="Rockford"/>
    <s v="IL"/>
    <x v="192"/>
    <x v="72"/>
  </r>
  <r>
    <x v="192"/>
    <x v="0"/>
    <x v="8"/>
    <s v="Rockford"/>
    <s v="IL"/>
    <x v="192"/>
    <x v="72"/>
  </r>
  <r>
    <x v="192"/>
    <x v="0"/>
    <x v="9"/>
    <s v="Rockford"/>
    <s v="IL"/>
    <x v="192"/>
    <x v="72"/>
  </r>
  <r>
    <x v="192"/>
    <x v="0"/>
    <x v="10"/>
    <s v="Rockford"/>
    <s v="IL"/>
    <x v="192"/>
    <x v="72"/>
  </r>
  <r>
    <x v="192"/>
    <x v="0"/>
    <x v="11"/>
    <s v="Rockford"/>
    <s v="IL"/>
    <x v="192"/>
    <x v="72"/>
  </r>
  <r>
    <x v="192"/>
    <x v="0"/>
    <x v="24"/>
    <s v="Rockford"/>
    <s v="IL"/>
    <x v="192"/>
    <x v="72"/>
  </r>
  <r>
    <x v="192"/>
    <x v="0"/>
    <x v="25"/>
    <s v="Rockford"/>
    <s v="IL"/>
    <x v="192"/>
    <x v="72"/>
  </r>
  <r>
    <x v="192"/>
    <x v="0"/>
    <x v="12"/>
    <s v="Rockford"/>
    <s v="IL"/>
    <x v="192"/>
    <x v="72"/>
  </r>
  <r>
    <x v="192"/>
    <x v="0"/>
    <x v="44"/>
    <s v="Rockford"/>
    <s v="IL"/>
    <x v="192"/>
    <x v="72"/>
  </r>
  <r>
    <x v="192"/>
    <x v="0"/>
    <x v="27"/>
    <s v="Rockford"/>
    <s v="IL"/>
    <x v="192"/>
    <x v="72"/>
  </r>
  <r>
    <x v="192"/>
    <x v="0"/>
    <x v="13"/>
    <s v="Rockford"/>
    <s v="IL"/>
    <x v="192"/>
    <x v="72"/>
  </r>
  <r>
    <x v="192"/>
    <x v="0"/>
    <x v="22"/>
    <s v="Rockford"/>
    <s v="IL"/>
    <x v="192"/>
    <x v="72"/>
  </r>
  <r>
    <x v="192"/>
    <x v="0"/>
    <x v="14"/>
    <s v="Rockford"/>
    <s v="IL"/>
    <x v="192"/>
    <x v="72"/>
  </r>
  <r>
    <x v="192"/>
    <x v="0"/>
    <x v="23"/>
    <s v="Rockford"/>
    <s v="IL"/>
    <x v="192"/>
    <x v="72"/>
  </r>
  <r>
    <x v="192"/>
    <x v="0"/>
    <x v="16"/>
    <s v="Rockford"/>
    <s v="IL"/>
    <x v="192"/>
    <x v="72"/>
  </r>
  <r>
    <x v="192"/>
    <x v="0"/>
    <x v="28"/>
    <s v="Rockford"/>
    <s v="IL"/>
    <x v="192"/>
    <x v="72"/>
  </r>
  <r>
    <x v="192"/>
    <x v="0"/>
    <x v="29"/>
    <s v="Rockford"/>
    <s v="IL"/>
    <x v="192"/>
    <x v="72"/>
  </r>
  <r>
    <x v="192"/>
    <x v="0"/>
    <x v="18"/>
    <s v="Rockford"/>
    <s v="IL"/>
    <x v="192"/>
    <x v="72"/>
  </r>
  <r>
    <x v="192"/>
    <x v="0"/>
    <x v="19"/>
    <s v="Rockford"/>
    <s v="IL"/>
    <x v="192"/>
    <x v="72"/>
  </r>
  <r>
    <x v="192"/>
    <x v="0"/>
    <x v="3"/>
    <s v="Rockford"/>
    <s v="IL"/>
    <x v="192"/>
    <x v="72"/>
  </r>
  <r>
    <x v="192"/>
    <x v="0"/>
    <x v="4"/>
    <s v="Rockford"/>
    <s v="IL"/>
    <x v="192"/>
    <x v="72"/>
  </r>
  <r>
    <x v="192"/>
    <x v="0"/>
    <x v="5"/>
    <s v="Rockford"/>
    <s v="IL"/>
    <x v="192"/>
    <x v="72"/>
  </r>
  <r>
    <x v="193"/>
    <x v="1"/>
    <x v="14"/>
    <s v="Tower Lakes"/>
    <s v="IL"/>
    <x v="193"/>
    <x v="97"/>
  </r>
  <r>
    <x v="194"/>
    <x v="0"/>
    <x v="45"/>
    <s v="Woburn"/>
    <s v="MA"/>
    <x v="194"/>
    <x v="98"/>
  </r>
  <r>
    <x v="195"/>
    <x v="1"/>
    <x v="7"/>
    <s v="Chicago"/>
    <s v="IL"/>
    <x v="195"/>
    <x v="0"/>
  </r>
  <r>
    <x v="195"/>
    <x v="1"/>
    <x v="8"/>
    <s v="Chicago"/>
    <s v="IL"/>
    <x v="195"/>
    <x v="0"/>
  </r>
  <r>
    <x v="195"/>
    <x v="1"/>
    <x v="10"/>
    <s v="Chicago"/>
    <s v="IL"/>
    <x v="195"/>
    <x v="0"/>
  </r>
  <r>
    <x v="195"/>
    <x v="1"/>
    <x v="11"/>
    <s v="Chicago"/>
    <s v="IL"/>
    <x v="195"/>
    <x v="0"/>
  </r>
  <r>
    <x v="195"/>
    <x v="1"/>
    <x v="24"/>
    <s v="Chicago"/>
    <s v="IL"/>
    <x v="195"/>
    <x v="0"/>
  </r>
  <r>
    <x v="195"/>
    <x v="1"/>
    <x v="25"/>
    <s v="Chicago"/>
    <s v="IL"/>
    <x v="195"/>
    <x v="0"/>
  </r>
  <r>
    <x v="195"/>
    <x v="1"/>
    <x v="12"/>
    <s v="Chicago"/>
    <s v="IL"/>
    <x v="195"/>
    <x v="0"/>
  </r>
  <r>
    <x v="195"/>
    <x v="1"/>
    <x v="27"/>
    <s v="Chicago"/>
    <s v="IL"/>
    <x v="195"/>
    <x v="0"/>
  </r>
  <r>
    <x v="195"/>
    <x v="1"/>
    <x v="13"/>
    <s v="Chicago"/>
    <s v="IL"/>
    <x v="195"/>
    <x v="0"/>
  </r>
  <r>
    <x v="195"/>
    <x v="1"/>
    <x v="16"/>
    <s v="Chicago"/>
    <s v="IL"/>
    <x v="195"/>
    <x v="0"/>
  </r>
  <r>
    <x v="195"/>
    <x v="1"/>
    <x v="35"/>
    <s v="Chicago"/>
    <s v="IL"/>
    <x v="195"/>
    <x v="0"/>
  </r>
  <r>
    <x v="195"/>
    <x v="1"/>
    <x v="17"/>
    <s v="Chicago"/>
    <s v="IL"/>
    <x v="195"/>
    <x v="0"/>
  </r>
  <r>
    <x v="195"/>
    <x v="1"/>
    <x v="18"/>
    <s v="Chicago"/>
    <s v="IL"/>
    <x v="195"/>
    <x v="0"/>
  </r>
  <r>
    <x v="195"/>
    <x v="1"/>
    <x v="19"/>
    <s v="Chicago"/>
    <s v="IL"/>
    <x v="195"/>
    <x v="0"/>
  </r>
  <r>
    <x v="195"/>
    <x v="1"/>
    <x v="3"/>
    <s v="Chicago"/>
    <s v="IL"/>
    <x v="195"/>
    <x v="0"/>
  </r>
  <r>
    <x v="195"/>
    <x v="1"/>
    <x v="4"/>
    <s v="Chicago"/>
    <s v="IL"/>
    <x v="195"/>
    <x v="0"/>
  </r>
  <r>
    <x v="195"/>
    <x v="1"/>
    <x v="5"/>
    <s v="Chicago"/>
    <s v="IL"/>
    <x v="195"/>
    <x v="0"/>
  </r>
  <r>
    <x v="196"/>
    <x v="1"/>
    <x v="22"/>
    <s v="Rolling Meadows"/>
    <s v="IL"/>
    <x v="196"/>
    <x v="99"/>
  </r>
  <r>
    <x v="197"/>
    <x v="1"/>
    <x v="8"/>
    <s v="Lincolnwood"/>
    <s v="IL"/>
    <x v="197"/>
    <x v="100"/>
  </r>
  <r>
    <x v="197"/>
    <x v="1"/>
    <x v="27"/>
    <s v="Lincolnwood"/>
    <s v="IL"/>
    <x v="197"/>
    <x v="100"/>
  </r>
  <r>
    <x v="197"/>
    <x v="1"/>
    <x v="13"/>
    <s v="Lincolnwood"/>
    <s v="IL"/>
    <x v="197"/>
    <x v="100"/>
  </r>
  <r>
    <x v="197"/>
    <x v="1"/>
    <x v="14"/>
    <s v="Lincolnwood"/>
    <s v="IL"/>
    <x v="197"/>
    <x v="100"/>
  </r>
  <r>
    <x v="197"/>
    <x v="1"/>
    <x v="29"/>
    <s v="Lincolnwood"/>
    <s v="IL"/>
    <x v="197"/>
    <x v="100"/>
  </r>
  <r>
    <x v="197"/>
    <x v="1"/>
    <x v="17"/>
    <s v="Lincolnwood"/>
    <s v="IL"/>
    <x v="197"/>
    <x v="100"/>
  </r>
  <r>
    <x v="197"/>
    <x v="1"/>
    <x v="18"/>
    <s v="Lincolnwood"/>
    <s v="IL"/>
    <x v="197"/>
    <x v="100"/>
  </r>
  <r>
    <x v="197"/>
    <x v="1"/>
    <x v="4"/>
    <s v="Lincolnwood"/>
    <s v="IL"/>
    <x v="197"/>
    <x v="100"/>
  </r>
  <r>
    <x v="198"/>
    <x v="1"/>
    <x v="33"/>
    <s v="Bolingbrook"/>
    <s v="IL"/>
    <x v="198"/>
    <x v="101"/>
  </r>
  <r>
    <x v="198"/>
    <x v="1"/>
    <x v="41"/>
    <s v="Bolingbrook"/>
    <s v="IL"/>
    <x v="198"/>
    <x v="101"/>
  </r>
  <r>
    <x v="198"/>
    <x v="1"/>
    <x v="42"/>
    <s v="Bolingbrook"/>
    <s v="IL"/>
    <x v="198"/>
    <x v="101"/>
  </r>
  <r>
    <x v="198"/>
    <x v="1"/>
    <x v="43"/>
    <s v="Bolingbrook"/>
    <s v="IL"/>
    <x v="198"/>
    <x v="101"/>
  </r>
  <r>
    <x v="198"/>
    <x v="1"/>
    <x v="13"/>
    <s v="Bolingbrook"/>
    <s v="IL"/>
    <x v="198"/>
    <x v="101"/>
  </r>
  <r>
    <x v="198"/>
    <x v="1"/>
    <x v="57"/>
    <s v="Bolingbrook"/>
    <s v="IL"/>
    <x v="198"/>
    <x v="101"/>
  </r>
  <r>
    <x v="198"/>
    <x v="1"/>
    <x v="58"/>
    <s v="Bolingbrook"/>
    <s v="IL"/>
    <x v="198"/>
    <x v="101"/>
  </r>
  <r>
    <x v="199"/>
    <x v="0"/>
    <x v="27"/>
    <s v="Geneva"/>
    <s v="IL"/>
    <x v="199"/>
    <x v="102"/>
  </r>
  <r>
    <x v="199"/>
    <x v="0"/>
    <x v="35"/>
    <s v="Geneva"/>
    <s v="IL"/>
    <x v="199"/>
    <x v="102"/>
  </r>
  <r>
    <x v="199"/>
    <x v="0"/>
    <x v="17"/>
    <s v="Geneva"/>
    <s v="IL"/>
    <x v="199"/>
    <x v="102"/>
  </r>
  <r>
    <x v="199"/>
    <x v="0"/>
    <x v="46"/>
    <s v="Geneva"/>
    <s v="IL"/>
    <x v="199"/>
    <x v="102"/>
  </r>
  <r>
    <x v="199"/>
    <x v="0"/>
    <x v="18"/>
    <s v="Geneva"/>
    <s v="IL"/>
    <x v="199"/>
    <x v="102"/>
  </r>
  <r>
    <x v="200"/>
    <x v="0"/>
    <x v="13"/>
    <s v="Murphysboro"/>
    <s v="IL"/>
    <x v="200"/>
    <x v="103"/>
  </r>
  <r>
    <x v="200"/>
    <x v="0"/>
    <x v="22"/>
    <s v="Murphysboro"/>
    <s v="IL"/>
    <x v="200"/>
    <x v="103"/>
  </r>
  <r>
    <x v="200"/>
    <x v="0"/>
    <x v="16"/>
    <s v="Murphysboro"/>
    <s v="IL"/>
    <x v="200"/>
    <x v="103"/>
  </r>
  <r>
    <x v="201"/>
    <x v="0"/>
    <x v="61"/>
    <s v="Chicago"/>
    <s v="IL"/>
    <x v="201"/>
    <x v="0"/>
  </r>
  <r>
    <x v="201"/>
    <x v="0"/>
    <x v="34"/>
    <s v="Chicago"/>
    <s v="IL"/>
    <x v="201"/>
    <x v="0"/>
  </r>
  <r>
    <x v="201"/>
    <x v="0"/>
    <x v="37"/>
    <s v="Chicago"/>
    <s v="IL"/>
    <x v="201"/>
    <x v="0"/>
  </r>
  <r>
    <x v="201"/>
    <x v="0"/>
    <x v="38"/>
    <s v="Chicago"/>
    <s v="IL"/>
    <x v="201"/>
    <x v="0"/>
  </r>
  <r>
    <x v="201"/>
    <x v="0"/>
    <x v="39"/>
    <s v="Chicago"/>
    <s v="IL"/>
    <x v="201"/>
    <x v="0"/>
  </r>
  <r>
    <x v="201"/>
    <x v="0"/>
    <x v="40"/>
    <s v="Chicago"/>
    <s v="IL"/>
    <x v="201"/>
    <x v="0"/>
  </r>
  <r>
    <x v="201"/>
    <x v="0"/>
    <x v="59"/>
    <s v="Chicago"/>
    <s v="IL"/>
    <x v="201"/>
    <x v="0"/>
  </r>
  <r>
    <x v="201"/>
    <x v="0"/>
    <x v="41"/>
    <s v="Chicago"/>
    <s v="IL"/>
    <x v="201"/>
    <x v="0"/>
  </r>
  <r>
    <x v="201"/>
    <x v="0"/>
    <x v="42"/>
    <s v="Chicago"/>
    <s v="IL"/>
    <x v="201"/>
    <x v="0"/>
  </r>
  <r>
    <x v="201"/>
    <x v="0"/>
    <x v="7"/>
    <s v="Chicago"/>
    <s v="IL"/>
    <x v="201"/>
    <x v="0"/>
  </r>
  <r>
    <x v="201"/>
    <x v="0"/>
    <x v="8"/>
    <s v="Chicago"/>
    <s v="IL"/>
    <x v="201"/>
    <x v="0"/>
  </r>
  <r>
    <x v="201"/>
    <x v="0"/>
    <x v="9"/>
    <s v="Chicago"/>
    <s v="IL"/>
    <x v="201"/>
    <x v="0"/>
  </r>
  <r>
    <x v="201"/>
    <x v="0"/>
    <x v="10"/>
    <s v="Chicago"/>
    <s v="IL"/>
    <x v="201"/>
    <x v="0"/>
  </r>
  <r>
    <x v="201"/>
    <x v="0"/>
    <x v="11"/>
    <s v="Chicago"/>
    <s v="IL"/>
    <x v="201"/>
    <x v="0"/>
  </r>
  <r>
    <x v="201"/>
    <x v="0"/>
    <x v="24"/>
    <s v="Chicago"/>
    <s v="IL"/>
    <x v="201"/>
    <x v="0"/>
  </r>
  <r>
    <x v="201"/>
    <x v="0"/>
    <x v="25"/>
    <s v="Chicago"/>
    <s v="IL"/>
    <x v="201"/>
    <x v="0"/>
  </r>
  <r>
    <x v="201"/>
    <x v="0"/>
    <x v="12"/>
    <s v="Chicago"/>
    <s v="IL"/>
    <x v="201"/>
    <x v="0"/>
  </r>
  <r>
    <x v="201"/>
    <x v="0"/>
    <x v="26"/>
    <s v="Chicago"/>
    <s v="IL"/>
    <x v="201"/>
    <x v="0"/>
  </r>
  <r>
    <x v="201"/>
    <x v="0"/>
    <x v="21"/>
    <s v="Chicago"/>
    <s v="IL"/>
    <x v="201"/>
    <x v="0"/>
  </r>
  <r>
    <x v="201"/>
    <x v="0"/>
    <x v="44"/>
    <s v="Chicago"/>
    <s v="IL"/>
    <x v="201"/>
    <x v="0"/>
  </r>
  <r>
    <x v="201"/>
    <x v="0"/>
    <x v="27"/>
    <s v="Chicago"/>
    <s v="IL"/>
    <x v="201"/>
    <x v="0"/>
  </r>
  <r>
    <x v="201"/>
    <x v="0"/>
    <x v="13"/>
    <s v="Chicago"/>
    <s v="IL"/>
    <x v="201"/>
    <x v="0"/>
  </r>
  <r>
    <x v="201"/>
    <x v="0"/>
    <x v="22"/>
    <s v="Chicago"/>
    <s v="IL"/>
    <x v="201"/>
    <x v="0"/>
  </r>
  <r>
    <x v="201"/>
    <x v="0"/>
    <x v="14"/>
    <s v="Chicago"/>
    <s v="IL"/>
    <x v="201"/>
    <x v="0"/>
  </r>
  <r>
    <x v="201"/>
    <x v="0"/>
    <x v="23"/>
    <s v="Chicago"/>
    <s v="IL"/>
    <x v="201"/>
    <x v="0"/>
  </r>
  <r>
    <x v="201"/>
    <x v="0"/>
    <x v="36"/>
    <s v="Chicago"/>
    <s v="IL"/>
    <x v="201"/>
    <x v="0"/>
  </r>
  <r>
    <x v="201"/>
    <x v="0"/>
    <x v="16"/>
    <s v="Chicago"/>
    <s v="IL"/>
    <x v="201"/>
    <x v="0"/>
  </r>
  <r>
    <x v="201"/>
    <x v="0"/>
    <x v="35"/>
    <s v="Chicago"/>
    <s v="IL"/>
    <x v="201"/>
    <x v="0"/>
  </r>
  <r>
    <x v="201"/>
    <x v="0"/>
    <x v="17"/>
    <s v="Chicago"/>
    <s v="IL"/>
    <x v="201"/>
    <x v="0"/>
  </r>
  <r>
    <x v="201"/>
    <x v="0"/>
    <x v="46"/>
    <s v="Chicago"/>
    <s v="IL"/>
    <x v="201"/>
    <x v="0"/>
  </r>
  <r>
    <x v="201"/>
    <x v="0"/>
    <x v="18"/>
    <s v="Chicago"/>
    <s v="IL"/>
    <x v="201"/>
    <x v="0"/>
  </r>
  <r>
    <x v="201"/>
    <x v="0"/>
    <x v="19"/>
    <s v="Chicago"/>
    <s v="IL"/>
    <x v="201"/>
    <x v="0"/>
  </r>
  <r>
    <x v="201"/>
    <x v="0"/>
    <x v="3"/>
    <s v="Chicago"/>
    <s v="IL"/>
    <x v="201"/>
    <x v="0"/>
  </r>
  <r>
    <x v="201"/>
    <x v="0"/>
    <x v="47"/>
    <s v="Chicago"/>
    <s v="IL"/>
    <x v="201"/>
    <x v="0"/>
  </r>
  <r>
    <x v="201"/>
    <x v="0"/>
    <x v="4"/>
    <s v="Chicago"/>
    <s v="IL"/>
    <x v="201"/>
    <x v="0"/>
  </r>
  <r>
    <x v="201"/>
    <x v="0"/>
    <x v="5"/>
    <s v="Chicago"/>
    <s v="IL"/>
    <x v="201"/>
    <x v="0"/>
  </r>
  <r>
    <x v="201"/>
    <x v="0"/>
    <x v="48"/>
    <s v="Chicago"/>
    <s v="IL"/>
    <x v="201"/>
    <x v="0"/>
  </r>
  <r>
    <x v="201"/>
    <x v="0"/>
    <x v="6"/>
    <s v="Chicago"/>
    <s v="IL"/>
    <x v="201"/>
    <x v="0"/>
  </r>
  <r>
    <x v="201"/>
    <x v="0"/>
    <x v="49"/>
    <s v="Chicago"/>
    <s v="IL"/>
    <x v="201"/>
    <x v="0"/>
  </r>
  <r>
    <x v="201"/>
    <x v="0"/>
    <x v="50"/>
    <s v="Chicago"/>
    <s v="IL"/>
    <x v="201"/>
    <x v="0"/>
  </r>
  <r>
    <x v="201"/>
    <x v="0"/>
    <x v="32"/>
    <s v="Chicago"/>
    <s v="IL"/>
    <x v="201"/>
    <x v="0"/>
  </r>
  <r>
    <x v="201"/>
    <x v="0"/>
    <x v="51"/>
    <s v="Chicago"/>
    <s v="IL"/>
    <x v="201"/>
    <x v="0"/>
  </r>
  <r>
    <x v="202"/>
    <x v="1"/>
    <x v="14"/>
    <s v="Chicago"/>
    <s v="IL"/>
    <x v="202"/>
    <x v="0"/>
  </r>
  <r>
    <x v="203"/>
    <x v="0"/>
    <x v="7"/>
    <s v="Indianapoils"/>
    <s v="IN"/>
    <x v="203"/>
    <x v="104"/>
  </r>
  <r>
    <x v="203"/>
    <x v="0"/>
    <x v="8"/>
    <s v="Indianapoils"/>
    <s v="IN"/>
    <x v="203"/>
    <x v="104"/>
  </r>
  <r>
    <x v="203"/>
    <x v="0"/>
    <x v="12"/>
    <s v="Indianapoils"/>
    <s v="IN"/>
    <x v="203"/>
    <x v="104"/>
  </r>
  <r>
    <x v="203"/>
    <x v="0"/>
    <x v="3"/>
    <s v="Indianapoils"/>
    <s v="IN"/>
    <x v="203"/>
    <x v="104"/>
  </r>
  <r>
    <x v="203"/>
    <x v="0"/>
    <x v="47"/>
    <s v="Indianapoils"/>
    <s v="IN"/>
    <x v="203"/>
    <x v="104"/>
  </r>
  <r>
    <x v="203"/>
    <x v="0"/>
    <x v="4"/>
    <s v="Indianapoils"/>
    <s v="IN"/>
    <x v="203"/>
    <x v="104"/>
  </r>
  <r>
    <x v="203"/>
    <x v="0"/>
    <x v="5"/>
    <s v="Indianapoils"/>
    <s v="IN"/>
    <x v="203"/>
    <x v="104"/>
  </r>
  <r>
    <x v="203"/>
    <x v="0"/>
    <x v="6"/>
    <s v="Indianapoils"/>
    <s v="IN"/>
    <x v="203"/>
    <x v="104"/>
  </r>
  <r>
    <x v="203"/>
    <x v="0"/>
    <x v="49"/>
    <s v="Indianapoils"/>
    <s v="IN"/>
    <x v="203"/>
    <x v="104"/>
  </r>
  <r>
    <x v="204"/>
    <x v="0"/>
    <x v="1"/>
    <s v="Morris"/>
    <s v="IL"/>
    <x v="204"/>
    <x v="105"/>
  </r>
  <r>
    <x v="204"/>
    <x v="0"/>
    <x v="2"/>
    <s v="Morris"/>
    <s v="IL"/>
    <x v="204"/>
    <x v="105"/>
  </r>
  <r>
    <x v="205"/>
    <x v="1"/>
    <x v="52"/>
    <s v="Chicago"/>
    <s v="IL"/>
    <x v="205"/>
    <x v="0"/>
  </r>
  <r>
    <x v="206"/>
    <x v="0"/>
    <x v="1"/>
    <s v="Chicago"/>
    <s v="IL"/>
    <x v="206"/>
    <x v="0"/>
  </r>
  <r>
    <x v="207"/>
    <x v="1"/>
    <x v="52"/>
    <s v="Chicago"/>
    <s v="IL"/>
    <x v="207"/>
    <x v="0"/>
  </r>
  <r>
    <x v="208"/>
    <x v="0"/>
    <x v="29"/>
    <s v="Lake Villa"/>
    <s v="IL"/>
    <x v="208"/>
    <x v="106"/>
  </r>
  <r>
    <x v="209"/>
    <x v="0"/>
    <x v="25"/>
    <s v="Hobart"/>
    <s v="WI"/>
    <x v="209"/>
    <x v="107"/>
  </r>
  <r>
    <x v="209"/>
    <x v="0"/>
    <x v="12"/>
    <s v="Hobart"/>
    <s v="WI"/>
    <x v="209"/>
    <x v="107"/>
  </r>
  <r>
    <x v="209"/>
    <x v="0"/>
    <x v="35"/>
    <s v="Hobart"/>
    <s v="WI"/>
    <x v="209"/>
    <x v="107"/>
  </r>
  <r>
    <x v="210"/>
    <x v="1"/>
    <x v="14"/>
    <s v="Chicago"/>
    <s v="IL"/>
    <x v="210"/>
    <x v="0"/>
  </r>
  <r>
    <x v="211"/>
    <x v="0"/>
    <x v="8"/>
    <s v="Granite City"/>
    <s v="IL"/>
    <x v="211"/>
    <x v="108"/>
  </r>
  <r>
    <x v="211"/>
    <x v="0"/>
    <x v="9"/>
    <s v="Granite City"/>
    <s v="IL"/>
    <x v="211"/>
    <x v="108"/>
  </r>
  <r>
    <x v="211"/>
    <x v="0"/>
    <x v="10"/>
    <s v="Granite City"/>
    <s v="IL"/>
    <x v="211"/>
    <x v="108"/>
  </r>
  <r>
    <x v="211"/>
    <x v="0"/>
    <x v="11"/>
    <s v="Granite City"/>
    <s v="IL"/>
    <x v="211"/>
    <x v="108"/>
  </r>
  <r>
    <x v="211"/>
    <x v="0"/>
    <x v="24"/>
    <s v="Granite City"/>
    <s v="IL"/>
    <x v="211"/>
    <x v="108"/>
  </r>
  <r>
    <x v="211"/>
    <x v="0"/>
    <x v="25"/>
    <s v="Granite City"/>
    <s v="IL"/>
    <x v="211"/>
    <x v="108"/>
  </r>
  <r>
    <x v="211"/>
    <x v="0"/>
    <x v="12"/>
    <s v="Granite City"/>
    <s v="IL"/>
    <x v="211"/>
    <x v="108"/>
  </r>
  <r>
    <x v="211"/>
    <x v="0"/>
    <x v="27"/>
    <s v="Granite City"/>
    <s v="IL"/>
    <x v="211"/>
    <x v="108"/>
  </r>
  <r>
    <x v="211"/>
    <x v="0"/>
    <x v="13"/>
    <s v="Granite City"/>
    <s v="IL"/>
    <x v="211"/>
    <x v="108"/>
  </r>
  <r>
    <x v="211"/>
    <x v="0"/>
    <x v="15"/>
    <s v="Granite City"/>
    <s v="IL"/>
    <x v="211"/>
    <x v="108"/>
  </r>
  <r>
    <x v="211"/>
    <x v="0"/>
    <x v="16"/>
    <s v="Granite City"/>
    <s v="IL"/>
    <x v="211"/>
    <x v="108"/>
  </r>
  <r>
    <x v="211"/>
    <x v="0"/>
    <x v="29"/>
    <s v="Granite City"/>
    <s v="IL"/>
    <x v="211"/>
    <x v="108"/>
  </r>
  <r>
    <x v="211"/>
    <x v="0"/>
    <x v="35"/>
    <s v="Granite City"/>
    <s v="IL"/>
    <x v="211"/>
    <x v="108"/>
  </r>
  <r>
    <x v="211"/>
    <x v="0"/>
    <x v="17"/>
    <s v="Granite City"/>
    <s v="IL"/>
    <x v="211"/>
    <x v="108"/>
  </r>
  <r>
    <x v="211"/>
    <x v="0"/>
    <x v="18"/>
    <s v="Granite City"/>
    <s v="IL"/>
    <x v="211"/>
    <x v="108"/>
  </r>
  <r>
    <x v="211"/>
    <x v="0"/>
    <x v="19"/>
    <s v="Granite City"/>
    <s v="IL"/>
    <x v="211"/>
    <x v="108"/>
  </r>
  <r>
    <x v="211"/>
    <x v="0"/>
    <x v="4"/>
    <s v="Granite City"/>
    <s v="IL"/>
    <x v="211"/>
    <x v="108"/>
  </r>
  <r>
    <x v="211"/>
    <x v="0"/>
    <x v="5"/>
    <s v="Granite City"/>
    <s v="IL"/>
    <x v="211"/>
    <x v="108"/>
  </r>
  <r>
    <x v="212"/>
    <x v="1"/>
    <x v="12"/>
    <s v="Downers Grove"/>
    <s v="IL"/>
    <x v="212"/>
    <x v="11"/>
  </r>
  <r>
    <x v="212"/>
    <x v="1"/>
    <x v="13"/>
    <s v="Downers Grove"/>
    <s v="IL"/>
    <x v="212"/>
    <x v="11"/>
  </r>
  <r>
    <x v="213"/>
    <x v="1"/>
    <x v="8"/>
    <s v="AURORA"/>
    <s v="IL"/>
    <x v="213"/>
    <x v="8"/>
  </r>
  <r>
    <x v="213"/>
    <x v="1"/>
    <x v="16"/>
    <s v="AURORA"/>
    <s v="IL"/>
    <x v="213"/>
    <x v="8"/>
  </r>
  <r>
    <x v="214"/>
    <x v="1"/>
    <x v="41"/>
    <s v="Woodridge"/>
    <s v="IL"/>
    <x v="214"/>
    <x v="109"/>
  </r>
  <r>
    <x v="215"/>
    <x v="1"/>
    <x v="39"/>
    <s v="Belleville"/>
    <s v="IL"/>
    <x v="215"/>
    <x v="70"/>
  </r>
  <r>
    <x v="215"/>
    <x v="1"/>
    <x v="40"/>
    <s v="Belleville"/>
    <s v="IL"/>
    <x v="215"/>
    <x v="70"/>
  </r>
  <r>
    <x v="215"/>
    <x v="1"/>
    <x v="41"/>
    <s v="Belleville"/>
    <s v="IL"/>
    <x v="215"/>
    <x v="70"/>
  </r>
  <r>
    <x v="215"/>
    <x v="1"/>
    <x v="42"/>
    <s v="Belleville"/>
    <s v="IL"/>
    <x v="215"/>
    <x v="70"/>
  </r>
  <r>
    <x v="215"/>
    <x v="1"/>
    <x v="43"/>
    <s v="Belleville"/>
    <s v="IL"/>
    <x v="215"/>
    <x v="70"/>
  </r>
  <r>
    <x v="215"/>
    <x v="1"/>
    <x v="7"/>
    <s v="Belleville"/>
    <s v="IL"/>
    <x v="215"/>
    <x v="70"/>
  </r>
  <r>
    <x v="215"/>
    <x v="1"/>
    <x v="8"/>
    <s v="Belleville"/>
    <s v="IL"/>
    <x v="215"/>
    <x v="70"/>
  </r>
  <r>
    <x v="215"/>
    <x v="1"/>
    <x v="10"/>
    <s v="Belleville"/>
    <s v="IL"/>
    <x v="215"/>
    <x v="70"/>
  </r>
  <r>
    <x v="215"/>
    <x v="1"/>
    <x v="11"/>
    <s v="Belleville"/>
    <s v="IL"/>
    <x v="215"/>
    <x v="70"/>
  </r>
  <r>
    <x v="215"/>
    <x v="1"/>
    <x v="24"/>
    <s v="Belleville"/>
    <s v="IL"/>
    <x v="215"/>
    <x v="70"/>
  </r>
  <r>
    <x v="215"/>
    <x v="1"/>
    <x v="25"/>
    <s v="Belleville"/>
    <s v="IL"/>
    <x v="215"/>
    <x v="70"/>
  </r>
  <r>
    <x v="215"/>
    <x v="1"/>
    <x v="12"/>
    <s v="Belleville"/>
    <s v="IL"/>
    <x v="215"/>
    <x v="70"/>
  </r>
  <r>
    <x v="215"/>
    <x v="1"/>
    <x v="27"/>
    <s v="Belleville"/>
    <s v="IL"/>
    <x v="215"/>
    <x v="70"/>
  </r>
  <r>
    <x v="215"/>
    <x v="1"/>
    <x v="13"/>
    <s v="Belleville"/>
    <s v="IL"/>
    <x v="215"/>
    <x v="70"/>
  </r>
  <r>
    <x v="215"/>
    <x v="1"/>
    <x v="36"/>
    <s v="Belleville"/>
    <s v="IL"/>
    <x v="215"/>
    <x v="70"/>
  </r>
  <r>
    <x v="215"/>
    <x v="1"/>
    <x v="35"/>
    <s v="Belleville"/>
    <s v="IL"/>
    <x v="215"/>
    <x v="70"/>
  </r>
  <r>
    <x v="215"/>
    <x v="1"/>
    <x v="17"/>
    <s v="Belleville"/>
    <s v="IL"/>
    <x v="215"/>
    <x v="70"/>
  </r>
  <r>
    <x v="215"/>
    <x v="1"/>
    <x v="18"/>
    <s v="Belleville"/>
    <s v="IL"/>
    <x v="215"/>
    <x v="70"/>
  </r>
  <r>
    <x v="215"/>
    <x v="1"/>
    <x v="19"/>
    <s v="Belleville"/>
    <s v="IL"/>
    <x v="215"/>
    <x v="70"/>
  </r>
  <r>
    <x v="215"/>
    <x v="1"/>
    <x v="30"/>
    <s v="Belleville"/>
    <s v="IL"/>
    <x v="215"/>
    <x v="70"/>
  </r>
  <r>
    <x v="215"/>
    <x v="1"/>
    <x v="4"/>
    <s v="Belleville"/>
    <s v="IL"/>
    <x v="215"/>
    <x v="70"/>
  </r>
  <r>
    <x v="215"/>
    <x v="1"/>
    <x v="5"/>
    <s v="Belleville"/>
    <s v="IL"/>
    <x v="215"/>
    <x v="70"/>
  </r>
  <r>
    <x v="216"/>
    <x v="1"/>
    <x v="22"/>
    <s v="Chicago"/>
    <s v="IL"/>
    <x v="216"/>
    <x v="0"/>
  </r>
  <r>
    <x v="217"/>
    <x v="0"/>
    <x v="27"/>
    <s v="Rosemont"/>
    <s v="IL"/>
    <x v="217"/>
    <x v="38"/>
  </r>
  <r>
    <x v="217"/>
    <x v="0"/>
    <x v="17"/>
    <s v="Rosemont"/>
    <s v="IL"/>
    <x v="217"/>
    <x v="38"/>
  </r>
  <r>
    <x v="218"/>
    <x v="0"/>
    <x v="33"/>
    <s v="Warrenville"/>
    <s v="IL"/>
    <x v="218"/>
    <x v="68"/>
  </r>
  <r>
    <x v="218"/>
    <x v="0"/>
    <x v="61"/>
    <s v="Warrenville"/>
    <s v="IL"/>
    <x v="218"/>
    <x v="68"/>
  </r>
  <r>
    <x v="218"/>
    <x v="0"/>
    <x v="34"/>
    <s v="Warrenville"/>
    <s v="IL"/>
    <x v="218"/>
    <x v="68"/>
  </r>
  <r>
    <x v="218"/>
    <x v="0"/>
    <x v="37"/>
    <s v="Warrenville"/>
    <s v="IL"/>
    <x v="218"/>
    <x v="68"/>
  </r>
  <r>
    <x v="218"/>
    <x v="0"/>
    <x v="38"/>
    <s v="Warrenville"/>
    <s v="IL"/>
    <x v="218"/>
    <x v="68"/>
  </r>
  <r>
    <x v="218"/>
    <x v="0"/>
    <x v="7"/>
    <s v="Warrenville"/>
    <s v="IL"/>
    <x v="218"/>
    <x v="68"/>
  </r>
  <r>
    <x v="218"/>
    <x v="0"/>
    <x v="8"/>
    <s v="Warrenville"/>
    <s v="IL"/>
    <x v="218"/>
    <x v="68"/>
  </r>
  <r>
    <x v="218"/>
    <x v="0"/>
    <x v="10"/>
    <s v="Warrenville"/>
    <s v="IL"/>
    <x v="218"/>
    <x v="68"/>
  </r>
  <r>
    <x v="218"/>
    <x v="0"/>
    <x v="11"/>
    <s v="Warrenville"/>
    <s v="IL"/>
    <x v="218"/>
    <x v="68"/>
  </r>
  <r>
    <x v="218"/>
    <x v="0"/>
    <x v="24"/>
    <s v="Warrenville"/>
    <s v="IL"/>
    <x v="218"/>
    <x v="68"/>
  </r>
  <r>
    <x v="218"/>
    <x v="0"/>
    <x v="25"/>
    <s v="Warrenville"/>
    <s v="IL"/>
    <x v="218"/>
    <x v="68"/>
  </r>
  <r>
    <x v="218"/>
    <x v="0"/>
    <x v="12"/>
    <s v="Warrenville"/>
    <s v="IL"/>
    <x v="218"/>
    <x v="68"/>
  </r>
  <r>
    <x v="218"/>
    <x v="0"/>
    <x v="21"/>
    <s v="Warrenville"/>
    <s v="IL"/>
    <x v="218"/>
    <x v="68"/>
  </r>
  <r>
    <x v="218"/>
    <x v="0"/>
    <x v="27"/>
    <s v="Warrenville"/>
    <s v="IL"/>
    <x v="218"/>
    <x v="68"/>
  </r>
  <r>
    <x v="218"/>
    <x v="0"/>
    <x v="13"/>
    <s v="Warrenville"/>
    <s v="IL"/>
    <x v="218"/>
    <x v="68"/>
  </r>
  <r>
    <x v="218"/>
    <x v="0"/>
    <x v="22"/>
    <s v="Warrenville"/>
    <s v="IL"/>
    <x v="218"/>
    <x v="68"/>
  </r>
  <r>
    <x v="218"/>
    <x v="0"/>
    <x v="14"/>
    <s v="Warrenville"/>
    <s v="IL"/>
    <x v="218"/>
    <x v="68"/>
  </r>
  <r>
    <x v="218"/>
    <x v="0"/>
    <x v="36"/>
    <s v="Warrenville"/>
    <s v="IL"/>
    <x v="218"/>
    <x v="68"/>
  </r>
  <r>
    <x v="218"/>
    <x v="0"/>
    <x v="35"/>
    <s v="Warrenville"/>
    <s v="IL"/>
    <x v="218"/>
    <x v="68"/>
  </r>
  <r>
    <x v="218"/>
    <x v="0"/>
    <x v="17"/>
    <s v="Warrenville"/>
    <s v="IL"/>
    <x v="218"/>
    <x v="68"/>
  </r>
  <r>
    <x v="218"/>
    <x v="0"/>
    <x v="46"/>
    <s v="Warrenville"/>
    <s v="IL"/>
    <x v="218"/>
    <x v="68"/>
  </r>
  <r>
    <x v="218"/>
    <x v="0"/>
    <x v="18"/>
    <s v="Warrenville"/>
    <s v="IL"/>
    <x v="218"/>
    <x v="68"/>
  </r>
  <r>
    <x v="218"/>
    <x v="0"/>
    <x v="19"/>
    <s v="Warrenville"/>
    <s v="IL"/>
    <x v="218"/>
    <x v="68"/>
  </r>
  <r>
    <x v="218"/>
    <x v="0"/>
    <x v="3"/>
    <s v="Warrenville"/>
    <s v="IL"/>
    <x v="218"/>
    <x v="68"/>
  </r>
  <r>
    <x v="218"/>
    <x v="0"/>
    <x v="47"/>
    <s v="Warrenville"/>
    <s v="IL"/>
    <x v="218"/>
    <x v="68"/>
  </r>
  <r>
    <x v="218"/>
    <x v="0"/>
    <x v="4"/>
    <s v="Warrenville"/>
    <s v="IL"/>
    <x v="218"/>
    <x v="68"/>
  </r>
  <r>
    <x v="218"/>
    <x v="0"/>
    <x v="5"/>
    <s v="Warrenville"/>
    <s v="IL"/>
    <x v="218"/>
    <x v="68"/>
  </r>
  <r>
    <x v="218"/>
    <x v="0"/>
    <x v="6"/>
    <s v="Warrenville"/>
    <s v="IL"/>
    <x v="218"/>
    <x v="68"/>
  </r>
  <r>
    <x v="218"/>
    <x v="0"/>
    <x v="50"/>
    <s v="Warrenville"/>
    <s v="IL"/>
    <x v="218"/>
    <x v="68"/>
  </r>
  <r>
    <x v="219"/>
    <x v="0"/>
    <x v="41"/>
    <s v="Quincy"/>
    <s v="IL"/>
    <x v="219"/>
    <x v="110"/>
  </r>
  <r>
    <x v="219"/>
    <x v="0"/>
    <x v="42"/>
    <s v="Quincy"/>
    <s v="IL"/>
    <x v="219"/>
    <x v="110"/>
  </r>
  <r>
    <x v="219"/>
    <x v="0"/>
    <x v="43"/>
    <s v="Quincy"/>
    <s v="IL"/>
    <x v="219"/>
    <x v="110"/>
  </r>
  <r>
    <x v="219"/>
    <x v="0"/>
    <x v="7"/>
    <s v="Quincy"/>
    <s v="IL"/>
    <x v="219"/>
    <x v="110"/>
  </r>
  <r>
    <x v="219"/>
    <x v="0"/>
    <x v="8"/>
    <s v="Quincy"/>
    <s v="IL"/>
    <x v="219"/>
    <x v="110"/>
  </r>
  <r>
    <x v="219"/>
    <x v="0"/>
    <x v="9"/>
    <s v="Quincy"/>
    <s v="IL"/>
    <x v="219"/>
    <x v="110"/>
  </r>
  <r>
    <x v="219"/>
    <x v="0"/>
    <x v="10"/>
    <s v="Quincy"/>
    <s v="IL"/>
    <x v="219"/>
    <x v="110"/>
  </r>
  <r>
    <x v="219"/>
    <x v="0"/>
    <x v="60"/>
    <s v="Quincy"/>
    <s v="IL"/>
    <x v="219"/>
    <x v="110"/>
  </r>
  <r>
    <x v="219"/>
    <x v="0"/>
    <x v="11"/>
    <s v="Quincy"/>
    <s v="IL"/>
    <x v="219"/>
    <x v="110"/>
  </r>
  <r>
    <x v="219"/>
    <x v="0"/>
    <x v="25"/>
    <s v="Quincy"/>
    <s v="IL"/>
    <x v="219"/>
    <x v="110"/>
  </r>
  <r>
    <x v="219"/>
    <x v="0"/>
    <x v="12"/>
    <s v="Quincy"/>
    <s v="IL"/>
    <x v="219"/>
    <x v="110"/>
  </r>
  <r>
    <x v="219"/>
    <x v="0"/>
    <x v="44"/>
    <s v="Quincy"/>
    <s v="IL"/>
    <x v="219"/>
    <x v="110"/>
  </r>
  <r>
    <x v="219"/>
    <x v="0"/>
    <x v="27"/>
    <s v="Quincy"/>
    <s v="IL"/>
    <x v="219"/>
    <x v="110"/>
  </r>
  <r>
    <x v="219"/>
    <x v="0"/>
    <x v="52"/>
    <s v="Quincy"/>
    <s v="IL"/>
    <x v="219"/>
    <x v="110"/>
  </r>
  <r>
    <x v="219"/>
    <x v="0"/>
    <x v="55"/>
    <s v="Quincy"/>
    <s v="IL"/>
    <x v="219"/>
    <x v="110"/>
  </r>
  <r>
    <x v="219"/>
    <x v="0"/>
    <x v="13"/>
    <s v="Quincy"/>
    <s v="IL"/>
    <x v="219"/>
    <x v="110"/>
  </r>
  <r>
    <x v="219"/>
    <x v="0"/>
    <x v="22"/>
    <s v="Quincy"/>
    <s v="IL"/>
    <x v="219"/>
    <x v="110"/>
  </r>
  <r>
    <x v="219"/>
    <x v="0"/>
    <x v="14"/>
    <s v="Quincy"/>
    <s v="IL"/>
    <x v="219"/>
    <x v="110"/>
  </r>
  <r>
    <x v="219"/>
    <x v="0"/>
    <x v="23"/>
    <s v="Quincy"/>
    <s v="IL"/>
    <x v="219"/>
    <x v="110"/>
  </r>
  <r>
    <x v="219"/>
    <x v="0"/>
    <x v="16"/>
    <s v="Quincy"/>
    <s v="IL"/>
    <x v="219"/>
    <x v="110"/>
  </r>
  <r>
    <x v="219"/>
    <x v="0"/>
    <x v="29"/>
    <s v="Quincy"/>
    <s v="IL"/>
    <x v="219"/>
    <x v="110"/>
  </r>
  <r>
    <x v="219"/>
    <x v="0"/>
    <x v="18"/>
    <s v="Quincy"/>
    <s v="IL"/>
    <x v="219"/>
    <x v="110"/>
  </r>
  <r>
    <x v="219"/>
    <x v="0"/>
    <x v="19"/>
    <s v="Quincy"/>
    <s v="IL"/>
    <x v="219"/>
    <x v="110"/>
  </r>
  <r>
    <x v="219"/>
    <x v="0"/>
    <x v="4"/>
    <s v="Quincy"/>
    <s v="IL"/>
    <x v="219"/>
    <x v="110"/>
  </r>
  <r>
    <x v="219"/>
    <x v="0"/>
    <x v="5"/>
    <s v="Quincy"/>
    <s v="IL"/>
    <x v="219"/>
    <x v="110"/>
  </r>
  <r>
    <x v="220"/>
    <x v="0"/>
    <x v="3"/>
    <s v="Chicago"/>
    <s v="IL"/>
    <x v="220"/>
    <x v="0"/>
  </r>
  <r>
    <x v="220"/>
    <x v="0"/>
    <x v="47"/>
    <s v="Chicago"/>
    <s v="IL"/>
    <x v="220"/>
    <x v="0"/>
  </r>
  <r>
    <x v="220"/>
    <x v="0"/>
    <x v="4"/>
    <s v="Chicago"/>
    <s v="IL"/>
    <x v="220"/>
    <x v="0"/>
  </r>
  <r>
    <x v="220"/>
    <x v="0"/>
    <x v="5"/>
    <s v="Chicago"/>
    <s v="IL"/>
    <x v="220"/>
    <x v="0"/>
  </r>
  <r>
    <x v="220"/>
    <x v="0"/>
    <x v="49"/>
    <s v="Chicago"/>
    <s v="IL"/>
    <x v="220"/>
    <x v="0"/>
  </r>
  <r>
    <x v="221"/>
    <x v="0"/>
    <x v="0"/>
    <s v="Pittsburgh"/>
    <s v="PA"/>
    <x v="221"/>
    <x v="61"/>
  </r>
  <r>
    <x v="222"/>
    <x v="0"/>
    <x v="8"/>
    <s v="Springfield"/>
    <s v="IL"/>
    <x v="222"/>
    <x v="12"/>
  </r>
  <r>
    <x v="222"/>
    <x v="0"/>
    <x v="12"/>
    <s v="Springfield"/>
    <s v="IL"/>
    <x v="222"/>
    <x v="12"/>
  </r>
  <r>
    <x v="222"/>
    <x v="0"/>
    <x v="13"/>
    <s v="Springfield"/>
    <s v="IL"/>
    <x v="222"/>
    <x v="12"/>
  </r>
  <r>
    <x v="222"/>
    <x v="0"/>
    <x v="29"/>
    <s v="Springfield"/>
    <s v="IL"/>
    <x v="222"/>
    <x v="12"/>
  </r>
  <r>
    <x v="222"/>
    <x v="0"/>
    <x v="4"/>
    <s v="Springfield"/>
    <s v="IL"/>
    <x v="222"/>
    <x v="12"/>
  </r>
  <r>
    <x v="222"/>
    <x v="0"/>
    <x v="5"/>
    <s v="Springfield"/>
    <s v="IL"/>
    <x v="222"/>
    <x v="12"/>
  </r>
  <r>
    <x v="223"/>
    <x v="1"/>
    <x v="13"/>
    <s v="Chicago"/>
    <s v="IL"/>
    <x v="223"/>
    <x v="0"/>
  </r>
  <r>
    <x v="223"/>
    <x v="1"/>
    <x v="32"/>
    <s v="Chicago"/>
    <s v="IL"/>
    <x v="223"/>
    <x v="0"/>
  </r>
  <r>
    <x v="224"/>
    <x v="1"/>
    <x v="7"/>
    <s v="Wauwatosa"/>
    <s v="WI"/>
    <x v="224"/>
    <x v="111"/>
  </r>
  <r>
    <x v="224"/>
    <x v="1"/>
    <x v="8"/>
    <s v="Wauwatosa"/>
    <s v="WI"/>
    <x v="224"/>
    <x v="111"/>
  </r>
  <r>
    <x v="224"/>
    <x v="1"/>
    <x v="27"/>
    <s v="Wauwatosa"/>
    <s v="WI"/>
    <x v="224"/>
    <x v="111"/>
  </r>
  <r>
    <x v="224"/>
    <x v="1"/>
    <x v="17"/>
    <s v="Wauwatosa"/>
    <s v="WI"/>
    <x v="224"/>
    <x v="111"/>
  </r>
  <r>
    <x v="224"/>
    <x v="1"/>
    <x v="18"/>
    <s v="Wauwatosa"/>
    <s v="WI"/>
    <x v="224"/>
    <x v="111"/>
  </r>
  <r>
    <x v="225"/>
    <x v="0"/>
    <x v="38"/>
    <s v="Chicago"/>
    <s v="IL"/>
    <x v="225"/>
    <x v="0"/>
  </r>
  <r>
    <x v="226"/>
    <x v="0"/>
    <x v="52"/>
    <s v="Rockford"/>
    <s v="IL"/>
    <x v="226"/>
    <x v="72"/>
  </r>
  <r>
    <x v="227"/>
    <x v="0"/>
    <x v="8"/>
    <s v="Naperville"/>
    <s v="IL"/>
    <x v="227"/>
    <x v="52"/>
  </r>
  <r>
    <x v="227"/>
    <x v="0"/>
    <x v="13"/>
    <s v="Naperville"/>
    <s v="IL"/>
    <x v="227"/>
    <x v="52"/>
  </r>
  <r>
    <x v="228"/>
    <x v="0"/>
    <x v="52"/>
    <s v="Gurnee"/>
    <s v="IL"/>
    <x v="228"/>
    <x v="112"/>
  </r>
  <r>
    <x v="229"/>
    <x v="1"/>
    <x v="42"/>
    <s v="Westmont"/>
    <s v="IL"/>
    <x v="229"/>
    <x v="113"/>
  </r>
  <r>
    <x v="229"/>
    <x v="1"/>
    <x v="7"/>
    <s v="Westmont"/>
    <s v="IL"/>
    <x v="229"/>
    <x v="113"/>
  </r>
  <r>
    <x v="229"/>
    <x v="1"/>
    <x v="8"/>
    <s v="Westmont"/>
    <s v="IL"/>
    <x v="229"/>
    <x v="113"/>
  </r>
  <r>
    <x v="229"/>
    <x v="1"/>
    <x v="10"/>
    <s v="Westmont"/>
    <s v="IL"/>
    <x v="229"/>
    <x v="113"/>
  </r>
  <r>
    <x v="229"/>
    <x v="1"/>
    <x v="11"/>
    <s v="Westmont"/>
    <s v="IL"/>
    <x v="229"/>
    <x v="113"/>
  </r>
  <r>
    <x v="229"/>
    <x v="1"/>
    <x v="25"/>
    <s v="Westmont"/>
    <s v="IL"/>
    <x v="229"/>
    <x v="113"/>
  </r>
  <r>
    <x v="229"/>
    <x v="1"/>
    <x v="12"/>
    <s v="Westmont"/>
    <s v="IL"/>
    <x v="229"/>
    <x v="113"/>
  </r>
  <r>
    <x v="229"/>
    <x v="1"/>
    <x v="27"/>
    <s v="Westmont"/>
    <s v="IL"/>
    <x v="229"/>
    <x v="113"/>
  </r>
  <r>
    <x v="229"/>
    <x v="1"/>
    <x v="13"/>
    <s v="Westmont"/>
    <s v="IL"/>
    <x v="229"/>
    <x v="113"/>
  </r>
  <r>
    <x v="229"/>
    <x v="1"/>
    <x v="29"/>
    <s v="Westmont"/>
    <s v="IL"/>
    <x v="229"/>
    <x v="113"/>
  </r>
  <r>
    <x v="229"/>
    <x v="1"/>
    <x v="35"/>
    <s v="Westmont"/>
    <s v="IL"/>
    <x v="229"/>
    <x v="113"/>
  </r>
  <r>
    <x v="229"/>
    <x v="1"/>
    <x v="17"/>
    <s v="Westmont"/>
    <s v="IL"/>
    <x v="229"/>
    <x v="113"/>
  </r>
  <r>
    <x v="229"/>
    <x v="1"/>
    <x v="18"/>
    <s v="Westmont"/>
    <s v="IL"/>
    <x v="229"/>
    <x v="113"/>
  </r>
  <r>
    <x v="229"/>
    <x v="1"/>
    <x v="19"/>
    <s v="Westmont"/>
    <s v="IL"/>
    <x v="229"/>
    <x v="113"/>
  </r>
  <r>
    <x v="229"/>
    <x v="1"/>
    <x v="3"/>
    <s v="Westmont"/>
    <s v="IL"/>
    <x v="229"/>
    <x v="113"/>
  </r>
  <r>
    <x v="229"/>
    <x v="1"/>
    <x v="4"/>
    <s v="Westmont"/>
    <s v="IL"/>
    <x v="229"/>
    <x v="113"/>
  </r>
  <r>
    <x v="229"/>
    <x v="1"/>
    <x v="5"/>
    <s v="Westmont"/>
    <s v="IL"/>
    <x v="229"/>
    <x v="113"/>
  </r>
  <r>
    <x v="229"/>
    <x v="1"/>
    <x v="6"/>
    <s v="Westmont"/>
    <s v="IL"/>
    <x v="229"/>
    <x v="113"/>
  </r>
  <r>
    <x v="230"/>
    <x v="0"/>
    <x v="37"/>
    <s v="Chicago"/>
    <s v="IL"/>
    <x v="230"/>
    <x v="0"/>
  </r>
  <r>
    <x v="230"/>
    <x v="0"/>
    <x v="7"/>
    <s v="Chicago"/>
    <s v="IL"/>
    <x v="230"/>
    <x v="0"/>
  </r>
  <r>
    <x v="230"/>
    <x v="0"/>
    <x v="8"/>
    <s v="Chicago"/>
    <s v="IL"/>
    <x v="230"/>
    <x v="0"/>
  </r>
  <r>
    <x v="230"/>
    <x v="0"/>
    <x v="9"/>
    <s v="Chicago"/>
    <s v="IL"/>
    <x v="230"/>
    <x v="0"/>
  </r>
  <r>
    <x v="230"/>
    <x v="0"/>
    <x v="10"/>
    <s v="Chicago"/>
    <s v="IL"/>
    <x v="230"/>
    <x v="0"/>
  </r>
  <r>
    <x v="230"/>
    <x v="0"/>
    <x v="11"/>
    <s v="Chicago"/>
    <s v="IL"/>
    <x v="230"/>
    <x v="0"/>
  </r>
  <r>
    <x v="230"/>
    <x v="0"/>
    <x v="24"/>
    <s v="Chicago"/>
    <s v="IL"/>
    <x v="230"/>
    <x v="0"/>
  </r>
  <r>
    <x v="230"/>
    <x v="0"/>
    <x v="25"/>
    <s v="Chicago"/>
    <s v="IL"/>
    <x v="230"/>
    <x v="0"/>
  </r>
  <r>
    <x v="230"/>
    <x v="0"/>
    <x v="12"/>
    <s v="Chicago"/>
    <s v="IL"/>
    <x v="230"/>
    <x v="0"/>
  </r>
  <r>
    <x v="230"/>
    <x v="0"/>
    <x v="27"/>
    <s v="Chicago"/>
    <s v="IL"/>
    <x v="230"/>
    <x v="0"/>
  </r>
  <r>
    <x v="230"/>
    <x v="0"/>
    <x v="52"/>
    <s v="Chicago"/>
    <s v="IL"/>
    <x v="230"/>
    <x v="0"/>
  </r>
  <r>
    <x v="230"/>
    <x v="0"/>
    <x v="13"/>
    <s v="Chicago"/>
    <s v="IL"/>
    <x v="230"/>
    <x v="0"/>
  </r>
  <r>
    <x v="230"/>
    <x v="0"/>
    <x v="22"/>
    <s v="Chicago"/>
    <s v="IL"/>
    <x v="230"/>
    <x v="0"/>
  </r>
  <r>
    <x v="230"/>
    <x v="0"/>
    <x v="14"/>
    <s v="Chicago"/>
    <s v="IL"/>
    <x v="230"/>
    <x v="0"/>
  </r>
  <r>
    <x v="230"/>
    <x v="0"/>
    <x v="23"/>
    <s v="Chicago"/>
    <s v="IL"/>
    <x v="230"/>
    <x v="0"/>
  </r>
  <r>
    <x v="230"/>
    <x v="0"/>
    <x v="15"/>
    <s v="Chicago"/>
    <s v="IL"/>
    <x v="230"/>
    <x v="0"/>
  </r>
  <r>
    <x v="230"/>
    <x v="0"/>
    <x v="35"/>
    <s v="Chicago"/>
    <s v="IL"/>
    <x v="230"/>
    <x v="0"/>
  </r>
  <r>
    <x v="230"/>
    <x v="0"/>
    <x v="17"/>
    <s v="Chicago"/>
    <s v="IL"/>
    <x v="230"/>
    <x v="0"/>
  </r>
  <r>
    <x v="230"/>
    <x v="0"/>
    <x v="46"/>
    <s v="Chicago"/>
    <s v="IL"/>
    <x v="230"/>
    <x v="0"/>
  </r>
  <r>
    <x v="230"/>
    <x v="0"/>
    <x v="18"/>
    <s v="Chicago"/>
    <s v="IL"/>
    <x v="230"/>
    <x v="0"/>
  </r>
  <r>
    <x v="230"/>
    <x v="0"/>
    <x v="19"/>
    <s v="Chicago"/>
    <s v="IL"/>
    <x v="230"/>
    <x v="0"/>
  </r>
  <r>
    <x v="230"/>
    <x v="0"/>
    <x v="3"/>
    <s v="Chicago"/>
    <s v="IL"/>
    <x v="230"/>
    <x v="0"/>
  </r>
  <r>
    <x v="230"/>
    <x v="0"/>
    <x v="47"/>
    <s v="Chicago"/>
    <s v="IL"/>
    <x v="230"/>
    <x v="0"/>
  </r>
  <r>
    <x v="230"/>
    <x v="0"/>
    <x v="4"/>
    <s v="Chicago"/>
    <s v="IL"/>
    <x v="230"/>
    <x v="0"/>
  </r>
  <r>
    <x v="230"/>
    <x v="0"/>
    <x v="5"/>
    <s v="Chicago"/>
    <s v="IL"/>
    <x v="230"/>
    <x v="0"/>
  </r>
  <r>
    <x v="230"/>
    <x v="0"/>
    <x v="48"/>
    <s v="Chicago"/>
    <s v="IL"/>
    <x v="230"/>
    <x v="0"/>
  </r>
  <r>
    <x v="230"/>
    <x v="0"/>
    <x v="6"/>
    <s v="Chicago"/>
    <s v="IL"/>
    <x v="230"/>
    <x v="0"/>
  </r>
  <r>
    <x v="230"/>
    <x v="0"/>
    <x v="49"/>
    <s v="Chicago"/>
    <s v="IL"/>
    <x v="230"/>
    <x v="0"/>
  </r>
  <r>
    <x v="230"/>
    <x v="0"/>
    <x v="50"/>
    <s v="Chicago"/>
    <s v="IL"/>
    <x v="230"/>
    <x v="0"/>
  </r>
  <r>
    <x v="230"/>
    <x v="0"/>
    <x v="32"/>
    <s v="Chicago"/>
    <s v="IL"/>
    <x v="230"/>
    <x v="0"/>
  </r>
  <r>
    <x v="230"/>
    <x v="0"/>
    <x v="51"/>
    <s v="Chicago"/>
    <s v="IL"/>
    <x v="230"/>
    <x v="0"/>
  </r>
  <r>
    <x v="231"/>
    <x v="0"/>
    <x v="39"/>
    <s v="Edwardsville"/>
    <s v="IL"/>
    <x v="231"/>
    <x v="114"/>
  </r>
  <r>
    <x v="231"/>
    <x v="0"/>
    <x v="40"/>
    <s v="Edwardsville"/>
    <s v="IL"/>
    <x v="231"/>
    <x v="114"/>
  </r>
  <r>
    <x v="231"/>
    <x v="0"/>
    <x v="7"/>
    <s v="Edwardsville"/>
    <s v="IL"/>
    <x v="231"/>
    <x v="114"/>
  </r>
  <r>
    <x v="231"/>
    <x v="0"/>
    <x v="8"/>
    <s v="Edwardsville"/>
    <s v="IL"/>
    <x v="231"/>
    <x v="114"/>
  </r>
  <r>
    <x v="231"/>
    <x v="0"/>
    <x v="10"/>
    <s v="Edwardsville"/>
    <s v="IL"/>
    <x v="231"/>
    <x v="114"/>
  </r>
  <r>
    <x v="231"/>
    <x v="0"/>
    <x v="11"/>
    <s v="Edwardsville"/>
    <s v="IL"/>
    <x v="231"/>
    <x v="114"/>
  </r>
  <r>
    <x v="231"/>
    <x v="0"/>
    <x v="24"/>
    <s v="Edwardsville"/>
    <s v="IL"/>
    <x v="231"/>
    <x v="114"/>
  </r>
  <r>
    <x v="231"/>
    <x v="0"/>
    <x v="25"/>
    <s v="Edwardsville"/>
    <s v="IL"/>
    <x v="231"/>
    <x v="114"/>
  </r>
  <r>
    <x v="231"/>
    <x v="0"/>
    <x v="12"/>
    <s v="Edwardsville"/>
    <s v="IL"/>
    <x v="231"/>
    <x v="114"/>
  </r>
  <r>
    <x v="231"/>
    <x v="0"/>
    <x v="27"/>
    <s v="Edwardsville"/>
    <s v="IL"/>
    <x v="231"/>
    <x v="114"/>
  </r>
  <r>
    <x v="231"/>
    <x v="0"/>
    <x v="13"/>
    <s v="Edwardsville"/>
    <s v="IL"/>
    <x v="231"/>
    <x v="114"/>
  </r>
  <r>
    <x v="231"/>
    <x v="0"/>
    <x v="14"/>
    <s v="Edwardsville"/>
    <s v="IL"/>
    <x v="231"/>
    <x v="114"/>
  </r>
  <r>
    <x v="231"/>
    <x v="0"/>
    <x v="36"/>
    <s v="Edwardsville"/>
    <s v="IL"/>
    <x v="231"/>
    <x v="114"/>
  </r>
  <r>
    <x v="231"/>
    <x v="0"/>
    <x v="16"/>
    <s v="Edwardsville"/>
    <s v="IL"/>
    <x v="231"/>
    <x v="114"/>
  </r>
  <r>
    <x v="231"/>
    <x v="0"/>
    <x v="29"/>
    <s v="Edwardsville"/>
    <s v="IL"/>
    <x v="231"/>
    <x v="114"/>
  </r>
  <r>
    <x v="231"/>
    <x v="0"/>
    <x v="35"/>
    <s v="Edwardsville"/>
    <s v="IL"/>
    <x v="231"/>
    <x v="114"/>
  </r>
  <r>
    <x v="231"/>
    <x v="0"/>
    <x v="17"/>
    <s v="Edwardsville"/>
    <s v="IL"/>
    <x v="231"/>
    <x v="114"/>
  </r>
  <r>
    <x v="231"/>
    <x v="0"/>
    <x v="46"/>
    <s v="Edwardsville"/>
    <s v="IL"/>
    <x v="231"/>
    <x v="114"/>
  </r>
  <r>
    <x v="231"/>
    <x v="0"/>
    <x v="18"/>
    <s v="Edwardsville"/>
    <s v="IL"/>
    <x v="231"/>
    <x v="114"/>
  </r>
  <r>
    <x v="231"/>
    <x v="0"/>
    <x v="19"/>
    <s v="Edwardsville"/>
    <s v="IL"/>
    <x v="231"/>
    <x v="114"/>
  </r>
  <r>
    <x v="231"/>
    <x v="0"/>
    <x v="3"/>
    <s v="Edwardsville"/>
    <s v="IL"/>
    <x v="231"/>
    <x v="114"/>
  </r>
  <r>
    <x v="231"/>
    <x v="0"/>
    <x v="4"/>
    <s v="Edwardsville"/>
    <s v="IL"/>
    <x v="231"/>
    <x v="114"/>
  </r>
  <r>
    <x v="231"/>
    <x v="0"/>
    <x v="5"/>
    <s v="Edwardsville"/>
    <s v="IL"/>
    <x v="231"/>
    <x v="114"/>
  </r>
  <r>
    <x v="232"/>
    <x v="0"/>
    <x v="7"/>
    <s v="Chicago"/>
    <s v="IL"/>
    <x v="232"/>
    <x v="0"/>
  </r>
  <r>
    <x v="232"/>
    <x v="0"/>
    <x v="8"/>
    <s v="Chicago"/>
    <s v="IL"/>
    <x v="232"/>
    <x v="0"/>
  </r>
  <r>
    <x v="232"/>
    <x v="0"/>
    <x v="10"/>
    <s v="Chicago"/>
    <s v="IL"/>
    <x v="232"/>
    <x v="0"/>
  </r>
  <r>
    <x v="232"/>
    <x v="0"/>
    <x v="60"/>
    <s v="Chicago"/>
    <s v="IL"/>
    <x v="232"/>
    <x v="0"/>
  </r>
  <r>
    <x v="232"/>
    <x v="0"/>
    <x v="11"/>
    <s v="Chicago"/>
    <s v="IL"/>
    <x v="232"/>
    <x v="0"/>
  </r>
  <r>
    <x v="232"/>
    <x v="0"/>
    <x v="24"/>
    <s v="Chicago"/>
    <s v="IL"/>
    <x v="232"/>
    <x v="0"/>
  </r>
  <r>
    <x v="232"/>
    <x v="0"/>
    <x v="25"/>
    <s v="Chicago"/>
    <s v="IL"/>
    <x v="232"/>
    <x v="0"/>
  </r>
  <r>
    <x v="232"/>
    <x v="0"/>
    <x v="12"/>
    <s v="Chicago"/>
    <s v="IL"/>
    <x v="232"/>
    <x v="0"/>
  </r>
  <r>
    <x v="232"/>
    <x v="0"/>
    <x v="21"/>
    <s v="Chicago"/>
    <s v="IL"/>
    <x v="232"/>
    <x v="0"/>
  </r>
  <r>
    <x v="232"/>
    <x v="0"/>
    <x v="27"/>
    <s v="Chicago"/>
    <s v="IL"/>
    <x v="232"/>
    <x v="0"/>
  </r>
  <r>
    <x v="232"/>
    <x v="0"/>
    <x v="13"/>
    <s v="Chicago"/>
    <s v="IL"/>
    <x v="232"/>
    <x v="0"/>
  </r>
  <r>
    <x v="232"/>
    <x v="0"/>
    <x v="15"/>
    <s v="Chicago"/>
    <s v="IL"/>
    <x v="232"/>
    <x v="0"/>
  </r>
  <r>
    <x v="232"/>
    <x v="0"/>
    <x v="36"/>
    <s v="Chicago"/>
    <s v="IL"/>
    <x v="232"/>
    <x v="0"/>
  </r>
  <r>
    <x v="232"/>
    <x v="0"/>
    <x v="35"/>
    <s v="Chicago"/>
    <s v="IL"/>
    <x v="232"/>
    <x v="0"/>
  </r>
  <r>
    <x v="232"/>
    <x v="0"/>
    <x v="17"/>
    <s v="Chicago"/>
    <s v="IL"/>
    <x v="232"/>
    <x v="0"/>
  </r>
  <r>
    <x v="232"/>
    <x v="0"/>
    <x v="18"/>
    <s v="Chicago"/>
    <s v="IL"/>
    <x v="232"/>
    <x v="0"/>
  </r>
  <r>
    <x v="232"/>
    <x v="0"/>
    <x v="19"/>
    <s v="Chicago"/>
    <s v="IL"/>
    <x v="232"/>
    <x v="0"/>
  </r>
  <r>
    <x v="232"/>
    <x v="0"/>
    <x v="3"/>
    <s v="Chicago"/>
    <s v="IL"/>
    <x v="232"/>
    <x v="0"/>
  </r>
  <r>
    <x v="232"/>
    <x v="0"/>
    <x v="47"/>
    <s v="Chicago"/>
    <s v="IL"/>
    <x v="232"/>
    <x v="0"/>
  </r>
  <r>
    <x v="232"/>
    <x v="0"/>
    <x v="4"/>
    <s v="Chicago"/>
    <s v="IL"/>
    <x v="232"/>
    <x v="0"/>
  </r>
  <r>
    <x v="232"/>
    <x v="0"/>
    <x v="5"/>
    <s v="Chicago"/>
    <s v="IL"/>
    <x v="232"/>
    <x v="0"/>
  </r>
  <r>
    <x v="232"/>
    <x v="0"/>
    <x v="48"/>
    <s v="Chicago"/>
    <s v="IL"/>
    <x v="232"/>
    <x v="0"/>
  </r>
  <r>
    <x v="232"/>
    <x v="0"/>
    <x v="6"/>
    <s v="Chicago"/>
    <s v="IL"/>
    <x v="232"/>
    <x v="0"/>
  </r>
  <r>
    <x v="232"/>
    <x v="0"/>
    <x v="49"/>
    <s v="Chicago"/>
    <s v="IL"/>
    <x v="232"/>
    <x v="0"/>
  </r>
  <r>
    <x v="232"/>
    <x v="0"/>
    <x v="50"/>
    <s v="Chicago"/>
    <s v="IL"/>
    <x v="232"/>
    <x v="0"/>
  </r>
  <r>
    <x v="232"/>
    <x v="0"/>
    <x v="32"/>
    <s v="Chicago"/>
    <s v="IL"/>
    <x v="232"/>
    <x v="0"/>
  </r>
  <r>
    <x v="232"/>
    <x v="0"/>
    <x v="51"/>
    <s v="Chicago"/>
    <s v="IL"/>
    <x v="232"/>
    <x v="0"/>
  </r>
  <r>
    <x v="233"/>
    <x v="0"/>
    <x v="0"/>
    <s v="CHICAGO"/>
    <s v="IL"/>
    <x v="233"/>
    <x v="0"/>
  </r>
  <r>
    <x v="234"/>
    <x v="1"/>
    <x v="8"/>
    <s v="Itasca"/>
    <s v="IL"/>
    <x v="234"/>
    <x v="33"/>
  </r>
  <r>
    <x v="234"/>
    <x v="1"/>
    <x v="10"/>
    <s v="Itasca"/>
    <s v="IL"/>
    <x v="234"/>
    <x v="33"/>
  </r>
  <r>
    <x v="234"/>
    <x v="1"/>
    <x v="11"/>
    <s v="Itasca"/>
    <s v="IL"/>
    <x v="234"/>
    <x v="33"/>
  </r>
  <r>
    <x v="234"/>
    <x v="1"/>
    <x v="25"/>
    <s v="Itasca"/>
    <s v="IL"/>
    <x v="234"/>
    <x v="33"/>
  </r>
  <r>
    <x v="234"/>
    <x v="1"/>
    <x v="12"/>
    <s v="Itasca"/>
    <s v="IL"/>
    <x v="234"/>
    <x v="33"/>
  </r>
  <r>
    <x v="234"/>
    <x v="1"/>
    <x v="19"/>
    <s v="Itasca"/>
    <s v="IL"/>
    <x v="234"/>
    <x v="33"/>
  </r>
  <r>
    <x v="235"/>
    <x v="0"/>
    <x v="8"/>
    <s v="Bradley"/>
    <s v="IL"/>
    <x v="235"/>
    <x v="115"/>
  </r>
  <r>
    <x v="235"/>
    <x v="0"/>
    <x v="29"/>
    <s v="Bradley"/>
    <s v="IL"/>
    <x v="235"/>
    <x v="115"/>
  </r>
  <r>
    <x v="235"/>
    <x v="0"/>
    <x v="19"/>
    <s v="Bradley"/>
    <s v="IL"/>
    <x v="235"/>
    <x v="115"/>
  </r>
  <r>
    <x v="236"/>
    <x v="1"/>
    <x v="8"/>
    <s v="Saint Louis"/>
    <s v="MO"/>
    <x v="236"/>
    <x v="53"/>
  </r>
  <r>
    <x v="236"/>
    <x v="1"/>
    <x v="9"/>
    <s v="Saint Louis"/>
    <s v="MO"/>
    <x v="236"/>
    <x v="53"/>
  </r>
  <r>
    <x v="236"/>
    <x v="1"/>
    <x v="10"/>
    <s v="Saint Louis"/>
    <s v="MO"/>
    <x v="236"/>
    <x v="53"/>
  </r>
  <r>
    <x v="236"/>
    <x v="1"/>
    <x v="11"/>
    <s v="Saint Louis"/>
    <s v="MO"/>
    <x v="236"/>
    <x v="53"/>
  </r>
  <r>
    <x v="236"/>
    <x v="1"/>
    <x v="13"/>
    <s v="Saint Louis"/>
    <s v="MO"/>
    <x v="236"/>
    <x v="53"/>
  </r>
  <r>
    <x v="236"/>
    <x v="1"/>
    <x v="16"/>
    <s v="Saint Louis"/>
    <s v="MO"/>
    <x v="236"/>
    <x v="53"/>
  </r>
  <r>
    <x v="236"/>
    <x v="1"/>
    <x v="19"/>
    <s v="Saint Louis"/>
    <s v="MO"/>
    <x v="236"/>
    <x v="53"/>
  </r>
  <r>
    <x v="237"/>
    <x v="0"/>
    <x v="8"/>
    <s v="Rosemont"/>
    <s v="IL"/>
    <x v="237"/>
    <x v="38"/>
  </r>
  <r>
    <x v="237"/>
    <x v="0"/>
    <x v="9"/>
    <s v="Rosemont"/>
    <s v="IL"/>
    <x v="237"/>
    <x v="38"/>
  </r>
  <r>
    <x v="237"/>
    <x v="0"/>
    <x v="10"/>
    <s v="Rosemont"/>
    <s v="IL"/>
    <x v="237"/>
    <x v="38"/>
  </r>
  <r>
    <x v="237"/>
    <x v="0"/>
    <x v="11"/>
    <s v="Rosemont"/>
    <s v="IL"/>
    <x v="237"/>
    <x v="38"/>
  </r>
  <r>
    <x v="237"/>
    <x v="0"/>
    <x v="25"/>
    <s v="Rosemont"/>
    <s v="IL"/>
    <x v="237"/>
    <x v="38"/>
  </r>
  <r>
    <x v="237"/>
    <x v="0"/>
    <x v="12"/>
    <s v="Rosemont"/>
    <s v="IL"/>
    <x v="237"/>
    <x v="38"/>
  </r>
  <r>
    <x v="237"/>
    <x v="0"/>
    <x v="13"/>
    <s v="Rosemont"/>
    <s v="IL"/>
    <x v="237"/>
    <x v="38"/>
  </r>
  <r>
    <x v="237"/>
    <x v="0"/>
    <x v="16"/>
    <s v="Rosemont"/>
    <s v="IL"/>
    <x v="237"/>
    <x v="38"/>
  </r>
  <r>
    <x v="237"/>
    <x v="0"/>
    <x v="29"/>
    <s v="Rosemont"/>
    <s v="IL"/>
    <x v="237"/>
    <x v="38"/>
  </r>
  <r>
    <x v="237"/>
    <x v="0"/>
    <x v="35"/>
    <s v="Rosemont"/>
    <s v="IL"/>
    <x v="237"/>
    <x v="38"/>
  </r>
  <r>
    <x v="237"/>
    <x v="0"/>
    <x v="19"/>
    <s v="Rosemont"/>
    <s v="IL"/>
    <x v="237"/>
    <x v="38"/>
  </r>
  <r>
    <x v="238"/>
    <x v="0"/>
    <x v="8"/>
    <s v="Lincolnshire"/>
    <s v="IL"/>
    <x v="238"/>
    <x v="4"/>
  </r>
  <r>
    <x v="238"/>
    <x v="0"/>
    <x v="29"/>
    <s v="Lincolnshire"/>
    <s v="IL"/>
    <x v="238"/>
    <x v="4"/>
  </r>
  <r>
    <x v="239"/>
    <x v="0"/>
    <x v="29"/>
    <s v="Roselle"/>
    <s v="IL"/>
    <x v="239"/>
    <x v="116"/>
  </r>
  <r>
    <x v="240"/>
    <x v="0"/>
    <x v="4"/>
    <s v="Nicholasville"/>
    <s v="KY"/>
    <x v="240"/>
    <x v="117"/>
  </r>
  <r>
    <x v="240"/>
    <x v="0"/>
    <x v="5"/>
    <s v="Nicholasville"/>
    <s v="KY"/>
    <x v="240"/>
    <x v="117"/>
  </r>
  <r>
    <x v="241"/>
    <x v="1"/>
    <x v="38"/>
    <s v="Ames"/>
    <s v="IA"/>
    <x v="241"/>
    <x v="118"/>
  </r>
  <r>
    <x v="242"/>
    <x v="0"/>
    <x v="8"/>
    <s v="Springfield"/>
    <s v="IL"/>
    <x v="242"/>
    <x v="12"/>
  </r>
  <r>
    <x v="242"/>
    <x v="0"/>
    <x v="13"/>
    <s v="Springfield"/>
    <s v="IL"/>
    <x v="242"/>
    <x v="12"/>
  </r>
  <r>
    <x v="242"/>
    <x v="0"/>
    <x v="29"/>
    <s v="Springfield"/>
    <s v="IL"/>
    <x v="242"/>
    <x v="12"/>
  </r>
  <r>
    <x v="242"/>
    <x v="0"/>
    <x v="18"/>
    <s v="Springfield"/>
    <s v="IL"/>
    <x v="242"/>
    <x v="12"/>
  </r>
  <r>
    <x v="242"/>
    <x v="0"/>
    <x v="19"/>
    <s v="Springfield"/>
    <s v="IL"/>
    <x v="242"/>
    <x v="12"/>
  </r>
  <r>
    <x v="243"/>
    <x v="0"/>
    <x v="29"/>
    <s v="Centralia"/>
    <s v="IL"/>
    <x v="243"/>
    <x v="119"/>
  </r>
  <r>
    <x v="244"/>
    <x v="0"/>
    <x v="8"/>
    <s v="Paris"/>
    <s v="IL"/>
    <x v="244"/>
    <x v="120"/>
  </r>
  <r>
    <x v="244"/>
    <x v="0"/>
    <x v="27"/>
    <s v="Paris"/>
    <s v="IL"/>
    <x v="244"/>
    <x v="120"/>
  </r>
  <r>
    <x v="244"/>
    <x v="0"/>
    <x v="13"/>
    <s v="Paris"/>
    <s v="IL"/>
    <x v="244"/>
    <x v="120"/>
  </r>
  <r>
    <x v="244"/>
    <x v="0"/>
    <x v="29"/>
    <s v="Paris"/>
    <s v="IL"/>
    <x v="244"/>
    <x v="120"/>
  </r>
  <r>
    <x v="245"/>
    <x v="0"/>
    <x v="8"/>
    <s v="Saint Louis"/>
    <s v="MO"/>
    <x v="245"/>
    <x v="53"/>
  </r>
  <r>
    <x v="245"/>
    <x v="0"/>
    <x v="16"/>
    <s v="Saint Louis"/>
    <s v="MO"/>
    <x v="245"/>
    <x v="53"/>
  </r>
  <r>
    <x v="245"/>
    <x v="0"/>
    <x v="29"/>
    <s v="Saint Louis"/>
    <s v="MO"/>
    <x v="245"/>
    <x v="53"/>
  </r>
  <r>
    <x v="245"/>
    <x v="0"/>
    <x v="19"/>
    <s v="Saint Louis"/>
    <s v="MO"/>
    <x v="245"/>
    <x v="53"/>
  </r>
  <r>
    <x v="246"/>
    <x v="0"/>
    <x v="14"/>
    <s v="Springfield"/>
    <s v="IL"/>
    <x v="246"/>
    <x v="12"/>
  </r>
  <r>
    <x v="247"/>
    <x v="1"/>
    <x v="33"/>
    <s v="Chicago"/>
    <s v="IL"/>
    <x v="247"/>
    <x v="0"/>
  </r>
  <r>
    <x v="247"/>
    <x v="1"/>
    <x v="41"/>
    <s v="Chicago"/>
    <s v="IL"/>
    <x v="247"/>
    <x v="0"/>
  </r>
  <r>
    <x v="247"/>
    <x v="1"/>
    <x v="57"/>
    <s v="Chicago"/>
    <s v="IL"/>
    <x v="247"/>
    <x v="0"/>
  </r>
  <r>
    <x v="247"/>
    <x v="1"/>
    <x v="58"/>
    <s v="Chicago"/>
    <s v="IL"/>
    <x v="247"/>
    <x v="0"/>
  </r>
  <r>
    <x v="248"/>
    <x v="1"/>
    <x v="13"/>
    <s v="Elk Grove Village"/>
    <s v="IL"/>
    <x v="248"/>
    <x v="46"/>
  </r>
  <r>
    <x v="248"/>
    <x v="1"/>
    <x v="57"/>
    <s v="Elk Grove Village"/>
    <s v="IL"/>
    <x v="248"/>
    <x v="46"/>
  </r>
  <r>
    <x v="248"/>
    <x v="1"/>
    <x v="58"/>
    <s v="Elk Grove Village"/>
    <s v="IL"/>
    <x v="248"/>
    <x v="46"/>
  </r>
  <r>
    <x v="249"/>
    <x v="0"/>
    <x v="42"/>
    <s v="Peoria"/>
    <s v="IL"/>
    <x v="249"/>
    <x v="60"/>
  </r>
  <r>
    <x v="249"/>
    <x v="0"/>
    <x v="7"/>
    <s v="Peoria"/>
    <s v="IL"/>
    <x v="249"/>
    <x v="60"/>
  </r>
  <r>
    <x v="249"/>
    <x v="0"/>
    <x v="8"/>
    <s v="Peoria"/>
    <s v="IL"/>
    <x v="249"/>
    <x v="60"/>
  </r>
  <r>
    <x v="249"/>
    <x v="0"/>
    <x v="9"/>
    <s v="Peoria"/>
    <s v="IL"/>
    <x v="249"/>
    <x v="60"/>
  </r>
  <r>
    <x v="249"/>
    <x v="0"/>
    <x v="10"/>
    <s v="Peoria"/>
    <s v="IL"/>
    <x v="249"/>
    <x v="60"/>
  </r>
  <r>
    <x v="249"/>
    <x v="0"/>
    <x v="11"/>
    <s v="Peoria"/>
    <s v="IL"/>
    <x v="249"/>
    <x v="60"/>
  </r>
  <r>
    <x v="249"/>
    <x v="0"/>
    <x v="25"/>
    <s v="Peoria"/>
    <s v="IL"/>
    <x v="249"/>
    <x v="60"/>
  </r>
  <r>
    <x v="249"/>
    <x v="0"/>
    <x v="12"/>
    <s v="Peoria"/>
    <s v="IL"/>
    <x v="249"/>
    <x v="60"/>
  </r>
  <r>
    <x v="249"/>
    <x v="0"/>
    <x v="13"/>
    <s v="Peoria"/>
    <s v="IL"/>
    <x v="249"/>
    <x v="60"/>
  </r>
  <r>
    <x v="249"/>
    <x v="0"/>
    <x v="16"/>
    <s v="Peoria"/>
    <s v="IL"/>
    <x v="249"/>
    <x v="60"/>
  </r>
  <r>
    <x v="249"/>
    <x v="0"/>
    <x v="29"/>
    <s v="Peoria"/>
    <s v="IL"/>
    <x v="249"/>
    <x v="60"/>
  </r>
  <r>
    <x v="249"/>
    <x v="0"/>
    <x v="35"/>
    <s v="Peoria"/>
    <s v="IL"/>
    <x v="249"/>
    <x v="60"/>
  </r>
  <r>
    <x v="249"/>
    <x v="0"/>
    <x v="17"/>
    <s v="Peoria"/>
    <s v="IL"/>
    <x v="249"/>
    <x v="60"/>
  </r>
  <r>
    <x v="249"/>
    <x v="0"/>
    <x v="18"/>
    <s v="Peoria"/>
    <s v="IL"/>
    <x v="249"/>
    <x v="60"/>
  </r>
  <r>
    <x v="249"/>
    <x v="0"/>
    <x v="19"/>
    <s v="Peoria"/>
    <s v="IL"/>
    <x v="249"/>
    <x v="60"/>
  </r>
  <r>
    <x v="249"/>
    <x v="0"/>
    <x v="4"/>
    <s v="Peoria"/>
    <s v="IL"/>
    <x v="249"/>
    <x v="60"/>
  </r>
  <r>
    <x v="249"/>
    <x v="0"/>
    <x v="5"/>
    <s v="Peoria"/>
    <s v="IL"/>
    <x v="249"/>
    <x v="60"/>
  </r>
  <r>
    <x v="250"/>
    <x v="0"/>
    <x v="33"/>
    <s v="Clive"/>
    <s v="IA"/>
    <x v="250"/>
    <x v="121"/>
  </r>
  <r>
    <x v="250"/>
    <x v="0"/>
    <x v="34"/>
    <s v="Clive"/>
    <s v="IA"/>
    <x v="250"/>
    <x v="121"/>
  </r>
  <r>
    <x v="250"/>
    <x v="0"/>
    <x v="38"/>
    <s v="Clive"/>
    <s v="IA"/>
    <x v="250"/>
    <x v="121"/>
  </r>
  <r>
    <x v="251"/>
    <x v="0"/>
    <x v="8"/>
    <s v="Neenah"/>
    <s v="WI"/>
    <x v="251"/>
    <x v="122"/>
  </r>
  <r>
    <x v="251"/>
    <x v="0"/>
    <x v="27"/>
    <s v="Neenah"/>
    <s v="WI"/>
    <x v="251"/>
    <x v="122"/>
  </r>
  <r>
    <x v="251"/>
    <x v="0"/>
    <x v="16"/>
    <s v="Neenah"/>
    <s v="WI"/>
    <x v="251"/>
    <x v="122"/>
  </r>
  <r>
    <x v="251"/>
    <x v="0"/>
    <x v="17"/>
    <s v="Neenah"/>
    <s v="WI"/>
    <x v="251"/>
    <x v="122"/>
  </r>
  <r>
    <x v="251"/>
    <x v="0"/>
    <x v="18"/>
    <s v="Neenah"/>
    <s v="WI"/>
    <x v="251"/>
    <x v="122"/>
  </r>
  <r>
    <x v="251"/>
    <x v="0"/>
    <x v="19"/>
    <s v="Neenah"/>
    <s v="WI"/>
    <x v="251"/>
    <x v="122"/>
  </r>
  <r>
    <x v="252"/>
    <x v="0"/>
    <x v="33"/>
    <s v="Middleton"/>
    <s v="WI"/>
    <x v="252"/>
    <x v="123"/>
  </r>
  <r>
    <x v="252"/>
    <x v="0"/>
    <x v="61"/>
    <s v="Middleton"/>
    <s v="WI"/>
    <x v="252"/>
    <x v="123"/>
  </r>
  <r>
    <x v="252"/>
    <x v="0"/>
    <x v="34"/>
    <s v="Middleton"/>
    <s v="WI"/>
    <x v="252"/>
    <x v="123"/>
  </r>
  <r>
    <x v="252"/>
    <x v="0"/>
    <x v="37"/>
    <s v="Middleton"/>
    <s v="WI"/>
    <x v="252"/>
    <x v="123"/>
  </r>
  <r>
    <x v="252"/>
    <x v="0"/>
    <x v="38"/>
    <s v="Middleton"/>
    <s v="WI"/>
    <x v="252"/>
    <x v="123"/>
  </r>
  <r>
    <x v="252"/>
    <x v="0"/>
    <x v="39"/>
    <s v="Middleton"/>
    <s v="WI"/>
    <x v="252"/>
    <x v="123"/>
  </r>
  <r>
    <x v="252"/>
    <x v="0"/>
    <x v="40"/>
    <s v="Middleton"/>
    <s v="WI"/>
    <x v="252"/>
    <x v="123"/>
  </r>
  <r>
    <x v="252"/>
    <x v="0"/>
    <x v="7"/>
    <s v="Middleton"/>
    <s v="WI"/>
    <x v="252"/>
    <x v="123"/>
  </r>
  <r>
    <x v="252"/>
    <x v="0"/>
    <x v="8"/>
    <s v="Middleton"/>
    <s v="WI"/>
    <x v="252"/>
    <x v="123"/>
  </r>
  <r>
    <x v="252"/>
    <x v="0"/>
    <x v="12"/>
    <s v="Middleton"/>
    <s v="WI"/>
    <x v="252"/>
    <x v="123"/>
  </r>
  <r>
    <x v="252"/>
    <x v="0"/>
    <x v="27"/>
    <s v="Middleton"/>
    <s v="WI"/>
    <x v="252"/>
    <x v="123"/>
  </r>
  <r>
    <x v="252"/>
    <x v="0"/>
    <x v="52"/>
    <s v="Middleton"/>
    <s v="WI"/>
    <x v="252"/>
    <x v="123"/>
  </r>
  <r>
    <x v="252"/>
    <x v="0"/>
    <x v="13"/>
    <s v="Middleton"/>
    <s v="WI"/>
    <x v="252"/>
    <x v="123"/>
  </r>
  <r>
    <x v="252"/>
    <x v="0"/>
    <x v="22"/>
    <s v="Middleton"/>
    <s v="WI"/>
    <x v="252"/>
    <x v="123"/>
  </r>
  <r>
    <x v="252"/>
    <x v="0"/>
    <x v="36"/>
    <s v="Middleton"/>
    <s v="WI"/>
    <x v="252"/>
    <x v="123"/>
  </r>
  <r>
    <x v="252"/>
    <x v="0"/>
    <x v="16"/>
    <s v="Middleton"/>
    <s v="WI"/>
    <x v="252"/>
    <x v="123"/>
  </r>
  <r>
    <x v="252"/>
    <x v="0"/>
    <x v="17"/>
    <s v="Middleton"/>
    <s v="WI"/>
    <x v="252"/>
    <x v="123"/>
  </r>
  <r>
    <x v="252"/>
    <x v="0"/>
    <x v="46"/>
    <s v="Middleton"/>
    <s v="WI"/>
    <x v="252"/>
    <x v="123"/>
  </r>
  <r>
    <x v="252"/>
    <x v="0"/>
    <x v="18"/>
    <s v="Middleton"/>
    <s v="WI"/>
    <x v="252"/>
    <x v="123"/>
  </r>
  <r>
    <x v="252"/>
    <x v="0"/>
    <x v="4"/>
    <s v="Middleton"/>
    <s v="WI"/>
    <x v="252"/>
    <x v="123"/>
  </r>
  <r>
    <x v="252"/>
    <x v="0"/>
    <x v="5"/>
    <s v="Middleton"/>
    <s v="WI"/>
    <x v="252"/>
    <x v="123"/>
  </r>
  <r>
    <x v="253"/>
    <x v="0"/>
    <x v="8"/>
    <s v="Pittsfield "/>
    <s v="IL"/>
    <x v="253"/>
    <x v="124"/>
  </r>
  <r>
    <x v="253"/>
    <x v="0"/>
    <x v="16"/>
    <s v="Pittsfield "/>
    <s v="IL"/>
    <x v="253"/>
    <x v="124"/>
  </r>
  <r>
    <x v="253"/>
    <x v="0"/>
    <x v="29"/>
    <s v="Pittsfield "/>
    <s v="IL"/>
    <x v="253"/>
    <x v="124"/>
  </r>
  <r>
    <x v="253"/>
    <x v="0"/>
    <x v="4"/>
    <s v="Pittsfield "/>
    <s v="IL"/>
    <x v="253"/>
    <x v="124"/>
  </r>
  <r>
    <x v="254"/>
    <x v="1"/>
    <x v="36"/>
    <s v="Downers Grove"/>
    <s v="IL"/>
    <x v="254"/>
    <x v="11"/>
  </r>
  <r>
    <x v="255"/>
    <x v="0"/>
    <x v="39"/>
    <s v="Chicago"/>
    <s v="IL"/>
    <x v="255"/>
    <x v="0"/>
  </r>
  <r>
    <x v="255"/>
    <x v="0"/>
    <x v="40"/>
    <s v="Chicago"/>
    <s v="IL"/>
    <x v="255"/>
    <x v="0"/>
  </r>
  <r>
    <x v="255"/>
    <x v="0"/>
    <x v="41"/>
    <s v="Chicago"/>
    <s v="IL"/>
    <x v="255"/>
    <x v="0"/>
  </r>
  <r>
    <x v="255"/>
    <x v="0"/>
    <x v="42"/>
    <s v="Chicago"/>
    <s v="IL"/>
    <x v="255"/>
    <x v="0"/>
  </r>
  <r>
    <x v="255"/>
    <x v="0"/>
    <x v="43"/>
    <s v="Chicago"/>
    <s v="IL"/>
    <x v="255"/>
    <x v="0"/>
  </r>
  <r>
    <x v="255"/>
    <x v="0"/>
    <x v="7"/>
    <s v="Chicago"/>
    <s v="IL"/>
    <x v="255"/>
    <x v="0"/>
  </r>
  <r>
    <x v="255"/>
    <x v="0"/>
    <x v="8"/>
    <s v="Chicago"/>
    <s v="IL"/>
    <x v="255"/>
    <x v="0"/>
  </r>
  <r>
    <x v="255"/>
    <x v="0"/>
    <x v="9"/>
    <s v="Chicago"/>
    <s v="IL"/>
    <x v="255"/>
    <x v="0"/>
  </r>
  <r>
    <x v="255"/>
    <x v="0"/>
    <x v="10"/>
    <s v="Chicago"/>
    <s v="IL"/>
    <x v="255"/>
    <x v="0"/>
  </r>
  <r>
    <x v="255"/>
    <x v="0"/>
    <x v="11"/>
    <s v="Chicago"/>
    <s v="IL"/>
    <x v="255"/>
    <x v="0"/>
  </r>
  <r>
    <x v="255"/>
    <x v="0"/>
    <x v="24"/>
    <s v="Chicago"/>
    <s v="IL"/>
    <x v="255"/>
    <x v="0"/>
  </r>
  <r>
    <x v="255"/>
    <x v="0"/>
    <x v="25"/>
    <s v="Chicago"/>
    <s v="IL"/>
    <x v="255"/>
    <x v="0"/>
  </r>
  <r>
    <x v="255"/>
    <x v="0"/>
    <x v="12"/>
    <s v="Chicago"/>
    <s v="IL"/>
    <x v="255"/>
    <x v="0"/>
  </r>
  <r>
    <x v="255"/>
    <x v="0"/>
    <x v="21"/>
    <s v="Chicago"/>
    <s v="IL"/>
    <x v="255"/>
    <x v="0"/>
  </r>
  <r>
    <x v="255"/>
    <x v="0"/>
    <x v="44"/>
    <s v="Chicago"/>
    <s v="IL"/>
    <x v="255"/>
    <x v="0"/>
  </r>
  <r>
    <x v="255"/>
    <x v="0"/>
    <x v="27"/>
    <s v="Chicago"/>
    <s v="IL"/>
    <x v="255"/>
    <x v="0"/>
  </r>
  <r>
    <x v="255"/>
    <x v="0"/>
    <x v="13"/>
    <s v="Chicago"/>
    <s v="IL"/>
    <x v="255"/>
    <x v="0"/>
  </r>
  <r>
    <x v="255"/>
    <x v="0"/>
    <x v="22"/>
    <s v="Chicago"/>
    <s v="IL"/>
    <x v="255"/>
    <x v="0"/>
  </r>
  <r>
    <x v="255"/>
    <x v="0"/>
    <x v="23"/>
    <s v="Chicago"/>
    <s v="IL"/>
    <x v="255"/>
    <x v="0"/>
  </r>
  <r>
    <x v="255"/>
    <x v="0"/>
    <x v="36"/>
    <s v="Chicago"/>
    <s v="IL"/>
    <x v="255"/>
    <x v="0"/>
  </r>
  <r>
    <x v="255"/>
    <x v="0"/>
    <x v="35"/>
    <s v="Chicago"/>
    <s v="IL"/>
    <x v="255"/>
    <x v="0"/>
  </r>
  <r>
    <x v="255"/>
    <x v="0"/>
    <x v="17"/>
    <s v="Chicago"/>
    <s v="IL"/>
    <x v="255"/>
    <x v="0"/>
  </r>
  <r>
    <x v="255"/>
    <x v="0"/>
    <x v="46"/>
    <s v="Chicago"/>
    <s v="IL"/>
    <x v="255"/>
    <x v="0"/>
  </r>
  <r>
    <x v="255"/>
    <x v="0"/>
    <x v="18"/>
    <s v="Chicago"/>
    <s v="IL"/>
    <x v="255"/>
    <x v="0"/>
  </r>
  <r>
    <x v="255"/>
    <x v="0"/>
    <x v="19"/>
    <s v="Chicago"/>
    <s v="IL"/>
    <x v="255"/>
    <x v="0"/>
  </r>
  <r>
    <x v="255"/>
    <x v="0"/>
    <x v="3"/>
    <s v="Chicago"/>
    <s v="IL"/>
    <x v="255"/>
    <x v="0"/>
  </r>
  <r>
    <x v="255"/>
    <x v="0"/>
    <x v="47"/>
    <s v="Chicago"/>
    <s v="IL"/>
    <x v="255"/>
    <x v="0"/>
  </r>
  <r>
    <x v="255"/>
    <x v="0"/>
    <x v="4"/>
    <s v="Chicago"/>
    <s v="IL"/>
    <x v="255"/>
    <x v="0"/>
  </r>
  <r>
    <x v="255"/>
    <x v="0"/>
    <x v="5"/>
    <s v="Chicago"/>
    <s v="IL"/>
    <x v="255"/>
    <x v="0"/>
  </r>
  <r>
    <x v="255"/>
    <x v="0"/>
    <x v="48"/>
    <s v="Chicago"/>
    <s v="IL"/>
    <x v="255"/>
    <x v="0"/>
  </r>
  <r>
    <x v="255"/>
    <x v="0"/>
    <x v="6"/>
    <s v="Chicago"/>
    <s v="IL"/>
    <x v="255"/>
    <x v="0"/>
  </r>
  <r>
    <x v="255"/>
    <x v="0"/>
    <x v="49"/>
    <s v="Chicago"/>
    <s v="IL"/>
    <x v="255"/>
    <x v="0"/>
  </r>
  <r>
    <x v="255"/>
    <x v="0"/>
    <x v="50"/>
    <s v="Chicago"/>
    <s v="IL"/>
    <x v="255"/>
    <x v="0"/>
  </r>
  <r>
    <x v="255"/>
    <x v="0"/>
    <x v="32"/>
    <s v="Chicago"/>
    <s v="IL"/>
    <x v="255"/>
    <x v="0"/>
  </r>
  <r>
    <x v="255"/>
    <x v="0"/>
    <x v="51"/>
    <s v="Chicago"/>
    <s v="IL"/>
    <x v="255"/>
    <x v="0"/>
  </r>
  <r>
    <x v="256"/>
    <x v="0"/>
    <x v="41"/>
    <s v="South Elgin"/>
    <s v="IL"/>
    <x v="256"/>
    <x v="7"/>
  </r>
  <r>
    <x v="256"/>
    <x v="0"/>
    <x v="42"/>
    <s v="South Elgin"/>
    <s v="IL"/>
    <x v="256"/>
    <x v="7"/>
  </r>
  <r>
    <x v="256"/>
    <x v="0"/>
    <x v="57"/>
    <s v="South Elgin"/>
    <s v="IL"/>
    <x v="256"/>
    <x v="7"/>
  </r>
  <r>
    <x v="256"/>
    <x v="0"/>
    <x v="58"/>
    <s v="South Elgin"/>
    <s v="IL"/>
    <x v="256"/>
    <x v="7"/>
  </r>
  <r>
    <x v="257"/>
    <x v="0"/>
    <x v="41"/>
    <s v="Champaign"/>
    <s v="IL"/>
    <x v="257"/>
    <x v="16"/>
  </r>
  <r>
    <x v="257"/>
    <x v="0"/>
    <x v="42"/>
    <s v="Champaign"/>
    <s v="IL"/>
    <x v="257"/>
    <x v="16"/>
  </r>
  <r>
    <x v="258"/>
    <x v="0"/>
    <x v="7"/>
    <s v="East Peoria"/>
    <s v="IL"/>
    <x v="258"/>
    <x v="125"/>
  </r>
  <r>
    <x v="258"/>
    <x v="0"/>
    <x v="8"/>
    <s v="East Peoria"/>
    <s v="IL"/>
    <x v="258"/>
    <x v="125"/>
  </r>
  <r>
    <x v="258"/>
    <x v="0"/>
    <x v="9"/>
    <s v="East Peoria"/>
    <s v="IL"/>
    <x v="258"/>
    <x v="125"/>
  </r>
  <r>
    <x v="258"/>
    <x v="0"/>
    <x v="11"/>
    <s v="East Peoria"/>
    <s v="IL"/>
    <x v="258"/>
    <x v="125"/>
  </r>
  <r>
    <x v="258"/>
    <x v="0"/>
    <x v="24"/>
    <s v="East Peoria"/>
    <s v="IL"/>
    <x v="258"/>
    <x v="125"/>
  </r>
  <r>
    <x v="258"/>
    <x v="0"/>
    <x v="25"/>
    <s v="East Peoria"/>
    <s v="IL"/>
    <x v="258"/>
    <x v="125"/>
  </r>
  <r>
    <x v="258"/>
    <x v="0"/>
    <x v="12"/>
    <s v="East Peoria"/>
    <s v="IL"/>
    <x v="258"/>
    <x v="125"/>
  </r>
  <r>
    <x v="258"/>
    <x v="0"/>
    <x v="27"/>
    <s v="East Peoria"/>
    <s v="IL"/>
    <x v="258"/>
    <x v="125"/>
  </r>
  <r>
    <x v="258"/>
    <x v="0"/>
    <x v="13"/>
    <s v="East Peoria"/>
    <s v="IL"/>
    <x v="258"/>
    <x v="125"/>
  </r>
  <r>
    <x v="258"/>
    <x v="0"/>
    <x v="22"/>
    <s v="East Peoria"/>
    <s v="IL"/>
    <x v="258"/>
    <x v="125"/>
  </r>
  <r>
    <x v="258"/>
    <x v="0"/>
    <x v="14"/>
    <s v="East Peoria"/>
    <s v="IL"/>
    <x v="258"/>
    <x v="125"/>
  </r>
  <r>
    <x v="258"/>
    <x v="0"/>
    <x v="16"/>
    <s v="East Peoria"/>
    <s v="IL"/>
    <x v="258"/>
    <x v="125"/>
  </r>
  <r>
    <x v="258"/>
    <x v="0"/>
    <x v="29"/>
    <s v="East Peoria"/>
    <s v="IL"/>
    <x v="258"/>
    <x v="125"/>
  </r>
  <r>
    <x v="258"/>
    <x v="0"/>
    <x v="35"/>
    <s v="East Peoria"/>
    <s v="IL"/>
    <x v="258"/>
    <x v="125"/>
  </r>
  <r>
    <x v="258"/>
    <x v="0"/>
    <x v="17"/>
    <s v="East Peoria"/>
    <s v="IL"/>
    <x v="258"/>
    <x v="125"/>
  </r>
  <r>
    <x v="258"/>
    <x v="0"/>
    <x v="18"/>
    <s v="East Peoria"/>
    <s v="IL"/>
    <x v="258"/>
    <x v="125"/>
  </r>
  <r>
    <x v="258"/>
    <x v="0"/>
    <x v="19"/>
    <s v="East Peoria"/>
    <s v="IL"/>
    <x v="258"/>
    <x v="125"/>
  </r>
  <r>
    <x v="258"/>
    <x v="0"/>
    <x v="4"/>
    <s v="East Peoria"/>
    <s v="IL"/>
    <x v="258"/>
    <x v="125"/>
  </r>
  <r>
    <x v="258"/>
    <x v="0"/>
    <x v="5"/>
    <s v="East Peoria"/>
    <s v="IL"/>
    <x v="258"/>
    <x v="125"/>
  </r>
  <r>
    <x v="259"/>
    <x v="0"/>
    <x v="8"/>
    <s v="Effingham"/>
    <s v="IL"/>
    <x v="259"/>
    <x v="126"/>
  </r>
  <r>
    <x v="259"/>
    <x v="0"/>
    <x v="27"/>
    <s v="Effingham"/>
    <s v="IL"/>
    <x v="259"/>
    <x v="126"/>
  </r>
  <r>
    <x v="259"/>
    <x v="0"/>
    <x v="13"/>
    <s v="Effingham"/>
    <s v="IL"/>
    <x v="259"/>
    <x v="126"/>
  </r>
  <r>
    <x v="259"/>
    <x v="0"/>
    <x v="29"/>
    <s v="Effingham"/>
    <s v="IL"/>
    <x v="259"/>
    <x v="126"/>
  </r>
  <r>
    <x v="259"/>
    <x v="0"/>
    <x v="18"/>
    <s v="Effingham"/>
    <s v="IL"/>
    <x v="259"/>
    <x v="126"/>
  </r>
  <r>
    <x v="260"/>
    <x v="0"/>
    <x v="37"/>
    <s v="Chicago"/>
    <s v="IL"/>
    <x v="260"/>
    <x v="0"/>
  </r>
  <r>
    <x v="260"/>
    <x v="0"/>
    <x v="7"/>
    <s v="Chicago"/>
    <s v="IL"/>
    <x v="260"/>
    <x v="0"/>
  </r>
  <r>
    <x v="260"/>
    <x v="0"/>
    <x v="8"/>
    <s v="Chicago"/>
    <s v="IL"/>
    <x v="260"/>
    <x v="0"/>
  </r>
  <r>
    <x v="260"/>
    <x v="0"/>
    <x v="10"/>
    <s v="Chicago"/>
    <s v="IL"/>
    <x v="260"/>
    <x v="0"/>
  </r>
  <r>
    <x v="260"/>
    <x v="0"/>
    <x v="11"/>
    <s v="Chicago"/>
    <s v="IL"/>
    <x v="260"/>
    <x v="0"/>
  </r>
  <r>
    <x v="260"/>
    <x v="0"/>
    <x v="25"/>
    <s v="Chicago"/>
    <s v="IL"/>
    <x v="260"/>
    <x v="0"/>
  </r>
  <r>
    <x v="260"/>
    <x v="0"/>
    <x v="12"/>
    <s v="Chicago"/>
    <s v="IL"/>
    <x v="260"/>
    <x v="0"/>
  </r>
  <r>
    <x v="260"/>
    <x v="0"/>
    <x v="44"/>
    <s v="Chicago"/>
    <s v="IL"/>
    <x v="260"/>
    <x v="0"/>
  </r>
  <r>
    <x v="260"/>
    <x v="0"/>
    <x v="52"/>
    <s v="Chicago"/>
    <s v="IL"/>
    <x v="260"/>
    <x v="0"/>
  </r>
  <r>
    <x v="260"/>
    <x v="0"/>
    <x v="13"/>
    <s v="Chicago"/>
    <s v="IL"/>
    <x v="260"/>
    <x v="0"/>
  </r>
  <r>
    <x v="260"/>
    <x v="0"/>
    <x v="22"/>
    <s v="Chicago"/>
    <s v="IL"/>
    <x v="260"/>
    <x v="0"/>
  </r>
  <r>
    <x v="260"/>
    <x v="0"/>
    <x v="23"/>
    <s v="Chicago"/>
    <s v="IL"/>
    <x v="260"/>
    <x v="0"/>
  </r>
  <r>
    <x v="260"/>
    <x v="0"/>
    <x v="15"/>
    <s v="Chicago"/>
    <s v="IL"/>
    <x v="260"/>
    <x v="0"/>
  </r>
  <r>
    <x v="260"/>
    <x v="0"/>
    <x v="16"/>
    <s v="Chicago"/>
    <s v="IL"/>
    <x v="260"/>
    <x v="0"/>
  </r>
  <r>
    <x v="260"/>
    <x v="0"/>
    <x v="35"/>
    <s v="Chicago"/>
    <s v="IL"/>
    <x v="260"/>
    <x v="0"/>
  </r>
  <r>
    <x v="260"/>
    <x v="0"/>
    <x v="17"/>
    <s v="Chicago"/>
    <s v="IL"/>
    <x v="260"/>
    <x v="0"/>
  </r>
  <r>
    <x v="260"/>
    <x v="0"/>
    <x v="18"/>
    <s v="Chicago"/>
    <s v="IL"/>
    <x v="260"/>
    <x v="0"/>
  </r>
  <r>
    <x v="260"/>
    <x v="0"/>
    <x v="19"/>
    <s v="Chicago"/>
    <s v="IL"/>
    <x v="260"/>
    <x v="0"/>
  </r>
  <r>
    <x v="260"/>
    <x v="0"/>
    <x v="4"/>
    <s v="Chicago"/>
    <s v="IL"/>
    <x v="260"/>
    <x v="0"/>
  </r>
  <r>
    <x v="260"/>
    <x v="0"/>
    <x v="5"/>
    <s v="Chicago"/>
    <s v="IL"/>
    <x v="260"/>
    <x v="0"/>
  </r>
  <r>
    <x v="260"/>
    <x v="0"/>
    <x v="48"/>
    <s v="Chicago"/>
    <s v="IL"/>
    <x v="260"/>
    <x v="0"/>
  </r>
  <r>
    <x v="261"/>
    <x v="1"/>
    <x v="41"/>
    <s v="Morton"/>
    <s v="IL"/>
    <x v="261"/>
    <x v="127"/>
  </r>
  <r>
    <x v="261"/>
    <x v="1"/>
    <x v="42"/>
    <s v="Morton"/>
    <s v="IL"/>
    <x v="261"/>
    <x v="127"/>
  </r>
  <r>
    <x v="261"/>
    <x v="1"/>
    <x v="43"/>
    <s v="Morton"/>
    <s v="IL"/>
    <x v="261"/>
    <x v="127"/>
  </r>
  <r>
    <x v="261"/>
    <x v="1"/>
    <x v="7"/>
    <s v="Morton"/>
    <s v="IL"/>
    <x v="261"/>
    <x v="127"/>
  </r>
  <r>
    <x v="261"/>
    <x v="1"/>
    <x v="8"/>
    <s v="Morton"/>
    <s v="IL"/>
    <x v="261"/>
    <x v="127"/>
  </r>
  <r>
    <x v="261"/>
    <x v="1"/>
    <x v="9"/>
    <s v="Morton"/>
    <s v="IL"/>
    <x v="261"/>
    <x v="127"/>
  </r>
  <r>
    <x v="261"/>
    <x v="1"/>
    <x v="10"/>
    <s v="Morton"/>
    <s v="IL"/>
    <x v="261"/>
    <x v="127"/>
  </r>
  <r>
    <x v="261"/>
    <x v="1"/>
    <x v="11"/>
    <s v="Morton"/>
    <s v="IL"/>
    <x v="261"/>
    <x v="127"/>
  </r>
  <r>
    <x v="261"/>
    <x v="1"/>
    <x v="12"/>
    <s v="Morton"/>
    <s v="IL"/>
    <x v="261"/>
    <x v="127"/>
  </r>
  <r>
    <x v="261"/>
    <x v="1"/>
    <x v="27"/>
    <s v="Morton"/>
    <s v="IL"/>
    <x v="261"/>
    <x v="127"/>
  </r>
  <r>
    <x v="261"/>
    <x v="1"/>
    <x v="13"/>
    <s v="Morton"/>
    <s v="IL"/>
    <x v="261"/>
    <x v="127"/>
  </r>
  <r>
    <x v="261"/>
    <x v="1"/>
    <x v="57"/>
    <s v="Morton"/>
    <s v="IL"/>
    <x v="261"/>
    <x v="127"/>
  </r>
  <r>
    <x v="261"/>
    <x v="1"/>
    <x v="58"/>
    <s v="Morton"/>
    <s v="IL"/>
    <x v="261"/>
    <x v="127"/>
  </r>
  <r>
    <x v="261"/>
    <x v="1"/>
    <x v="16"/>
    <s v="Morton"/>
    <s v="IL"/>
    <x v="261"/>
    <x v="127"/>
  </r>
  <r>
    <x v="261"/>
    <x v="1"/>
    <x v="29"/>
    <s v="Morton"/>
    <s v="IL"/>
    <x v="261"/>
    <x v="127"/>
  </r>
  <r>
    <x v="261"/>
    <x v="1"/>
    <x v="17"/>
    <s v="Morton"/>
    <s v="IL"/>
    <x v="261"/>
    <x v="127"/>
  </r>
  <r>
    <x v="261"/>
    <x v="1"/>
    <x v="18"/>
    <s v="Morton"/>
    <s v="IL"/>
    <x v="261"/>
    <x v="127"/>
  </r>
  <r>
    <x v="261"/>
    <x v="1"/>
    <x v="19"/>
    <s v="Morton"/>
    <s v="IL"/>
    <x v="261"/>
    <x v="127"/>
  </r>
  <r>
    <x v="262"/>
    <x v="0"/>
    <x v="7"/>
    <s v="Edwardsville"/>
    <s v="IL"/>
    <x v="262"/>
    <x v="114"/>
  </r>
  <r>
    <x v="262"/>
    <x v="0"/>
    <x v="8"/>
    <s v="Edwardsville"/>
    <s v="IL"/>
    <x v="262"/>
    <x v="114"/>
  </r>
  <r>
    <x v="262"/>
    <x v="0"/>
    <x v="11"/>
    <s v="Edwardsville"/>
    <s v="IL"/>
    <x v="262"/>
    <x v="114"/>
  </r>
  <r>
    <x v="262"/>
    <x v="0"/>
    <x v="24"/>
    <s v="Edwardsville"/>
    <s v="IL"/>
    <x v="262"/>
    <x v="114"/>
  </r>
  <r>
    <x v="262"/>
    <x v="0"/>
    <x v="25"/>
    <s v="Edwardsville"/>
    <s v="IL"/>
    <x v="262"/>
    <x v="114"/>
  </r>
  <r>
    <x v="262"/>
    <x v="0"/>
    <x v="12"/>
    <s v="Edwardsville"/>
    <s v="IL"/>
    <x v="262"/>
    <x v="114"/>
  </r>
  <r>
    <x v="262"/>
    <x v="0"/>
    <x v="26"/>
    <s v="Edwardsville"/>
    <s v="IL"/>
    <x v="262"/>
    <x v="114"/>
  </r>
  <r>
    <x v="262"/>
    <x v="0"/>
    <x v="21"/>
    <s v="Edwardsville"/>
    <s v="IL"/>
    <x v="262"/>
    <x v="114"/>
  </r>
  <r>
    <x v="262"/>
    <x v="0"/>
    <x v="22"/>
    <s v="Edwardsville"/>
    <s v="IL"/>
    <x v="262"/>
    <x v="114"/>
  </r>
  <r>
    <x v="262"/>
    <x v="0"/>
    <x v="23"/>
    <s v="Edwardsville"/>
    <s v="IL"/>
    <x v="262"/>
    <x v="114"/>
  </r>
  <r>
    <x v="262"/>
    <x v="0"/>
    <x v="3"/>
    <s v="Edwardsville"/>
    <s v="IL"/>
    <x v="262"/>
    <x v="114"/>
  </r>
  <r>
    <x v="262"/>
    <x v="0"/>
    <x v="47"/>
    <s v="Edwardsville"/>
    <s v="IL"/>
    <x v="262"/>
    <x v="114"/>
  </r>
  <r>
    <x v="262"/>
    <x v="0"/>
    <x v="4"/>
    <s v="Edwardsville"/>
    <s v="IL"/>
    <x v="262"/>
    <x v="114"/>
  </r>
  <r>
    <x v="262"/>
    <x v="0"/>
    <x v="5"/>
    <s v="Edwardsville"/>
    <s v="IL"/>
    <x v="262"/>
    <x v="114"/>
  </r>
  <r>
    <x v="262"/>
    <x v="0"/>
    <x v="48"/>
    <s v="Edwardsville"/>
    <s v="IL"/>
    <x v="262"/>
    <x v="114"/>
  </r>
  <r>
    <x v="262"/>
    <x v="0"/>
    <x v="6"/>
    <s v="Edwardsville"/>
    <s v="IL"/>
    <x v="262"/>
    <x v="114"/>
  </r>
  <r>
    <x v="262"/>
    <x v="0"/>
    <x v="49"/>
    <s v="Edwardsville"/>
    <s v="IL"/>
    <x v="262"/>
    <x v="114"/>
  </r>
  <r>
    <x v="263"/>
    <x v="0"/>
    <x v="8"/>
    <s v="Peoria"/>
    <s v="IL"/>
    <x v="263"/>
    <x v="60"/>
  </r>
  <r>
    <x v="263"/>
    <x v="0"/>
    <x v="29"/>
    <s v="Peoria"/>
    <s v="IL"/>
    <x v="263"/>
    <x v="60"/>
  </r>
  <r>
    <x v="264"/>
    <x v="0"/>
    <x v="36"/>
    <s v="Rosemont"/>
    <s v="IL"/>
    <x v="264"/>
    <x v="38"/>
  </r>
  <r>
    <x v="265"/>
    <x v="0"/>
    <x v="8"/>
    <s v="Lisle"/>
    <s v="IL"/>
    <x v="265"/>
    <x v="2"/>
  </r>
  <r>
    <x v="265"/>
    <x v="0"/>
    <x v="27"/>
    <s v="Lisle"/>
    <s v="IL"/>
    <x v="265"/>
    <x v="2"/>
  </r>
  <r>
    <x v="265"/>
    <x v="0"/>
    <x v="13"/>
    <s v="Lisle"/>
    <s v="IL"/>
    <x v="265"/>
    <x v="2"/>
  </r>
  <r>
    <x v="265"/>
    <x v="0"/>
    <x v="29"/>
    <s v="Lisle"/>
    <s v="IL"/>
    <x v="265"/>
    <x v="2"/>
  </r>
  <r>
    <x v="265"/>
    <x v="0"/>
    <x v="18"/>
    <s v="Lisle"/>
    <s v="IL"/>
    <x v="265"/>
    <x v="2"/>
  </r>
  <r>
    <x v="266"/>
    <x v="0"/>
    <x v="59"/>
    <s v="Chicago"/>
    <s v="IL"/>
    <x v="266"/>
    <x v="0"/>
  </r>
  <r>
    <x v="266"/>
    <x v="0"/>
    <x v="41"/>
    <s v="Chicago"/>
    <s v="IL"/>
    <x v="266"/>
    <x v="0"/>
  </r>
  <r>
    <x v="266"/>
    <x v="0"/>
    <x v="42"/>
    <s v="Chicago"/>
    <s v="IL"/>
    <x v="266"/>
    <x v="0"/>
  </r>
  <r>
    <x v="266"/>
    <x v="0"/>
    <x v="7"/>
    <s v="Chicago"/>
    <s v="IL"/>
    <x v="266"/>
    <x v="0"/>
  </r>
  <r>
    <x v="266"/>
    <x v="0"/>
    <x v="8"/>
    <s v="Chicago"/>
    <s v="IL"/>
    <x v="266"/>
    <x v="0"/>
  </r>
  <r>
    <x v="266"/>
    <x v="0"/>
    <x v="10"/>
    <s v="Chicago"/>
    <s v="IL"/>
    <x v="266"/>
    <x v="0"/>
  </r>
  <r>
    <x v="266"/>
    <x v="0"/>
    <x v="11"/>
    <s v="Chicago"/>
    <s v="IL"/>
    <x v="266"/>
    <x v="0"/>
  </r>
  <r>
    <x v="266"/>
    <x v="0"/>
    <x v="24"/>
    <s v="Chicago"/>
    <s v="IL"/>
    <x v="266"/>
    <x v="0"/>
  </r>
  <r>
    <x v="266"/>
    <x v="0"/>
    <x v="25"/>
    <s v="Chicago"/>
    <s v="IL"/>
    <x v="266"/>
    <x v="0"/>
  </r>
  <r>
    <x v="266"/>
    <x v="0"/>
    <x v="12"/>
    <s v="Chicago"/>
    <s v="IL"/>
    <x v="266"/>
    <x v="0"/>
  </r>
  <r>
    <x v="266"/>
    <x v="0"/>
    <x v="27"/>
    <s v="Chicago"/>
    <s v="IL"/>
    <x v="266"/>
    <x v="0"/>
  </r>
  <r>
    <x v="266"/>
    <x v="0"/>
    <x v="13"/>
    <s v="Chicago"/>
    <s v="IL"/>
    <x v="266"/>
    <x v="0"/>
  </r>
  <r>
    <x v="266"/>
    <x v="0"/>
    <x v="15"/>
    <s v="Chicago"/>
    <s v="IL"/>
    <x v="266"/>
    <x v="0"/>
  </r>
  <r>
    <x v="266"/>
    <x v="0"/>
    <x v="16"/>
    <s v="Chicago"/>
    <s v="IL"/>
    <x v="266"/>
    <x v="0"/>
  </r>
  <r>
    <x v="266"/>
    <x v="0"/>
    <x v="35"/>
    <s v="Chicago"/>
    <s v="IL"/>
    <x v="266"/>
    <x v="0"/>
  </r>
  <r>
    <x v="266"/>
    <x v="0"/>
    <x v="17"/>
    <s v="Chicago"/>
    <s v="IL"/>
    <x v="266"/>
    <x v="0"/>
  </r>
  <r>
    <x v="266"/>
    <x v="0"/>
    <x v="18"/>
    <s v="Chicago"/>
    <s v="IL"/>
    <x v="266"/>
    <x v="0"/>
  </r>
  <r>
    <x v="266"/>
    <x v="0"/>
    <x v="19"/>
    <s v="Chicago"/>
    <s v="IL"/>
    <x v="266"/>
    <x v="0"/>
  </r>
  <r>
    <x v="266"/>
    <x v="0"/>
    <x v="3"/>
    <s v="Chicago"/>
    <s v="IL"/>
    <x v="266"/>
    <x v="0"/>
  </r>
  <r>
    <x v="266"/>
    <x v="0"/>
    <x v="4"/>
    <s v="Chicago"/>
    <s v="IL"/>
    <x v="266"/>
    <x v="0"/>
  </r>
  <r>
    <x v="266"/>
    <x v="0"/>
    <x v="5"/>
    <s v="Chicago"/>
    <s v="IL"/>
    <x v="266"/>
    <x v="0"/>
  </r>
  <r>
    <x v="266"/>
    <x v="0"/>
    <x v="6"/>
    <s v="Chicago"/>
    <s v="IL"/>
    <x v="266"/>
    <x v="0"/>
  </r>
  <r>
    <x v="266"/>
    <x v="0"/>
    <x v="50"/>
    <s v="Chicago"/>
    <s v="IL"/>
    <x v="266"/>
    <x v="0"/>
  </r>
  <r>
    <x v="266"/>
    <x v="0"/>
    <x v="32"/>
    <s v="Chicago"/>
    <s v="IL"/>
    <x v="266"/>
    <x v="0"/>
  </r>
  <r>
    <x v="266"/>
    <x v="0"/>
    <x v="51"/>
    <s v="Chicago"/>
    <s v="IL"/>
    <x v="266"/>
    <x v="0"/>
  </r>
  <r>
    <x v="267"/>
    <x v="0"/>
    <x v="8"/>
    <s v="Madison"/>
    <s v="WI"/>
    <x v="267"/>
    <x v="44"/>
  </r>
  <r>
    <x v="267"/>
    <x v="0"/>
    <x v="25"/>
    <s v="Madison"/>
    <s v="WI"/>
    <x v="267"/>
    <x v="44"/>
  </r>
  <r>
    <x v="267"/>
    <x v="0"/>
    <x v="12"/>
    <s v="Madison"/>
    <s v="WI"/>
    <x v="267"/>
    <x v="44"/>
  </r>
  <r>
    <x v="267"/>
    <x v="0"/>
    <x v="27"/>
    <s v="Madison"/>
    <s v="WI"/>
    <x v="267"/>
    <x v="44"/>
  </r>
  <r>
    <x v="267"/>
    <x v="0"/>
    <x v="18"/>
    <s v="Madison"/>
    <s v="WI"/>
    <x v="267"/>
    <x v="44"/>
  </r>
  <r>
    <x v="268"/>
    <x v="0"/>
    <x v="8"/>
    <s v="Madison"/>
    <s v="WI"/>
    <x v="268"/>
    <x v="44"/>
  </r>
  <r>
    <x v="269"/>
    <x v="1"/>
    <x v="52"/>
    <s v="Chicago"/>
    <s v="IL"/>
    <x v="269"/>
    <x v="0"/>
  </r>
  <r>
    <x v="270"/>
    <x v="1"/>
    <x v="36"/>
    <s v="Chicago"/>
    <s v="IL"/>
    <x v="270"/>
    <x v="0"/>
  </r>
  <r>
    <x v="271"/>
    <x v="1"/>
    <x v="41"/>
    <s v="Plainfield"/>
    <s v="IL"/>
    <x v="271"/>
    <x v="85"/>
  </r>
  <r>
    <x v="271"/>
    <x v="1"/>
    <x v="42"/>
    <s v="Plainfield"/>
    <s v="IL"/>
    <x v="271"/>
    <x v="85"/>
  </r>
  <r>
    <x v="271"/>
    <x v="1"/>
    <x v="43"/>
    <s v="Plainfield"/>
    <s v="IL"/>
    <x v="271"/>
    <x v="85"/>
  </r>
  <r>
    <x v="271"/>
    <x v="1"/>
    <x v="13"/>
    <s v="Plainfield"/>
    <s v="IL"/>
    <x v="271"/>
    <x v="85"/>
  </r>
  <r>
    <x v="271"/>
    <x v="1"/>
    <x v="57"/>
    <s v="Plainfield"/>
    <s v="IL"/>
    <x v="271"/>
    <x v="85"/>
  </r>
  <r>
    <x v="271"/>
    <x v="1"/>
    <x v="58"/>
    <s v="Plainfield"/>
    <s v="IL"/>
    <x v="271"/>
    <x v="85"/>
  </r>
  <r>
    <x v="272"/>
    <x v="0"/>
    <x v="36"/>
    <s v="San Francisco"/>
    <s v="CA"/>
    <x v="272"/>
    <x v="128"/>
  </r>
  <r>
    <x v="273"/>
    <x v="0"/>
    <x v="8"/>
    <s v="Willowbrook"/>
    <s v="IL"/>
    <x v="273"/>
    <x v="129"/>
  </r>
  <r>
    <x v="273"/>
    <x v="0"/>
    <x v="13"/>
    <s v="Willowbrook"/>
    <s v="IL"/>
    <x v="273"/>
    <x v="129"/>
  </r>
  <r>
    <x v="274"/>
    <x v="0"/>
    <x v="56"/>
    <s v="Sheboygan Falls"/>
    <s v="WI"/>
    <x v="274"/>
    <x v="130"/>
  </r>
  <r>
    <x v="274"/>
    <x v="0"/>
    <x v="53"/>
    <s v="Sheboygan Falls"/>
    <s v="WI"/>
    <x v="274"/>
    <x v="130"/>
  </r>
  <r>
    <x v="275"/>
    <x v="0"/>
    <x v="7"/>
    <s v="Collinsville"/>
    <s v="IL"/>
    <x v="275"/>
    <x v="131"/>
  </r>
  <r>
    <x v="275"/>
    <x v="0"/>
    <x v="8"/>
    <s v="Collinsville"/>
    <s v="IL"/>
    <x v="275"/>
    <x v="131"/>
  </r>
  <r>
    <x v="275"/>
    <x v="0"/>
    <x v="10"/>
    <s v="Collinsville"/>
    <s v="IL"/>
    <x v="275"/>
    <x v="131"/>
  </r>
  <r>
    <x v="275"/>
    <x v="0"/>
    <x v="11"/>
    <s v="Collinsville"/>
    <s v="IL"/>
    <x v="275"/>
    <x v="131"/>
  </r>
  <r>
    <x v="275"/>
    <x v="0"/>
    <x v="24"/>
    <s v="Collinsville"/>
    <s v="IL"/>
    <x v="275"/>
    <x v="131"/>
  </r>
  <r>
    <x v="275"/>
    <x v="0"/>
    <x v="25"/>
    <s v="Collinsville"/>
    <s v="IL"/>
    <x v="275"/>
    <x v="131"/>
  </r>
  <r>
    <x v="275"/>
    <x v="0"/>
    <x v="12"/>
    <s v="Collinsville"/>
    <s v="IL"/>
    <x v="275"/>
    <x v="131"/>
  </r>
  <r>
    <x v="275"/>
    <x v="0"/>
    <x v="27"/>
    <s v="Collinsville"/>
    <s v="IL"/>
    <x v="275"/>
    <x v="131"/>
  </r>
  <r>
    <x v="275"/>
    <x v="0"/>
    <x v="13"/>
    <s v="Collinsville"/>
    <s v="IL"/>
    <x v="275"/>
    <x v="131"/>
  </r>
  <r>
    <x v="275"/>
    <x v="0"/>
    <x v="29"/>
    <s v="Collinsville"/>
    <s v="IL"/>
    <x v="275"/>
    <x v="131"/>
  </r>
  <r>
    <x v="275"/>
    <x v="0"/>
    <x v="35"/>
    <s v="Collinsville"/>
    <s v="IL"/>
    <x v="275"/>
    <x v="131"/>
  </r>
  <r>
    <x v="275"/>
    <x v="0"/>
    <x v="17"/>
    <s v="Collinsville"/>
    <s v="IL"/>
    <x v="275"/>
    <x v="131"/>
  </r>
  <r>
    <x v="275"/>
    <x v="0"/>
    <x v="18"/>
    <s v="Collinsville"/>
    <s v="IL"/>
    <x v="275"/>
    <x v="131"/>
  </r>
  <r>
    <x v="275"/>
    <x v="0"/>
    <x v="19"/>
    <s v="Collinsville"/>
    <s v="IL"/>
    <x v="275"/>
    <x v="131"/>
  </r>
  <r>
    <x v="275"/>
    <x v="0"/>
    <x v="3"/>
    <s v="Collinsville"/>
    <s v="IL"/>
    <x v="275"/>
    <x v="131"/>
  </r>
  <r>
    <x v="275"/>
    <x v="0"/>
    <x v="4"/>
    <s v="Collinsville"/>
    <s v="IL"/>
    <x v="275"/>
    <x v="131"/>
  </r>
  <r>
    <x v="275"/>
    <x v="0"/>
    <x v="5"/>
    <s v="Collinsville"/>
    <s v="IL"/>
    <x v="275"/>
    <x v="131"/>
  </r>
  <r>
    <x v="276"/>
    <x v="0"/>
    <x v="14"/>
    <s v="Chicago"/>
    <s v="IL"/>
    <x v="276"/>
    <x v="0"/>
  </r>
  <r>
    <x v="277"/>
    <x v="1"/>
    <x v="39"/>
    <s v="Milwaukee"/>
    <s v="WI"/>
    <x v="277"/>
    <x v="42"/>
  </r>
  <r>
    <x v="277"/>
    <x v="1"/>
    <x v="12"/>
    <s v="Milwaukee"/>
    <s v="WI"/>
    <x v="277"/>
    <x v="42"/>
  </r>
  <r>
    <x v="277"/>
    <x v="1"/>
    <x v="13"/>
    <s v="Milwaukee"/>
    <s v="WI"/>
    <x v="277"/>
    <x v="42"/>
  </r>
  <r>
    <x v="277"/>
    <x v="1"/>
    <x v="29"/>
    <s v="Milwaukee"/>
    <s v="WI"/>
    <x v="277"/>
    <x v="42"/>
  </r>
  <r>
    <x v="278"/>
    <x v="1"/>
    <x v="52"/>
    <s v="Chicago"/>
    <s v="IL"/>
    <x v="278"/>
    <x v="0"/>
  </r>
  <r>
    <x v="278"/>
    <x v="1"/>
    <x v="13"/>
    <s v="Chicago"/>
    <s v="IL"/>
    <x v="278"/>
    <x v="0"/>
  </r>
  <r>
    <x v="278"/>
    <x v="1"/>
    <x v="15"/>
    <s v="Chicago"/>
    <s v="IL"/>
    <x v="278"/>
    <x v="0"/>
  </r>
  <r>
    <x v="279"/>
    <x v="0"/>
    <x v="8"/>
    <s v="Dubuque"/>
    <s v="IA"/>
    <x v="279"/>
    <x v="132"/>
  </r>
  <r>
    <x v="279"/>
    <x v="0"/>
    <x v="11"/>
    <s v="Dubuque"/>
    <s v="IA"/>
    <x v="279"/>
    <x v="132"/>
  </r>
  <r>
    <x v="279"/>
    <x v="0"/>
    <x v="12"/>
    <s v="Dubuque"/>
    <s v="IA"/>
    <x v="279"/>
    <x v="132"/>
  </r>
  <r>
    <x v="279"/>
    <x v="0"/>
    <x v="13"/>
    <s v="Dubuque"/>
    <s v="IA"/>
    <x v="279"/>
    <x v="132"/>
  </r>
  <r>
    <x v="279"/>
    <x v="0"/>
    <x v="16"/>
    <s v="Dubuque"/>
    <s v="IA"/>
    <x v="279"/>
    <x v="132"/>
  </r>
  <r>
    <x v="279"/>
    <x v="0"/>
    <x v="29"/>
    <s v="Dubuque"/>
    <s v="IA"/>
    <x v="279"/>
    <x v="132"/>
  </r>
  <r>
    <x v="279"/>
    <x v="0"/>
    <x v="19"/>
    <s v="Dubuque"/>
    <s v="IA"/>
    <x v="279"/>
    <x v="132"/>
  </r>
  <r>
    <x v="279"/>
    <x v="0"/>
    <x v="4"/>
    <s v="Dubuque"/>
    <s v="IA"/>
    <x v="279"/>
    <x v="132"/>
  </r>
  <r>
    <x v="279"/>
    <x v="0"/>
    <x v="5"/>
    <s v="Dubuque"/>
    <s v="IA"/>
    <x v="279"/>
    <x v="132"/>
  </r>
  <r>
    <x v="280"/>
    <x v="0"/>
    <x v="7"/>
    <s v="Chicago"/>
    <s v="IL"/>
    <x v="280"/>
    <x v="0"/>
  </r>
  <r>
    <x v="280"/>
    <x v="0"/>
    <x v="8"/>
    <s v="Chicago"/>
    <s v="IL"/>
    <x v="280"/>
    <x v="0"/>
  </r>
  <r>
    <x v="280"/>
    <x v="0"/>
    <x v="13"/>
    <s v="Chicago"/>
    <s v="IL"/>
    <x v="280"/>
    <x v="0"/>
  </r>
  <r>
    <x v="280"/>
    <x v="0"/>
    <x v="17"/>
    <s v="Chicago"/>
    <s v="IL"/>
    <x v="280"/>
    <x v="0"/>
  </r>
  <r>
    <x v="280"/>
    <x v="0"/>
    <x v="18"/>
    <s v="Chicago"/>
    <s v="IL"/>
    <x v="280"/>
    <x v="0"/>
  </r>
  <r>
    <x v="280"/>
    <x v="0"/>
    <x v="3"/>
    <s v="Chicago"/>
    <s v="IL"/>
    <x v="280"/>
    <x v="0"/>
  </r>
  <r>
    <x v="280"/>
    <x v="0"/>
    <x v="4"/>
    <s v="Chicago"/>
    <s v="IL"/>
    <x v="280"/>
    <x v="0"/>
  </r>
  <r>
    <x v="280"/>
    <x v="0"/>
    <x v="5"/>
    <s v="Chicago"/>
    <s v="IL"/>
    <x v="280"/>
    <x v="0"/>
  </r>
  <r>
    <x v="280"/>
    <x v="0"/>
    <x v="48"/>
    <s v="Chicago"/>
    <s v="IL"/>
    <x v="280"/>
    <x v="0"/>
  </r>
  <r>
    <x v="281"/>
    <x v="1"/>
    <x v="7"/>
    <s v="Wheaton"/>
    <s v="IL"/>
    <x v="281"/>
    <x v="133"/>
  </r>
  <r>
    <x v="281"/>
    <x v="1"/>
    <x v="8"/>
    <s v="Wheaton"/>
    <s v="IL"/>
    <x v="281"/>
    <x v="133"/>
  </r>
  <r>
    <x v="281"/>
    <x v="1"/>
    <x v="25"/>
    <s v="Wheaton"/>
    <s v="IL"/>
    <x v="281"/>
    <x v="133"/>
  </r>
  <r>
    <x v="281"/>
    <x v="1"/>
    <x v="12"/>
    <s v="Wheaton"/>
    <s v="IL"/>
    <x v="281"/>
    <x v="133"/>
  </r>
  <r>
    <x v="281"/>
    <x v="1"/>
    <x v="13"/>
    <s v="Wheaton"/>
    <s v="IL"/>
    <x v="281"/>
    <x v="133"/>
  </r>
  <r>
    <x v="281"/>
    <x v="1"/>
    <x v="35"/>
    <s v="Wheaton"/>
    <s v="IL"/>
    <x v="281"/>
    <x v="133"/>
  </r>
  <r>
    <x v="281"/>
    <x v="1"/>
    <x v="17"/>
    <s v="Wheaton"/>
    <s v="IL"/>
    <x v="281"/>
    <x v="133"/>
  </r>
  <r>
    <x v="281"/>
    <x v="1"/>
    <x v="18"/>
    <s v="Wheaton"/>
    <s v="IL"/>
    <x v="281"/>
    <x v="133"/>
  </r>
  <r>
    <x v="282"/>
    <x v="0"/>
    <x v="39"/>
    <s v="Park Rige"/>
    <s v="IL"/>
    <x v="282"/>
    <x v="134"/>
  </r>
  <r>
    <x v="282"/>
    <x v="0"/>
    <x v="40"/>
    <s v="Park Rige"/>
    <s v="IL"/>
    <x v="282"/>
    <x v="134"/>
  </r>
  <r>
    <x v="282"/>
    <x v="0"/>
    <x v="7"/>
    <s v="Park Rige"/>
    <s v="IL"/>
    <x v="282"/>
    <x v="134"/>
  </r>
  <r>
    <x v="282"/>
    <x v="0"/>
    <x v="8"/>
    <s v="Park Rige"/>
    <s v="IL"/>
    <x v="282"/>
    <x v="134"/>
  </r>
  <r>
    <x v="282"/>
    <x v="0"/>
    <x v="24"/>
    <s v="Park Rige"/>
    <s v="IL"/>
    <x v="282"/>
    <x v="134"/>
  </r>
  <r>
    <x v="282"/>
    <x v="0"/>
    <x v="25"/>
    <s v="Park Rige"/>
    <s v="IL"/>
    <x v="282"/>
    <x v="134"/>
  </r>
  <r>
    <x v="282"/>
    <x v="0"/>
    <x v="12"/>
    <s v="Park Rige"/>
    <s v="IL"/>
    <x v="282"/>
    <x v="134"/>
  </r>
  <r>
    <x v="282"/>
    <x v="0"/>
    <x v="15"/>
    <s v="Park Rige"/>
    <s v="IL"/>
    <x v="282"/>
    <x v="134"/>
  </r>
  <r>
    <x v="282"/>
    <x v="0"/>
    <x v="36"/>
    <s v="Park Rige"/>
    <s v="IL"/>
    <x v="282"/>
    <x v="134"/>
  </r>
  <r>
    <x v="282"/>
    <x v="0"/>
    <x v="35"/>
    <s v="Park Rige"/>
    <s v="IL"/>
    <x v="282"/>
    <x v="134"/>
  </r>
  <r>
    <x v="282"/>
    <x v="0"/>
    <x v="17"/>
    <s v="Park Rige"/>
    <s v="IL"/>
    <x v="282"/>
    <x v="134"/>
  </r>
  <r>
    <x v="282"/>
    <x v="0"/>
    <x v="18"/>
    <s v="Park Rige"/>
    <s v="IL"/>
    <x v="282"/>
    <x v="134"/>
  </r>
  <r>
    <x v="283"/>
    <x v="0"/>
    <x v="39"/>
    <s v="Chicago"/>
    <s v="IL"/>
    <x v="283"/>
    <x v="0"/>
  </r>
  <r>
    <x v="283"/>
    <x v="0"/>
    <x v="40"/>
    <s v="Chicago"/>
    <s v="IL"/>
    <x v="283"/>
    <x v="0"/>
  </r>
  <r>
    <x v="283"/>
    <x v="0"/>
    <x v="7"/>
    <s v="Chicago"/>
    <s v="IL"/>
    <x v="283"/>
    <x v="0"/>
  </r>
  <r>
    <x v="283"/>
    <x v="0"/>
    <x v="8"/>
    <s v="Chicago"/>
    <s v="IL"/>
    <x v="283"/>
    <x v="0"/>
  </r>
  <r>
    <x v="283"/>
    <x v="0"/>
    <x v="9"/>
    <s v="Chicago"/>
    <s v="IL"/>
    <x v="283"/>
    <x v="0"/>
  </r>
  <r>
    <x v="283"/>
    <x v="0"/>
    <x v="10"/>
    <s v="Chicago"/>
    <s v="IL"/>
    <x v="283"/>
    <x v="0"/>
  </r>
  <r>
    <x v="283"/>
    <x v="0"/>
    <x v="11"/>
    <s v="Chicago"/>
    <s v="IL"/>
    <x v="283"/>
    <x v="0"/>
  </r>
  <r>
    <x v="283"/>
    <x v="0"/>
    <x v="24"/>
    <s v="Chicago"/>
    <s v="IL"/>
    <x v="283"/>
    <x v="0"/>
  </r>
  <r>
    <x v="283"/>
    <x v="0"/>
    <x v="25"/>
    <s v="Chicago"/>
    <s v="IL"/>
    <x v="283"/>
    <x v="0"/>
  </r>
  <r>
    <x v="283"/>
    <x v="0"/>
    <x v="12"/>
    <s v="Chicago"/>
    <s v="IL"/>
    <x v="283"/>
    <x v="0"/>
  </r>
  <r>
    <x v="283"/>
    <x v="0"/>
    <x v="27"/>
    <s v="Chicago"/>
    <s v="IL"/>
    <x v="283"/>
    <x v="0"/>
  </r>
  <r>
    <x v="283"/>
    <x v="0"/>
    <x v="22"/>
    <s v="Chicago"/>
    <s v="IL"/>
    <x v="283"/>
    <x v="0"/>
  </r>
  <r>
    <x v="283"/>
    <x v="0"/>
    <x v="23"/>
    <s v="Chicago"/>
    <s v="IL"/>
    <x v="283"/>
    <x v="0"/>
  </r>
  <r>
    <x v="283"/>
    <x v="0"/>
    <x v="36"/>
    <s v="Chicago"/>
    <s v="IL"/>
    <x v="283"/>
    <x v="0"/>
  </r>
  <r>
    <x v="283"/>
    <x v="0"/>
    <x v="35"/>
    <s v="Chicago"/>
    <s v="IL"/>
    <x v="283"/>
    <x v="0"/>
  </r>
  <r>
    <x v="283"/>
    <x v="0"/>
    <x v="17"/>
    <s v="Chicago"/>
    <s v="IL"/>
    <x v="283"/>
    <x v="0"/>
  </r>
  <r>
    <x v="283"/>
    <x v="0"/>
    <x v="46"/>
    <s v="Chicago"/>
    <s v="IL"/>
    <x v="283"/>
    <x v="0"/>
  </r>
  <r>
    <x v="283"/>
    <x v="0"/>
    <x v="18"/>
    <s v="Chicago"/>
    <s v="IL"/>
    <x v="283"/>
    <x v="0"/>
  </r>
  <r>
    <x v="283"/>
    <x v="0"/>
    <x v="19"/>
    <s v="Chicago"/>
    <s v="IL"/>
    <x v="283"/>
    <x v="0"/>
  </r>
  <r>
    <x v="283"/>
    <x v="0"/>
    <x v="3"/>
    <s v="Chicago"/>
    <s v="IL"/>
    <x v="283"/>
    <x v="0"/>
  </r>
  <r>
    <x v="283"/>
    <x v="0"/>
    <x v="47"/>
    <s v="Chicago"/>
    <s v="IL"/>
    <x v="283"/>
    <x v="0"/>
  </r>
  <r>
    <x v="283"/>
    <x v="0"/>
    <x v="4"/>
    <s v="Chicago"/>
    <s v="IL"/>
    <x v="283"/>
    <x v="0"/>
  </r>
  <r>
    <x v="283"/>
    <x v="0"/>
    <x v="5"/>
    <s v="Chicago"/>
    <s v="IL"/>
    <x v="283"/>
    <x v="0"/>
  </r>
  <r>
    <x v="283"/>
    <x v="0"/>
    <x v="48"/>
    <s v="Chicago"/>
    <s v="IL"/>
    <x v="283"/>
    <x v="0"/>
  </r>
  <r>
    <x v="283"/>
    <x v="0"/>
    <x v="6"/>
    <s v="Chicago"/>
    <s v="IL"/>
    <x v="283"/>
    <x v="0"/>
  </r>
  <r>
    <x v="283"/>
    <x v="0"/>
    <x v="49"/>
    <s v="Chicago"/>
    <s v="IL"/>
    <x v="283"/>
    <x v="0"/>
  </r>
  <r>
    <x v="283"/>
    <x v="0"/>
    <x v="50"/>
    <s v="Chicago"/>
    <s v="IL"/>
    <x v="283"/>
    <x v="0"/>
  </r>
  <r>
    <x v="283"/>
    <x v="0"/>
    <x v="32"/>
    <s v="Chicago"/>
    <s v="IL"/>
    <x v="283"/>
    <x v="0"/>
  </r>
  <r>
    <x v="283"/>
    <x v="0"/>
    <x v="51"/>
    <s v="Chicago"/>
    <s v="IL"/>
    <x v="283"/>
    <x v="0"/>
  </r>
  <r>
    <x v="284"/>
    <x v="0"/>
    <x v="39"/>
    <s v="Lisle"/>
    <s v="IL"/>
    <x v="284"/>
    <x v="2"/>
  </r>
  <r>
    <x v="284"/>
    <x v="0"/>
    <x v="7"/>
    <s v="Lisle"/>
    <s v="IL"/>
    <x v="284"/>
    <x v="2"/>
  </r>
  <r>
    <x v="284"/>
    <x v="0"/>
    <x v="8"/>
    <s v="Lisle"/>
    <s v="IL"/>
    <x v="284"/>
    <x v="2"/>
  </r>
  <r>
    <x v="284"/>
    <x v="0"/>
    <x v="9"/>
    <s v="Lisle"/>
    <s v="IL"/>
    <x v="284"/>
    <x v="2"/>
  </r>
  <r>
    <x v="284"/>
    <x v="0"/>
    <x v="10"/>
    <s v="Lisle"/>
    <s v="IL"/>
    <x v="284"/>
    <x v="2"/>
  </r>
  <r>
    <x v="284"/>
    <x v="0"/>
    <x v="11"/>
    <s v="Lisle"/>
    <s v="IL"/>
    <x v="284"/>
    <x v="2"/>
  </r>
  <r>
    <x v="284"/>
    <x v="0"/>
    <x v="24"/>
    <s v="Lisle"/>
    <s v="IL"/>
    <x v="284"/>
    <x v="2"/>
  </r>
  <r>
    <x v="284"/>
    <x v="0"/>
    <x v="25"/>
    <s v="Lisle"/>
    <s v="IL"/>
    <x v="284"/>
    <x v="2"/>
  </r>
  <r>
    <x v="284"/>
    <x v="0"/>
    <x v="12"/>
    <s v="Lisle"/>
    <s v="IL"/>
    <x v="284"/>
    <x v="2"/>
  </r>
  <r>
    <x v="284"/>
    <x v="0"/>
    <x v="27"/>
    <s v="Lisle"/>
    <s v="IL"/>
    <x v="284"/>
    <x v="2"/>
  </r>
  <r>
    <x v="284"/>
    <x v="0"/>
    <x v="13"/>
    <s v="Lisle"/>
    <s v="IL"/>
    <x v="284"/>
    <x v="2"/>
  </r>
  <r>
    <x v="284"/>
    <x v="0"/>
    <x v="15"/>
    <s v="Lisle"/>
    <s v="IL"/>
    <x v="284"/>
    <x v="2"/>
  </r>
  <r>
    <x v="284"/>
    <x v="0"/>
    <x v="36"/>
    <s v="Lisle"/>
    <s v="IL"/>
    <x v="284"/>
    <x v="2"/>
  </r>
  <r>
    <x v="284"/>
    <x v="0"/>
    <x v="16"/>
    <s v="Lisle"/>
    <s v="IL"/>
    <x v="284"/>
    <x v="2"/>
  </r>
  <r>
    <x v="284"/>
    <x v="0"/>
    <x v="28"/>
    <s v="Lisle"/>
    <s v="IL"/>
    <x v="284"/>
    <x v="2"/>
  </r>
  <r>
    <x v="284"/>
    <x v="0"/>
    <x v="29"/>
    <s v="Lisle"/>
    <s v="IL"/>
    <x v="284"/>
    <x v="2"/>
  </r>
  <r>
    <x v="284"/>
    <x v="0"/>
    <x v="35"/>
    <s v="Lisle"/>
    <s v="IL"/>
    <x v="284"/>
    <x v="2"/>
  </r>
  <r>
    <x v="284"/>
    <x v="0"/>
    <x v="17"/>
    <s v="Lisle"/>
    <s v="IL"/>
    <x v="284"/>
    <x v="2"/>
  </r>
  <r>
    <x v="284"/>
    <x v="0"/>
    <x v="18"/>
    <s v="Lisle"/>
    <s v="IL"/>
    <x v="284"/>
    <x v="2"/>
  </r>
  <r>
    <x v="284"/>
    <x v="0"/>
    <x v="19"/>
    <s v="Lisle"/>
    <s v="IL"/>
    <x v="284"/>
    <x v="2"/>
  </r>
  <r>
    <x v="284"/>
    <x v="0"/>
    <x v="3"/>
    <s v="Lisle"/>
    <s v="IL"/>
    <x v="284"/>
    <x v="2"/>
  </r>
  <r>
    <x v="284"/>
    <x v="0"/>
    <x v="47"/>
    <s v="Lisle"/>
    <s v="IL"/>
    <x v="284"/>
    <x v="2"/>
  </r>
  <r>
    <x v="284"/>
    <x v="0"/>
    <x v="4"/>
    <s v="Lisle"/>
    <s v="IL"/>
    <x v="284"/>
    <x v="2"/>
  </r>
  <r>
    <x v="284"/>
    <x v="0"/>
    <x v="5"/>
    <s v="Lisle"/>
    <s v="IL"/>
    <x v="284"/>
    <x v="2"/>
  </r>
  <r>
    <x v="284"/>
    <x v="0"/>
    <x v="6"/>
    <s v="Lisle"/>
    <s v="IL"/>
    <x v="284"/>
    <x v="2"/>
  </r>
  <r>
    <x v="284"/>
    <x v="0"/>
    <x v="50"/>
    <s v="Lisle"/>
    <s v="IL"/>
    <x v="284"/>
    <x v="2"/>
  </r>
  <r>
    <x v="284"/>
    <x v="0"/>
    <x v="32"/>
    <s v="Lisle"/>
    <s v="IL"/>
    <x v="284"/>
    <x v="2"/>
  </r>
  <r>
    <x v="284"/>
    <x v="0"/>
    <x v="51"/>
    <s v="Lisle"/>
    <s v="IL"/>
    <x v="284"/>
    <x v="2"/>
  </r>
  <r>
    <x v="285"/>
    <x v="1"/>
    <x v="13"/>
    <s v="Glenview"/>
    <s v="IL"/>
    <x v="285"/>
    <x v="49"/>
  </r>
  <r>
    <x v="286"/>
    <x v="1"/>
    <x v="7"/>
    <s v="Arlington Heights"/>
    <s v="IL"/>
    <x v="286"/>
    <x v="17"/>
  </r>
  <r>
    <x v="286"/>
    <x v="1"/>
    <x v="8"/>
    <s v="Arlington Heights"/>
    <s v="IL"/>
    <x v="286"/>
    <x v="17"/>
  </r>
  <r>
    <x v="286"/>
    <x v="1"/>
    <x v="11"/>
    <s v="Arlington Heights"/>
    <s v="IL"/>
    <x v="286"/>
    <x v="17"/>
  </r>
  <r>
    <x v="286"/>
    <x v="1"/>
    <x v="24"/>
    <s v="Arlington Heights"/>
    <s v="IL"/>
    <x v="286"/>
    <x v="17"/>
  </r>
  <r>
    <x v="286"/>
    <x v="1"/>
    <x v="25"/>
    <s v="Arlington Heights"/>
    <s v="IL"/>
    <x v="286"/>
    <x v="17"/>
  </r>
  <r>
    <x v="286"/>
    <x v="1"/>
    <x v="12"/>
    <s v="Arlington Heights"/>
    <s v="IL"/>
    <x v="286"/>
    <x v="17"/>
  </r>
  <r>
    <x v="286"/>
    <x v="1"/>
    <x v="27"/>
    <s v="Arlington Heights"/>
    <s v="IL"/>
    <x v="286"/>
    <x v="17"/>
  </r>
  <r>
    <x v="286"/>
    <x v="1"/>
    <x v="13"/>
    <s v="Arlington Heights"/>
    <s v="IL"/>
    <x v="286"/>
    <x v="17"/>
  </r>
  <r>
    <x v="286"/>
    <x v="1"/>
    <x v="36"/>
    <s v="Arlington Heights"/>
    <s v="IL"/>
    <x v="286"/>
    <x v="17"/>
  </r>
  <r>
    <x v="286"/>
    <x v="1"/>
    <x v="35"/>
    <s v="Arlington Heights"/>
    <s v="IL"/>
    <x v="286"/>
    <x v="17"/>
  </r>
  <r>
    <x v="286"/>
    <x v="1"/>
    <x v="17"/>
    <s v="Arlington Heights"/>
    <s v="IL"/>
    <x v="286"/>
    <x v="17"/>
  </r>
  <r>
    <x v="286"/>
    <x v="1"/>
    <x v="18"/>
    <s v="Arlington Heights"/>
    <s v="IL"/>
    <x v="286"/>
    <x v="17"/>
  </r>
  <r>
    <x v="286"/>
    <x v="1"/>
    <x v="19"/>
    <s v="Arlington Heights"/>
    <s v="IL"/>
    <x v="286"/>
    <x v="17"/>
  </r>
  <r>
    <x v="286"/>
    <x v="1"/>
    <x v="32"/>
    <s v="Arlington Heights"/>
    <s v="IL"/>
    <x v="286"/>
    <x v="17"/>
  </r>
  <r>
    <x v="287"/>
    <x v="0"/>
    <x v="8"/>
    <s v="Kankakee"/>
    <s v="IL"/>
    <x v="287"/>
    <x v="135"/>
  </r>
  <r>
    <x v="287"/>
    <x v="0"/>
    <x v="13"/>
    <s v="Kankakee"/>
    <s v="IL"/>
    <x v="287"/>
    <x v="135"/>
  </r>
  <r>
    <x v="287"/>
    <x v="0"/>
    <x v="16"/>
    <s v="Kankakee"/>
    <s v="IL"/>
    <x v="287"/>
    <x v="135"/>
  </r>
  <r>
    <x v="287"/>
    <x v="0"/>
    <x v="29"/>
    <s v="Kankakee"/>
    <s v="IL"/>
    <x v="287"/>
    <x v="135"/>
  </r>
  <r>
    <x v="288"/>
    <x v="1"/>
    <x v="7"/>
    <s v="Chicago"/>
    <s v="IL"/>
    <x v="288"/>
    <x v="0"/>
  </r>
  <r>
    <x v="288"/>
    <x v="1"/>
    <x v="8"/>
    <s v="Chicago"/>
    <s v="IL"/>
    <x v="288"/>
    <x v="0"/>
  </r>
  <r>
    <x v="288"/>
    <x v="1"/>
    <x v="12"/>
    <s v="Chicago"/>
    <s v="IL"/>
    <x v="288"/>
    <x v="0"/>
  </r>
  <r>
    <x v="288"/>
    <x v="1"/>
    <x v="13"/>
    <s v="Chicago"/>
    <s v="IL"/>
    <x v="288"/>
    <x v="0"/>
  </r>
  <r>
    <x v="288"/>
    <x v="1"/>
    <x v="36"/>
    <s v="Chicago"/>
    <s v="IL"/>
    <x v="288"/>
    <x v="0"/>
  </r>
  <r>
    <x v="288"/>
    <x v="1"/>
    <x v="18"/>
    <s v="Chicago"/>
    <s v="IL"/>
    <x v="288"/>
    <x v="0"/>
  </r>
  <r>
    <x v="288"/>
    <x v="1"/>
    <x v="19"/>
    <s v="Chicago"/>
    <s v="IL"/>
    <x v="288"/>
    <x v="0"/>
  </r>
  <r>
    <x v="289"/>
    <x v="1"/>
    <x v="0"/>
    <s v="Bloomington"/>
    <s v="IL"/>
    <x v="289"/>
    <x v="71"/>
  </r>
  <r>
    <x v="289"/>
    <x v="1"/>
    <x v="1"/>
    <s v="Bloomington"/>
    <s v="IL"/>
    <x v="289"/>
    <x v="71"/>
  </r>
  <r>
    <x v="289"/>
    <x v="1"/>
    <x v="30"/>
    <s v="Bloomington"/>
    <s v="IL"/>
    <x v="289"/>
    <x v="71"/>
  </r>
  <r>
    <x v="289"/>
    <x v="1"/>
    <x v="2"/>
    <s v="Bloomington"/>
    <s v="IL"/>
    <x v="289"/>
    <x v="71"/>
  </r>
  <r>
    <x v="290"/>
    <x v="1"/>
    <x v="8"/>
    <s v="Quincy"/>
    <s v="IL"/>
    <x v="290"/>
    <x v="110"/>
  </r>
  <r>
    <x v="290"/>
    <x v="1"/>
    <x v="11"/>
    <s v="Quincy"/>
    <s v="IL"/>
    <x v="290"/>
    <x v="110"/>
  </r>
  <r>
    <x v="290"/>
    <x v="1"/>
    <x v="25"/>
    <s v="Quincy"/>
    <s v="IL"/>
    <x v="290"/>
    <x v="110"/>
  </r>
  <r>
    <x v="290"/>
    <x v="1"/>
    <x v="12"/>
    <s v="Quincy"/>
    <s v="IL"/>
    <x v="290"/>
    <x v="110"/>
  </r>
  <r>
    <x v="290"/>
    <x v="1"/>
    <x v="16"/>
    <s v="Quincy"/>
    <s v="IL"/>
    <x v="290"/>
    <x v="110"/>
  </r>
  <r>
    <x v="290"/>
    <x v="1"/>
    <x v="4"/>
    <s v="Quincy"/>
    <s v="IL"/>
    <x v="290"/>
    <x v="110"/>
  </r>
  <r>
    <x v="290"/>
    <x v="1"/>
    <x v="5"/>
    <s v="Quincy"/>
    <s v="IL"/>
    <x v="290"/>
    <x v="110"/>
  </r>
  <r>
    <x v="291"/>
    <x v="0"/>
    <x v="0"/>
    <s v="Elmhurst"/>
    <s v="IL"/>
    <x v="291"/>
    <x v="136"/>
  </r>
  <r>
    <x v="292"/>
    <x v="0"/>
    <x v="13"/>
    <s v="Island lake"/>
    <s v="IL"/>
    <x v="292"/>
    <x v="137"/>
  </r>
  <r>
    <x v="293"/>
    <x v="0"/>
    <x v="16"/>
    <s v="Carterville"/>
    <s v="IL"/>
    <x v="293"/>
    <x v="138"/>
  </r>
  <r>
    <x v="294"/>
    <x v="1"/>
    <x v="33"/>
    <s v="Columbia"/>
    <s v="IL"/>
    <x v="294"/>
    <x v="139"/>
  </r>
  <r>
    <x v="294"/>
    <x v="1"/>
    <x v="34"/>
    <s v="Columbia"/>
    <s v="IL"/>
    <x v="294"/>
    <x v="139"/>
  </r>
  <r>
    <x v="294"/>
    <x v="1"/>
    <x v="7"/>
    <s v="Columbia"/>
    <s v="IL"/>
    <x v="294"/>
    <x v="139"/>
  </r>
  <r>
    <x v="294"/>
    <x v="1"/>
    <x v="8"/>
    <s v="Columbia"/>
    <s v="IL"/>
    <x v="294"/>
    <x v="139"/>
  </r>
  <r>
    <x v="294"/>
    <x v="1"/>
    <x v="10"/>
    <s v="Columbia"/>
    <s v="IL"/>
    <x v="294"/>
    <x v="139"/>
  </r>
  <r>
    <x v="294"/>
    <x v="1"/>
    <x v="11"/>
    <s v="Columbia"/>
    <s v="IL"/>
    <x v="294"/>
    <x v="139"/>
  </r>
  <r>
    <x v="294"/>
    <x v="1"/>
    <x v="24"/>
    <s v="Columbia"/>
    <s v="IL"/>
    <x v="294"/>
    <x v="139"/>
  </r>
  <r>
    <x v="294"/>
    <x v="1"/>
    <x v="25"/>
    <s v="Columbia"/>
    <s v="IL"/>
    <x v="294"/>
    <x v="139"/>
  </r>
  <r>
    <x v="294"/>
    <x v="1"/>
    <x v="12"/>
    <s v="Columbia"/>
    <s v="IL"/>
    <x v="294"/>
    <x v="139"/>
  </r>
  <r>
    <x v="294"/>
    <x v="1"/>
    <x v="56"/>
    <s v="Columbia"/>
    <s v="IL"/>
    <x v="294"/>
    <x v="139"/>
  </r>
  <r>
    <x v="294"/>
    <x v="1"/>
    <x v="13"/>
    <s v="Columbia"/>
    <s v="IL"/>
    <x v="294"/>
    <x v="139"/>
  </r>
  <r>
    <x v="294"/>
    <x v="1"/>
    <x v="22"/>
    <s v="Columbia"/>
    <s v="IL"/>
    <x v="294"/>
    <x v="139"/>
  </r>
  <r>
    <x v="294"/>
    <x v="1"/>
    <x v="23"/>
    <s v="Columbia"/>
    <s v="IL"/>
    <x v="294"/>
    <x v="139"/>
  </r>
  <r>
    <x v="294"/>
    <x v="1"/>
    <x v="53"/>
    <s v="Columbia"/>
    <s v="IL"/>
    <x v="294"/>
    <x v="139"/>
  </r>
  <r>
    <x v="294"/>
    <x v="1"/>
    <x v="16"/>
    <s v="Columbia"/>
    <s v="IL"/>
    <x v="294"/>
    <x v="139"/>
  </r>
  <r>
    <x v="294"/>
    <x v="1"/>
    <x v="28"/>
    <s v="Columbia"/>
    <s v="IL"/>
    <x v="294"/>
    <x v="139"/>
  </r>
  <r>
    <x v="294"/>
    <x v="1"/>
    <x v="29"/>
    <s v="Columbia"/>
    <s v="IL"/>
    <x v="294"/>
    <x v="139"/>
  </r>
  <r>
    <x v="294"/>
    <x v="1"/>
    <x v="17"/>
    <s v="Columbia"/>
    <s v="IL"/>
    <x v="294"/>
    <x v="139"/>
  </r>
  <r>
    <x v="294"/>
    <x v="1"/>
    <x v="18"/>
    <s v="Columbia"/>
    <s v="IL"/>
    <x v="294"/>
    <x v="139"/>
  </r>
  <r>
    <x v="294"/>
    <x v="1"/>
    <x v="19"/>
    <s v="Columbia"/>
    <s v="IL"/>
    <x v="294"/>
    <x v="139"/>
  </r>
  <r>
    <x v="294"/>
    <x v="1"/>
    <x v="4"/>
    <s v="Columbia"/>
    <s v="IL"/>
    <x v="294"/>
    <x v="139"/>
  </r>
  <r>
    <x v="294"/>
    <x v="1"/>
    <x v="5"/>
    <s v="Columbia"/>
    <s v="IL"/>
    <x v="294"/>
    <x v="139"/>
  </r>
  <r>
    <x v="295"/>
    <x v="0"/>
    <x v="33"/>
    <s v="Chicago"/>
    <s v="IL"/>
    <x v="295"/>
    <x v="0"/>
  </r>
  <r>
    <x v="295"/>
    <x v="0"/>
    <x v="61"/>
    <s v="Chicago"/>
    <s v="IL"/>
    <x v="295"/>
    <x v="0"/>
  </r>
  <r>
    <x v="295"/>
    <x v="0"/>
    <x v="34"/>
    <s v="Chicago"/>
    <s v="IL"/>
    <x v="295"/>
    <x v="0"/>
  </r>
  <r>
    <x v="295"/>
    <x v="0"/>
    <x v="37"/>
    <s v="Chicago"/>
    <s v="IL"/>
    <x v="295"/>
    <x v="0"/>
  </r>
  <r>
    <x v="295"/>
    <x v="0"/>
    <x v="38"/>
    <s v="Chicago"/>
    <s v="IL"/>
    <x v="295"/>
    <x v="0"/>
  </r>
  <r>
    <x v="295"/>
    <x v="0"/>
    <x v="7"/>
    <s v="Chicago"/>
    <s v="IL"/>
    <x v="295"/>
    <x v="0"/>
  </r>
  <r>
    <x v="295"/>
    <x v="0"/>
    <x v="8"/>
    <s v="Chicago"/>
    <s v="IL"/>
    <x v="295"/>
    <x v="0"/>
  </r>
  <r>
    <x v="295"/>
    <x v="0"/>
    <x v="10"/>
    <s v="Chicago"/>
    <s v="IL"/>
    <x v="295"/>
    <x v="0"/>
  </r>
  <r>
    <x v="295"/>
    <x v="0"/>
    <x v="11"/>
    <s v="Chicago"/>
    <s v="IL"/>
    <x v="295"/>
    <x v="0"/>
  </r>
  <r>
    <x v="295"/>
    <x v="0"/>
    <x v="24"/>
    <s v="Chicago"/>
    <s v="IL"/>
    <x v="295"/>
    <x v="0"/>
  </r>
  <r>
    <x v="295"/>
    <x v="0"/>
    <x v="25"/>
    <s v="Chicago"/>
    <s v="IL"/>
    <x v="295"/>
    <x v="0"/>
  </r>
  <r>
    <x v="295"/>
    <x v="0"/>
    <x v="12"/>
    <s v="Chicago"/>
    <s v="IL"/>
    <x v="295"/>
    <x v="0"/>
  </r>
  <r>
    <x v="295"/>
    <x v="0"/>
    <x v="52"/>
    <s v="Chicago"/>
    <s v="IL"/>
    <x v="295"/>
    <x v="0"/>
  </r>
  <r>
    <x v="295"/>
    <x v="0"/>
    <x v="13"/>
    <s v="Chicago"/>
    <s v="IL"/>
    <x v="295"/>
    <x v="0"/>
  </r>
  <r>
    <x v="295"/>
    <x v="0"/>
    <x v="23"/>
    <s v="Chicago"/>
    <s v="IL"/>
    <x v="295"/>
    <x v="0"/>
  </r>
  <r>
    <x v="295"/>
    <x v="0"/>
    <x v="36"/>
    <s v="Chicago"/>
    <s v="IL"/>
    <x v="295"/>
    <x v="0"/>
  </r>
  <r>
    <x v="295"/>
    <x v="0"/>
    <x v="16"/>
    <s v="Chicago"/>
    <s v="IL"/>
    <x v="295"/>
    <x v="0"/>
  </r>
  <r>
    <x v="295"/>
    <x v="0"/>
    <x v="35"/>
    <s v="Chicago"/>
    <s v="IL"/>
    <x v="295"/>
    <x v="0"/>
  </r>
  <r>
    <x v="295"/>
    <x v="0"/>
    <x v="17"/>
    <s v="Chicago"/>
    <s v="IL"/>
    <x v="295"/>
    <x v="0"/>
  </r>
  <r>
    <x v="295"/>
    <x v="0"/>
    <x v="18"/>
    <s v="Chicago"/>
    <s v="IL"/>
    <x v="295"/>
    <x v="0"/>
  </r>
  <r>
    <x v="295"/>
    <x v="0"/>
    <x v="19"/>
    <s v="Chicago"/>
    <s v="IL"/>
    <x v="295"/>
    <x v="0"/>
  </r>
  <r>
    <x v="295"/>
    <x v="0"/>
    <x v="3"/>
    <s v="Chicago"/>
    <s v="IL"/>
    <x v="295"/>
    <x v="0"/>
  </r>
  <r>
    <x v="295"/>
    <x v="0"/>
    <x v="47"/>
    <s v="Chicago"/>
    <s v="IL"/>
    <x v="295"/>
    <x v="0"/>
  </r>
  <r>
    <x v="295"/>
    <x v="0"/>
    <x v="4"/>
    <s v="Chicago"/>
    <s v="IL"/>
    <x v="295"/>
    <x v="0"/>
  </r>
  <r>
    <x v="295"/>
    <x v="0"/>
    <x v="5"/>
    <s v="Chicago"/>
    <s v="IL"/>
    <x v="295"/>
    <x v="0"/>
  </r>
  <r>
    <x v="295"/>
    <x v="0"/>
    <x v="48"/>
    <s v="Chicago"/>
    <s v="IL"/>
    <x v="295"/>
    <x v="0"/>
  </r>
  <r>
    <x v="295"/>
    <x v="0"/>
    <x v="6"/>
    <s v="Chicago"/>
    <s v="IL"/>
    <x v="295"/>
    <x v="0"/>
  </r>
  <r>
    <x v="296"/>
    <x v="1"/>
    <x v="13"/>
    <s v="Chicago"/>
    <s v="IL"/>
    <x v="296"/>
    <x v="0"/>
  </r>
  <r>
    <x v="296"/>
    <x v="1"/>
    <x v="57"/>
    <s v="Chicago"/>
    <s v="IL"/>
    <x v="296"/>
    <x v="0"/>
  </r>
  <r>
    <x v="296"/>
    <x v="1"/>
    <x v="58"/>
    <s v="Chicago"/>
    <s v="IL"/>
    <x v="296"/>
    <x v="0"/>
  </r>
  <r>
    <x v="297"/>
    <x v="1"/>
    <x v="13"/>
    <s v="La Grange"/>
    <s v="IL"/>
    <x v="297"/>
    <x v="140"/>
  </r>
  <r>
    <x v="297"/>
    <x v="1"/>
    <x v="15"/>
    <s v="La Grange"/>
    <s v="IL"/>
    <x v="297"/>
    <x v="140"/>
  </r>
  <r>
    <x v="298"/>
    <x v="1"/>
    <x v="36"/>
    <s v="Chicago"/>
    <s v="IL"/>
    <x v="298"/>
    <x v="0"/>
  </r>
  <r>
    <x v="299"/>
    <x v="1"/>
    <x v="8"/>
    <s v="Honolulu, HI"/>
    <s v="HI"/>
    <x v="299"/>
    <x v="141"/>
  </r>
  <r>
    <x v="299"/>
    <x v="1"/>
    <x v="15"/>
    <s v="Honolulu, HI"/>
    <s v="HI"/>
    <x v="299"/>
    <x v="141"/>
  </r>
  <r>
    <x v="300"/>
    <x v="0"/>
    <x v="39"/>
    <s v="Chicago"/>
    <s v="IL"/>
    <x v="300"/>
    <x v="0"/>
  </r>
  <r>
    <x v="300"/>
    <x v="0"/>
    <x v="7"/>
    <s v="Chicago"/>
    <s v="IL"/>
    <x v="300"/>
    <x v="0"/>
  </r>
  <r>
    <x v="300"/>
    <x v="0"/>
    <x v="8"/>
    <s v="Chicago"/>
    <s v="IL"/>
    <x v="300"/>
    <x v="0"/>
  </r>
  <r>
    <x v="300"/>
    <x v="0"/>
    <x v="24"/>
    <s v="Chicago"/>
    <s v="IL"/>
    <x v="300"/>
    <x v="0"/>
  </r>
  <r>
    <x v="300"/>
    <x v="0"/>
    <x v="25"/>
    <s v="Chicago"/>
    <s v="IL"/>
    <x v="300"/>
    <x v="0"/>
  </r>
  <r>
    <x v="300"/>
    <x v="0"/>
    <x v="12"/>
    <s v="Chicago"/>
    <s v="IL"/>
    <x v="300"/>
    <x v="0"/>
  </r>
  <r>
    <x v="300"/>
    <x v="0"/>
    <x v="27"/>
    <s v="Chicago"/>
    <s v="IL"/>
    <x v="300"/>
    <x v="0"/>
  </r>
  <r>
    <x v="300"/>
    <x v="0"/>
    <x v="13"/>
    <s v="Chicago"/>
    <s v="IL"/>
    <x v="300"/>
    <x v="0"/>
  </r>
  <r>
    <x v="300"/>
    <x v="0"/>
    <x v="18"/>
    <s v="Chicago"/>
    <s v="IL"/>
    <x v="300"/>
    <x v="0"/>
  </r>
  <r>
    <x v="300"/>
    <x v="0"/>
    <x v="4"/>
    <s v="Chicago"/>
    <s v="IL"/>
    <x v="300"/>
    <x v="0"/>
  </r>
  <r>
    <x v="300"/>
    <x v="0"/>
    <x v="5"/>
    <s v="Chicago"/>
    <s v="IL"/>
    <x v="300"/>
    <x v="0"/>
  </r>
  <r>
    <x v="300"/>
    <x v="0"/>
    <x v="6"/>
    <s v="Chicago"/>
    <s v="IL"/>
    <x v="300"/>
    <x v="0"/>
  </r>
  <r>
    <x v="300"/>
    <x v="0"/>
    <x v="50"/>
    <s v="Chicago"/>
    <s v="IL"/>
    <x v="300"/>
    <x v="0"/>
  </r>
  <r>
    <x v="300"/>
    <x v="0"/>
    <x v="32"/>
    <s v="Chicago"/>
    <s v="IL"/>
    <x v="300"/>
    <x v="0"/>
  </r>
  <r>
    <x v="300"/>
    <x v="0"/>
    <x v="51"/>
    <s v="Chicago"/>
    <s v="IL"/>
    <x v="300"/>
    <x v="0"/>
  </r>
  <r>
    <x v="301"/>
    <x v="1"/>
    <x v="38"/>
    <s v="Springfield"/>
    <s v="IL"/>
    <x v="301"/>
    <x v="12"/>
  </r>
  <r>
    <x v="301"/>
    <x v="1"/>
    <x v="39"/>
    <s v="Springfield"/>
    <s v="IL"/>
    <x v="301"/>
    <x v="12"/>
  </r>
  <r>
    <x v="301"/>
    <x v="1"/>
    <x v="40"/>
    <s v="Springfield"/>
    <s v="IL"/>
    <x v="301"/>
    <x v="12"/>
  </r>
  <r>
    <x v="301"/>
    <x v="1"/>
    <x v="7"/>
    <s v="Springfield"/>
    <s v="IL"/>
    <x v="301"/>
    <x v="12"/>
  </r>
  <r>
    <x v="301"/>
    <x v="1"/>
    <x v="8"/>
    <s v="Springfield"/>
    <s v="IL"/>
    <x v="301"/>
    <x v="12"/>
  </r>
  <r>
    <x v="301"/>
    <x v="1"/>
    <x v="9"/>
    <s v="Springfield"/>
    <s v="IL"/>
    <x v="301"/>
    <x v="12"/>
  </r>
  <r>
    <x v="301"/>
    <x v="1"/>
    <x v="11"/>
    <s v="Springfield"/>
    <s v="IL"/>
    <x v="301"/>
    <x v="12"/>
  </r>
  <r>
    <x v="301"/>
    <x v="1"/>
    <x v="24"/>
    <s v="Springfield"/>
    <s v="IL"/>
    <x v="301"/>
    <x v="12"/>
  </r>
  <r>
    <x v="301"/>
    <x v="1"/>
    <x v="25"/>
    <s v="Springfield"/>
    <s v="IL"/>
    <x v="301"/>
    <x v="12"/>
  </r>
  <r>
    <x v="301"/>
    <x v="1"/>
    <x v="12"/>
    <s v="Springfield"/>
    <s v="IL"/>
    <x v="301"/>
    <x v="12"/>
  </r>
  <r>
    <x v="301"/>
    <x v="1"/>
    <x v="27"/>
    <s v="Springfield"/>
    <s v="IL"/>
    <x v="301"/>
    <x v="12"/>
  </r>
  <r>
    <x v="301"/>
    <x v="1"/>
    <x v="13"/>
    <s v="Springfield"/>
    <s v="IL"/>
    <x v="301"/>
    <x v="12"/>
  </r>
  <r>
    <x v="301"/>
    <x v="1"/>
    <x v="29"/>
    <s v="Springfield"/>
    <s v="IL"/>
    <x v="301"/>
    <x v="12"/>
  </r>
  <r>
    <x v="301"/>
    <x v="1"/>
    <x v="35"/>
    <s v="Springfield"/>
    <s v="IL"/>
    <x v="301"/>
    <x v="12"/>
  </r>
  <r>
    <x v="301"/>
    <x v="1"/>
    <x v="17"/>
    <s v="Springfield"/>
    <s v="IL"/>
    <x v="301"/>
    <x v="12"/>
  </r>
  <r>
    <x v="301"/>
    <x v="1"/>
    <x v="18"/>
    <s v="Springfield"/>
    <s v="IL"/>
    <x v="301"/>
    <x v="12"/>
  </r>
  <r>
    <x v="301"/>
    <x v="1"/>
    <x v="19"/>
    <s v="Springfield"/>
    <s v="IL"/>
    <x v="301"/>
    <x v="12"/>
  </r>
  <r>
    <x v="301"/>
    <x v="1"/>
    <x v="3"/>
    <s v="Springfield"/>
    <s v="IL"/>
    <x v="301"/>
    <x v="12"/>
  </r>
  <r>
    <x v="301"/>
    <x v="1"/>
    <x v="47"/>
    <s v="Springfield"/>
    <s v="IL"/>
    <x v="301"/>
    <x v="12"/>
  </r>
  <r>
    <x v="301"/>
    <x v="1"/>
    <x v="4"/>
    <s v="Springfield"/>
    <s v="IL"/>
    <x v="301"/>
    <x v="12"/>
  </r>
  <r>
    <x v="301"/>
    <x v="1"/>
    <x v="5"/>
    <s v="Springfield"/>
    <s v="IL"/>
    <x v="301"/>
    <x v="12"/>
  </r>
  <r>
    <x v="302"/>
    <x v="1"/>
    <x v="8"/>
    <s v="Oakbrook Terrace"/>
    <s v="IL"/>
    <x v="302"/>
    <x v="43"/>
  </r>
  <r>
    <x v="302"/>
    <x v="1"/>
    <x v="25"/>
    <s v="Oakbrook Terrace"/>
    <s v="IL"/>
    <x v="302"/>
    <x v="43"/>
  </r>
  <r>
    <x v="302"/>
    <x v="1"/>
    <x v="13"/>
    <s v="Oakbrook Terrace"/>
    <s v="IL"/>
    <x v="302"/>
    <x v="43"/>
  </r>
  <r>
    <x v="303"/>
    <x v="0"/>
    <x v="15"/>
    <s v="Irving"/>
    <s v="TX"/>
    <x v="303"/>
    <x v="142"/>
  </r>
  <r>
    <x v="303"/>
    <x v="0"/>
    <x v="5"/>
    <s v="Irving"/>
    <s v="TX"/>
    <x v="303"/>
    <x v="142"/>
  </r>
  <r>
    <x v="303"/>
    <x v="0"/>
    <x v="6"/>
    <s v="Irving"/>
    <s v="TX"/>
    <x v="303"/>
    <x v="142"/>
  </r>
  <r>
    <x v="303"/>
    <x v="0"/>
    <x v="32"/>
    <s v="Irving"/>
    <s v="TX"/>
    <x v="303"/>
    <x v="142"/>
  </r>
  <r>
    <x v="303"/>
    <x v="0"/>
    <x v="51"/>
    <s v="Irving"/>
    <s v="TX"/>
    <x v="303"/>
    <x v="142"/>
  </r>
  <r>
    <x v="304"/>
    <x v="1"/>
    <x v="13"/>
    <s v="Chicago"/>
    <s v="IL"/>
    <x v="304"/>
    <x v="0"/>
  </r>
  <r>
    <x v="305"/>
    <x v="0"/>
    <x v="29"/>
    <s v="Ottawa"/>
    <s v="IL"/>
    <x v="305"/>
    <x v="143"/>
  </r>
  <r>
    <x v="306"/>
    <x v="0"/>
    <x v="0"/>
    <s v="Broomfield"/>
    <s v="CO"/>
    <x v="306"/>
    <x v="144"/>
  </r>
  <r>
    <x v="307"/>
    <x v="0"/>
    <x v="0"/>
    <s v="White River Junction"/>
    <s v="VT"/>
    <x v="307"/>
    <x v="145"/>
  </r>
  <r>
    <x v="308"/>
    <x v="0"/>
    <x v="8"/>
    <s v="Downers Grove"/>
    <s v="IL"/>
    <x v="308"/>
    <x v="11"/>
  </r>
  <r>
    <x v="308"/>
    <x v="0"/>
    <x v="16"/>
    <s v="Downers Grove"/>
    <s v="IL"/>
    <x v="308"/>
    <x v="11"/>
  </r>
  <r>
    <x v="308"/>
    <x v="0"/>
    <x v="19"/>
    <s v="Downers Grove"/>
    <s v="IL"/>
    <x v="308"/>
    <x v="11"/>
  </r>
  <r>
    <x v="309"/>
    <x v="0"/>
    <x v="8"/>
    <s v="Frankfort"/>
    <s v="IL"/>
    <x v="309"/>
    <x v="75"/>
  </r>
  <r>
    <x v="309"/>
    <x v="0"/>
    <x v="25"/>
    <s v="Frankfort"/>
    <s v="IL"/>
    <x v="309"/>
    <x v="75"/>
  </r>
  <r>
    <x v="309"/>
    <x v="0"/>
    <x v="12"/>
    <s v="Frankfort"/>
    <s v="IL"/>
    <x v="309"/>
    <x v="75"/>
  </r>
  <r>
    <x v="309"/>
    <x v="0"/>
    <x v="27"/>
    <s v="Frankfort"/>
    <s v="IL"/>
    <x v="309"/>
    <x v="75"/>
  </r>
  <r>
    <x v="309"/>
    <x v="0"/>
    <x v="13"/>
    <s v="Frankfort"/>
    <s v="IL"/>
    <x v="309"/>
    <x v="75"/>
  </r>
  <r>
    <x v="309"/>
    <x v="0"/>
    <x v="29"/>
    <s v="Frankfort"/>
    <s v="IL"/>
    <x v="309"/>
    <x v="75"/>
  </r>
  <r>
    <x v="309"/>
    <x v="0"/>
    <x v="35"/>
    <s v="Frankfort"/>
    <s v="IL"/>
    <x v="309"/>
    <x v="75"/>
  </r>
  <r>
    <x v="309"/>
    <x v="0"/>
    <x v="17"/>
    <s v="Frankfort"/>
    <s v="IL"/>
    <x v="309"/>
    <x v="75"/>
  </r>
  <r>
    <x v="309"/>
    <x v="0"/>
    <x v="18"/>
    <s v="Frankfort"/>
    <s v="IL"/>
    <x v="309"/>
    <x v="75"/>
  </r>
  <r>
    <x v="310"/>
    <x v="0"/>
    <x v="33"/>
    <s v="St. Charles"/>
    <s v="IL"/>
    <x v="310"/>
    <x v="146"/>
  </r>
  <r>
    <x v="310"/>
    <x v="0"/>
    <x v="61"/>
    <s v="St. Charles"/>
    <s v="IL"/>
    <x v="310"/>
    <x v="146"/>
  </r>
  <r>
    <x v="310"/>
    <x v="0"/>
    <x v="34"/>
    <s v="St. Charles"/>
    <s v="IL"/>
    <x v="310"/>
    <x v="146"/>
  </r>
  <r>
    <x v="310"/>
    <x v="0"/>
    <x v="37"/>
    <s v="St. Charles"/>
    <s v="IL"/>
    <x v="310"/>
    <x v="146"/>
  </r>
  <r>
    <x v="310"/>
    <x v="0"/>
    <x v="38"/>
    <s v="St. Charles"/>
    <s v="IL"/>
    <x v="310"/>
    <x v="146"/>
  </r>
  <r>
    <x v="310"/>
    <x v="0"/>
    <x v="39"/>
    <s v="St. Charles"/>
    <s v="IL"/>
    <x v="310"/>
    <x v="146"/>
  </r>
  <r>
    <x v="310"/>
    <x v="0"/>
    <x v="40"/>
    <s v="St. Charles"/>
    <s v="IL"/>
    <x v="310"/>
    <x v="146"/>
  </r>
  <r>
    <x v="310"/>
    <x v="0"/>
    <x v="7"/>
    <s v="St. Charles"/>
    <s v="IL"/>
    <x v="310"/>
    <x v="146"/>
  </r>
  <r>
    <x v="310"/>
    <x v="0"/>
    <x v="8"/>
    <s v="St. Charles"/>
    <s v="IL"/>
    <x v="310"/>
    <x v="146"/>
  </r>
  <r>
    <x v="310"/>
    <x v="0"/>
    <x v="10"/>
    <s v="St. Charles"/>
    <s v="IL"/>
    <x v="310"/>
    <x v="146"/>
  </r>
  <r>
    <x v="310"/>
    <x v="0"/>
    <x v="60"/>
    <s v="St. Charles"/>
    <s v="IL"/>
    <x v="310"/>
    <x v="146"/>
  </r>
  <r>
    <x v="310"/>
    <x v="0"/>
    <x v="11"/>
    <s v="St. Charles"/>
    <s v="IL"/>
    <x v="310"/>
    <x v="146"/>
  </r>
  <r>
    <x v="310"/>
    <x v="0"/>
    <x v="24"/>
    <s v="St. Charles"/>
    <s v="IL"/>
    <x v="310"/>
    <x v="146"/>
  </r>
  <r>
    <x v="310"/>
    <x v="0"/>
    <x v="25"/>
    <s v="St. Charles"/>
    <s v="IL"/>
    <x v="310"/>
    <x v="146"/>
  </r>
  <r>
    <x v="310"/>
    <x v="0"/>
    <x v="12"/>
    <s v="St. Charles"/>
    <s v="IL"/>
    <x v="310"/>
    <x v="146"/>
  </r>
  <r>
    <x v="310"/>
    <x v="0"/>
    <x v="21"/>
    <s v="St. Charles"/>
    <s v="IL"/>
    <x v="310"/>
    <x v="146"/>
  </r>
  <r>
    <x v="310"/>
    <x v="0"/>
    <x v="27"/>
    <s v="St. Charles"/>
    <s v="IL"/>
    <x v="310"/>
    <x v="146"/>
  </r>
  <r>
    <x v="310"/>
    <x v="0"/>
    <x v="13"/>
    <s v="St. Charles"/>
    <s v="IL"/>
    <x v="310"/>
    <x v="146"/>
  </r>
  <r>
    <x v="310"/>
    <x v="0"/>
    <x v="22"/>
    <s v="St. Charles"/>
    <s v="IL"/>
    <x v="310"/>
    <x v="146"/>
  </r>
  <r>
    <x v="310"/>
    <x v="0"/>
    <x v="15"/>
    <s v="St. Charles"/>
    <s v="IL"/>
    <x v="310"/>
    <x v="146"/>
  </r>
  <r>
    <x v="310"/>
    <x v="0"/>
    <x v="36"/>
    <s v="St. Charles"/>
    <s v="IL"/>
    <x v="310"/>
    <x v="146"/>
  </r>
  <r>
    <x v="310"/>
    <x v="0"/>
    <x v="16"/>
    <s v="St. Charles"/>
    <s v="IL"/>
    <x v="310"/>
    <x v="146"/>
  </r>
  <r>
    <x v="310"/>
    <x v="0"/>
    <x v="35"/>
    <s v="St. Charles"/>
    <s v="IL"/>
    <x v="310"/>
    <x v="146"/>
  </r>
  <r>
    <x v="310"/>
    <x v="0"/>
    <x v="17"/>
    <s v="St. Charles"/>
    <s v="IL"/>
    <x v="310"/>
    <x v="146"/>
  </r>
  <r>
    <x v="310"/>
    <x v="0"/>
    <x v="46"/>
    <s v="St. Charles"/>
    <s v="IL"/>
    <x v="310"/>
    <x v="146"/>
  </r>
  <r>
    <x v="310"/>
    <x v="0"/>
    <x v="18"/>
    <s v="St. Charles"/>
    <s v="IL"/>
    <x v="310"/>
    <x v="146"/>
  </r>
  <r>
    <x v="310"/>
    <x v="0"/>
    <x v="19"/>
    <s v="St. Charles"/>
    <s v="IL"/>
    <x v="310"/>
    <x v="146"/>
  </r>
  <r>
    <x v="310"/>
    <x v="0"/>
    <x v="3"/>
    <s v="St. Charles"/>
    <s v="IL"/>
    <x v="310"/>
    <x v="146"/>
  </r>
  <r>
    <x v="310"/>
    <x v="0"/>
    <x v="47"/>
    <s v="St. Charles"/>
    <s v="IL"/>
    <x v="310"/>
    <x v="146"/>
  </r>
  <r>
    <x v="310"/>
    <x v="0"/>
    <x v="4"/>
    <s v="St. Charles"/>
    <s v="IL"/>
    <x v="310"/>
    <x v="146"/>
  </r>
  <r>
    <x v="310"/>
    <x v="0"/>
    <x v="5"/>
    <s v="St. Charles"/>
    <s v="IL"/>
    <x v="310"/>
    <x v="146"/>
  </r>
  <r>
    <x v="310"/>
    <x v="0"/>
    <x v="6"/>
    <s v="St. Charles"/>
    <s v="IL"/>
    <x v="310"/>
    <x v="146"/>
  </r>
  <r>
    <x v="310"/>
    <x v="0"/>
    <x v="49"/>
    <s v="St. Charles"/>
    <s v="IL"/>
    <x v="310"/>
    <x v="146"/>
  </r>
  <r>
    <x v="311"/>
    <x v="0"/>
    <x v="8"/>
    <s v="Schaumburg"/>
    <s v="IL"/>
    <x v="311"/>
    <x v="15"/>
  </r>
  <r>
    <x v="311"/>
    <x v="0"/>
    <x v="21"/>
    <s v="Schaumburg"/>
    <s v="IL"/>
    <x v="311"/>
    <x v="15"/>
  </r>
  <r>
    <x v="311"/>
    <x v="0"/>
    <x v="23"/>
    <s v="Schaumburg"/>
    <s v="IL"/>
    <x v="311"/>
    <x v="15"/>
  </r>
  <r>
    <x v="312"/>
    <x v="1"/>
    <x v="41"/>
    <s v="Elgin"/>
    <s v="IL"/>
    <x v="312"/>
    <x v="80"/>
  </r>
  <r>
    <x v="312"/>
    <x v="1"/>
    <x v="42"/>
    <s v="Elgin"/>
    <s v="IL"/>
    <x v="312"/>
    <x v="80"/>
  </r>
  <r>
    <x v="312"/>
    <x v="1"/>
    <x v="43"/>
    <s v="Elgin"/>
    <s v="IL"/>
    <x v="312"/>
    <x v="80"/>
  </r>
  <r>
    <x v="312"/>
    <x v="1"/>
    <x v="57"/>
    <s v="Elgin"/>
    <s v="IL"/>
    <x v="312"/>
    <x v="80"/>
  </r>
  <r>
    <x v="312"/>
    <x v="1"/>
    <x v="58"/>
    <s v="Elgin"/>
    <s v="IL"/>
    <x v="312"/>
    <x v="80"/>
  </r>
  <r>
    <x v="313"/>
    <x v="1"/>
    <x v="7"/>
    <s v="Chicago"/>
    <s v="IL"/>
    <x v="313"/>
    <x v="0"/>
  </r>
  <r>
    <x v="313"/>
    <x v="1"/>
    <x v="8"/>
    <s v="Chicago"/>
    <s v="IL"/>
    <x v="313"/>
    <x v="0"/>
  </r>
  <r>
    <x v="313"/>
    <x v="1"/>
    <x v="25"/>
    <s v="Chicago"/>
    <s v="IL"/>
    <x v="313"/>
    <x v="0"/>
  </r>
  <r>
    <x v="313"/>
    <x v="1"/>
    <x v="12"/>
    <s v="Chicago"/>
    <s v="IL"/>
    <x v="313"/>
    <x v="0"/>
  </r>
  <r>
    <x v="313"/>
    <x v="1"/>
    <x v="27"/>
    <s v="Chicago"/>
    <s v="IL"/>
    <x v="313"/>
    <x v="0"/>
  </r>
  <r>
    <x v="313"/>
    <x v="1"/>
    <x v="52"/>
    <s v="Chicago"/>
    <s v="IL"/>
    <x v="313"/>
    <x v="0"/>
  </r>
  <r>
    <x v="313"/>
    <x v="1"/>
    <x v="14"/>
    <s v="Chicago"/>
    <s v="IL"/>
    <x v="313"/>
    <x v="0"/>
  </r>
  <r>
    <x v="313"/>
    <x v="1"/>
    <x v="18"/>
    <s v="Chicago"/>
    <s v="IL"/>
    <x v="313"/>
    <x v="0"/>
  </r>
  <r>
    <x v="313"/>
    <x v="1"/>
    <x v="3"/>
    <s v="Chicago"/>
    <s v="IL"/>
    <x v="313"/>
    <x v="0"/>
  </r>
  <r>
    <x v="313"/>
    <x v="1"/>
    <x v="4"/>
    <s v="Chicago"/>
    <s v="IL"/>
    <x v="313"/>
    <x v="0"/>
  </r>
  <r>
    <x v="313"/>
    <x v="1"/>
    <x v="5"/>
    <s v="Chicago"/>
    <s v="IL"/>
    <x v="313"/>
    <x v="0"/>
  </r>
  <r>
    <x v="313"/>
    <x v="1"/>
    <x v="6"/>
    <s v="Chicago"/>
    <s v="IL"/>
    <x v="313"/>
    <x v="0"/>
  </r>
  <r>
    <x v="314"/>
    <x v="1"/>
    <x v="29"/>
    <s v="St. Louis"/>
    <s v="MO"/>
    <x v="314"/>
    <x v="41"/>
  </r>
  <r>
    <x v="315"/>
    <x v="0"/>
    <x v="30"/>
    <s v="Naperville"/>
    <s v="IL"/>
    <x v="315"/>
    <x v="52"/>
  </r>
  <r>
    <x v="316"/>
    <x v="0"/>
    <x v="8"/>
    <s v="Chicago"/>
    <s v="IL"/>
    <x v="316"/>
    <x v="0"/>
  </r>
  <r>
    <x v="316"/>
    <x v="0"/>
    <x v="27"/>
    <s v="Chicago"/>
    <s v="IL"/>
    <x v="316"/>
    <x v="0"/>
  </r>
  <r>
    <x v="316"/>
    <x v="0"/>
    <x v="17"/>
    <s v="Chicago"/>
    <s v="IL"/>
    <x v="316"/>
    <x v="0"/>
  </r>
  <r>
    <x v="316"/>
    <x v="0"/>
    <x v="46"/>
    <s v="Chicago"/>
    <s v="IL"/>
    <x v="316"/>
    <x v="0"/>
  </r>
  <r>
    <x v="316"/>
    <x v="0"/>
    <x v="18"/>
    <s v="Chicago"/>
    <s v="IL"/>
    <x v="316"/>
    <x v="0"/>
  </r>
  <r>
    <x v="317"/>
    <x v="1"/>
    <x v="56"/>
    <s v="Elk Grove Village"/>
    <s v="IL"/>
    <x v="317"/>
    <x v="46"/>
  </r>
  <r>
    <x v="317"/>
    <x v="1"/>
    <x v="53"/>
    <s v="Elk Grove Village"/>
    <s v="IL"/>
    <x v="317"/>
    <x v="46"/>
  </r>
  <r>
    <x v="317"/>
    <x v="1"/>
    <x v="28"/>
    <s v="Elk Grove Village"/>
    <s v="IL"/>
    <x v="317"/>
    <x v="46"/>
  </r>
  <r>
    <x v="317"/>
    <x v="1"/>
    <x v="29"/>
    <s v="Elk Grove Village"/>
    <s v="IL"/>
    <x v="317"/>
    <x v="46"/>
  </r>
  <r>
    <x v="318"/>
    <x v="1"/>
    <x v="30"/>
    <s v="Northfield"/>
    <s v="IL"/>
    <x v="318"/>
    <x v="147"/>
  </r>
  <r>
    <x v="319"/>
    <x v="0"/>
    <x v="52"/>
    <s v="Naperville"/>
    <s v="IL"/>
    <x v="319"/>
    <x v="52"/>
  </r>
  <r>
    <x v="320"/>
    <x v="0"/>
    <x v="59"/>
    <s v="O'Fallon"/>
    <s v="IL"/>
    <x v="320"/>
    <x v="92"/>
  </r>
  <r>
    <x v="320"/>
    <x v="0"/>
    <x v="41"/>
    <s v="O'Fallon"/>
    <s v="IL"/>
    <x v="320"/>
    <x v="92"/>
  </r>
  <r>
    <x v="320"/>
    <x v="0"/>
    <x v="42"/>
    <s v="O'Fallon"/>
    <s v="IL"/>
    <x v="320"/>
    <x v="92"/>
  </r>
  <r>
    <x v="320"/>
    <x v="0"/>
    <x v="43"/>
    <s v="O'Fallon"/>
    <s v="IL"/>
    <x v="320"/>
    <x v="92"/>
  </r>
  <r>
    <x v="320"/>
    <x v="0"/>
    <x v="55"/>
    <s v="O'Fallon"/>
    <s v="IL"/>
    <x v="320"/>
    <x v="92"/>
  </r>
  <r>
    <x v="320"/>
    <x v="0"/>
    <x v="13"/>
    <s v="O'Fallon"/>
    <s v="IL"/>
    <x v="320"/>
    <x v="92"/>
  </r>
  <r>
    <x v="321"/>
    <x v="1"/>
    <x v="34"/>
    <s v="Chicago"/>
    <s v="IL"/>
    <x v="321"/>
    <x v="0"/>
  </r>
  <r>
    <x v="321"/>
    <x v="1"/>
    <x v="7"/>
    <s v="Chicago"/>
    <s v="IL"/>
    <x v="321"/>
    <x v="0"/>
  </r>
  <r>
    <x v="321"/>
    <x v="1"/>
    <x v="8"/>
    <s v="Chicago"/>
    <s v="IL"/>
    <x v="321"/>
    <x v="0"/>
  </r>
  <r>
    <x v="321"/>
    <x v="1"/>
    <x v="25"/>
    <s v="Chicago"/>
    <s v="IL"/>
    <x v="321"/>
    <x v="0"/>
  </r>
  <r>
    <x v="321"/>
    <x v="1"/>
    <x v="12"/>
    <s v="Chicago"/>
    <s v="IL"/>
    <x v="321"/>
    <x v="0"/>
  </r>
  <r>
    <x v="321"/>
    <x v="1"/>
    <x v="27"/>
    <s v="Chicago"/>
    <s v="IL"/>
    <x v="321"/>
    <x v="0"/>
  </r>
  <r>
    <x v="321"/>
    <x v="1"/>
    <x v="13"/>
    <s v="Chicago"/>
    <s v="IL"/>
    <x v="321"/>
    <x v="0"/>
  </r>
  <r>
    <x v="321"/>
    <x v="1"/>
    <x v="14"/>
    <s v="Chicago"/>
    <s v="IL"/>
    <x v="321"/>
    <x v="0"/>
  </r>
  <r>
    <x v="321"/>
    <x v="1"/>
    <x v="18"/>
    <s v="Chicago"/>
    <s v="IL"/>
    <x v="321"/>
    <x v="0"/>
  </r>
  <r>
    <x v="321"/>
    <x v="1"/>
    <x v="19"/>
    <s v="Chicago"/>
    <s v="IL"/>
    <x v="321"/>
    <x v="0"/>
  </r>
  <r>
    <x v="321"/>
    <x v="1"/>
    <x v="3"/>
    <s v="Chicago"/>
    <s v="IL"/>
    <x v="321"/>
    <x v="0"/>
  </r>
  <r>
    <x v="321"/>
    <x v="1"/>
    <x v="4"/>
    <s v="Chicago"/>
    <s v="IL"/>
    <x v="321"/>
    <x v="0"/>
  </r>
  <r>
    <x v="321"/>
    <x v="1"/>
    <x v="5"/>
    <s v="Chicago"/>
    <s v="IL"/>
    <x v="321"/>
    <x v="0"/>
  </r>
  <r>
    <x v="322"/>
    <x v="1"/>
    <x v="7"/>
    <s v="Lisle"/>
    <s v="IL"/>
    <x v="322"/>
    <x v="2"/>
  </r>
  <r>
    <x v="322"/>
    <x v="1"/>
    <x v="8"/>
    <s v="Lisle"/>
    <s v="IL"/>
    <x v="322"/>
    <x v="2"/>
  </r>
  <r>
    <x v="322"/>
    <x v="1"/>
    <x v="25"/>
    <s v="Lisle"/>
    <s v="IL"/>
    <x v="322"/>
    <x v="2"/>
  </r>
  <r>
    <x v="322"/>
    <x v="1"/>
    <x v="12"/>
    <s v="Lisle"/>
    <s v="IL"/>
    <x v="322"/>
    <x v="2"/>
  </r>
  <r>
    <x v="322"/>
    <x v="1"/>
    <x v="27"/>
    <s v="Lisle"/>
    <s v="IL"/>
    <x v="322"/>
    <x v="2"/>
  </r>
  <r>
    <x v="322"/>
    <x v="1"/>
    <x v="13"/>
    <s v="Lisle"/>
    <s v="IL"/>
    <x v="322"/>
    <x v="2"/>
  </r>
  <r>
    <x v="322"/>
    <x v="1"/>
    <x v="17"/>
    <s v="Lisle"/>
    <s v="IL"/>
    <x v="322"/>
    <x v="2"/>
  </r>
  <r>
    <x v="322"/>
    <x v="1"/>
    <x v="18"/>
    <s v="Lisle"/>
    <s v="IL"/>
    <x v="322"/>
    <x v="2"/>
  </r>
  <r>
    <x v="322"/>
    <x v="1"/>
    <x v="19"/>
    <s v="Lisle"/>
    <s v="IL"/>
    <x v="322"/>
    <x v="2"/>
  </r>
  <r>
    <x v="322"/>
    <x v="1"/>
    <x v="4"/>
    <s v="Lisle"/>
    <s v="IL"/>
    <x v="322"/>
    <x v="2"/>
  </r>
  <r>
    <x v="322"/>
    <x v="1"/>
    <x v="5"/>
    <s v="Lisle"/>
    <s v="IL"/>
    <x v="322"/>
    <x v="2"/>
  </r>
  <r>
    <x v="323"/>
    <x v="0"/>
    <x v="59"/>
    <s v="Chicago"/>
    <s v="IL"/>
    <x v="323"/>
    <x v="0"/>
  </r>
  <r>
    <x v="323"/>
    <x v="0"/>
    <x v="41"/>
    <s v="Chicago"/>
    <s v="IL"/>
    <x v="323"/>
    <x v="0"/>
  </r>
  <r>
    <x v="323"/>
    <x v="0"/>
    <x v="42"/>
    <s v="Chicago"/>
    <s v="IL"/>
    <x v="323"/>
    <x v="0"/>
  </r>
  <r>
    <x v="323"/>
    <x v="0"/>
    <x v="43"/>
    <s v="Chicago"/>
    <s v="IL"/>
    <x v="323"/>
    <x v="0"/>
  </r>
  <r>
    <x v="324"/>
    <x v="0"/>
    <x v="29"/>
    <s v="Vienna"/>
    <s v="IL"/>
    <x v="324"/>
    <x v="148"/>
  </r>
  <r>
    <x v="325"/>
    <x v="0"/>
    <x v="8"/>
    <s v="Alton"/>
    <s v="IL"/>
    <x v="325"/>
    <x v="149"/>
  </r>
  <r>
    <x v="325"/>
    <x v="0"/>
    <x v="11"/>
    <s v="Alton"/>
    <s v="IL"/>
    <x v="325"/>
    <x v="149"/>
  </r>
  <r>
    <x v="325"/>
    <x v="0"/>
    <x v="25"/>
    <s v="Alton"/>
    <s v="IL"/>
    <x v="325"/>
    <x v="149"/>
  </r>
  <r>
    <x v="325"/>
    <x v="0"/>
    <x v="12"/>
    <s v="Alton"/>
    <s v="IL"/>
    <x v="325"/>
    <x v="149"/>
  </r>
  <r>
    <x v="325"/>
    <x v="0"/>
    <x v="27"/>
    <s v="Alton"/>
    <s v="IL"/>
    <x v="325"/>
    <x v="149"/>
  </r>
  <r>
    <x v="325"/>
    <x v="0"/>
    <x v="13"/>
    <s v="Alton"/>
    <s v="IL"/>
    <x v="325"/>
    <x v="149"/>
  </r>
  <r>
    <x v="325"/>
    <x v="0"/>
    <x v="16"/>
    <s v="Alton"/>
    <s v="IL"/>
    <x v="325"/>
    <x v="149"/>
  </r>
  <r>
    <x v="325"/>
    <x v="0"/>
    <x v="29"/>
    <s v="Alton"/>
    <s v="IL"/>
    <x v="325"/>
    <x v="149"/>
  </r>
  <r>
    <x v="325"/>
    <x v="0"/>
    <x v="18"/>
    <s v="Alton"/>
    <s v="IL"/>
    <x v="325"/>
    <x v="149"/>
  </r>
  <r>
    <x v="325"/>
    <x v="0"/>
    <x v="19"/>
    <s v="Alton"/>
    <s v="IL"/>
    <x v="325"/>
    <x v="149"/>
  </r>
  <r>
    <x v="325"/>
    <x v="0"/>
    <x v="30"/>
    <s v="Alton"/>
    <s v="IL"/>
    <x v="325"/>
    <x v="149"/>
  </r>
  <r>
    <x v="326"/>
    <x v="1"/>
    <x v="29"/>
    <s v="Edwardsville"/>
    <s v="IL"/>
    <x v="326"/>
    <x v="114"/>
  </r>
  <r>
    <x v="327"/>
    <x v="0"/>
    <x v="8"/>
    <s v="Bettendorf"/>
    <s v="IA"/>
    <x v="327"/>
    <x v="150"/>
  </r>
  <r>
    <x v="327"/>
    <x v="0"/>
    <x v="11"/>
    <s v="Bettendorf"/>
    <s v="IA"/>
    <x v="327"/>
    <x v="150"/>
  </r>
  <r>
    <x v="327"/>
    <x v="0"/>
    <x v="12"/>
    <s v="Bettendorf"/>
    <s v="IA"/>
    <x v="327"/>
    <x v="150"/>
  </r>
  <r>
    <x v="327"/>
    <x v="0"/>
    <x v="27"/>
    <s v="Bettendorf"/>
    <s v="IA"/>
    <x v="327"/>
    <x v="150"/>
  </r>
  <r>
    <x v="327"/>
    <x v="0"/>
    <x v="14"/>
    <s v="Bettendorf"/>
    <s v="IA"/>
    <x v="327"/>
    <x v="150"/>
  </r>
  <r>
    <x v="327"/>
    <x v="0"/>
    <x v="16"/>
    <s v="Bettendorf"/>
    <s v="IA"/>
    <x v="327"/>
    <x v="150"/>
  </r>
  <r>
    <x v="327"/>
    <x v="0"/>
    <x v="29"/>
    <s v="Bettendorf"/>
    <s v="IA"/>
    <x v="327"/>
    <x v="150"/>
  </r>
  <r>
    <x v="327"/>
    <x v="0"/>
    <x v="18"/>
    <s v="Bettendorf"/>
    <s v="IA"/>
    <x v="327"/>
    <x v="150"/>
  </r>
  <r>
    <x v="327"/>
    <x v="0"/>
    <x v="19"/>
    <s v="Bettendorf"/>
    <s v="IA"/>
    <x v="327"/>
    <x v="150"/>
  </r>
  <r>
    <x v="327"/>
    <x v="0"/>
    <x v="4"/>
    <s v="Bettendorf"/>
    <s v="IA"/>
    <x v="327"/>
    <x v="150"/>
  </r>
  <r>
    <x v="328"/>
    <x v="0"/>
    <x v="0"/>
    <s v="Glen Ellyn"/>
    <s v="IL"/>
    <x v="328"/>
    <x v="21"/>
  </r>
  <r>
    <x v="329"/>
    <x v="0"/>
    <x v="7"/>
    <s v="Madison"/>
    <s v="WI"/>
    <x v="329"/>
    <x v="44"/>
  </r>
  <r>
    <x v="329"/>
    <x v="0"/>
    <x v="8"/>
    <s v="Madison"/>
    <s v="WI"/>
    <x v="329"/>
    <x v="44"/>
  </r>
  <r>
    <x v="329"/>
    <x v="0"/>
    <x v="27"/>
    <s v="Madison"/>
    <s v="WI"/>
    <x v="329"/>
    <x v="44"/>
  </r>
  <r>
    <x v="329"/>
    <x v="0"/>
    <x v="46"/>
    <s v="Madison"/>
    <s v="WI"/>
    <x v="329"/>
    <x v="44"/>
  </r>
  <r>
    <x v="329"/>
    <x v="0"/>
    <x v="18"/>
    <s v="Madison"/>
    <s v="WI"/>
    <x v="329"/>
    <x v="44"/>
  </r>
  <r>
    <x v="330"/>
    <x v="0"/>
    <x v="59"/>
    <s v="Chicago"/>
    <s v="IL"/>
    <x v="330"/>
    <x v="0"/>
  </r>
  <r>
    <x v="330"/>
    <x v="0"/>
    <x v="41"/>
    <s v="Chicago"/>
    <s v="IL"/>
    <x v="330"/>
    <x v="0"/>
  </r>
  <r>
    <x v="330"/>
    <x v="0"/>
    <x v="42"/>
    <s v="Chicago"/>
    <s v="IL"/>
    <x v="330"/>
    <x v="0"/>
  </r>
  <r>
    <x v="330"/>
    <x v="0"/>
    <x v="4"/>
    <s v="Chicago"/>
    <s v="IL"/>
    <x v="330"/>
    <x v="0"/>
  </r>
  <r>
    <x v="330"/>
    <x v="0"/>
    <x v="5"/>
    <s v="Chicago"/>
    <s v="IL"/>
    <x v="330"/>
    <x v="0"/>
  </r>
  <r>
    <x v="330"/>
    <x v="0"/>
    <x v="6"/>
    <s v="Chicago"/>
    <s v="IL"/>
    <x v="330"/>
    <x v="0"/>
  </r>
  <r>
    <x v="331"/>
    <x v="1"/>
    <x v="7"/>
    <s v="Chicago"/>
    <s v="IL"/>
    <x v="331"/>
    <x v="0"/>
  </r>
  <r>
    <x v="331"/>
    <x v="1"/>
    <x v="8"/>
    <s v="Chicago"/>
    <s v="IL"/>
    <x v="331"/>
    <x v="0"/>
  </r>
  <r>
    <x v="331"/>
    <x v="1"/>
    <x v="10"/>
    <s v="Chicago"/>
    <s v="IL"/>
    <x v="331"/>
    <x v="0"/>
  </r>
  <r>
    <x v="331"/>
    <x v="1"/>
    <x v="11"/>
    <s v="Chicago"/>
    <s v="IL"/>
    <x v="331"/>
    <x v="0"/>
  </r>
  <r>
    <x v="331"/>
    <x v="1"/>
    <x v="12"/>
    <s v="Chicago"/>
    <s v="IL"/>
    <x v="331"/>
    <x v="0"/>
  </r>
  <r>
    <x v="331"/>
    <x v="1"/>
    <x v="26"/>
    <s v="Chicago"/>
    <s v="IL"/>
    <x v="331"/>
    <x v="0"/>
  </r>
  <r>
    <x v="331"/>
    <x v="1"/>
    <x v="21"/>
    <s v="Chicago"/>
    <s v="IL"/>
    <x v="331"/>
    <x v="0"/>
  </r>
  <r>
    <x v="331"/>
    <x v="1"/>
    <x v="27"/>
    <s v="Chicago"/>
    <s v="IL"/>
    <x v="331"/>
    <x v="0"/>
  </r>
  <r>
    <x v="331"/>
    <x v="1"/>
    <x v="13"/>
    <s v="Chicago"/>
    <s v="IL"/>
    <x v="331"/>
    <x v="0"/>
  </r>
  <r>
    <x v="331"/>
    <x v="1"/>
    <x v="22"/>
    <s v="Chicago"/>
    <s v="IL"/>
    <x v="331"/>
    <x v="0"/>
  </r>
  <r>
    <x v="331"/>
    <x v="1"/>
    <x v="23"/>
    <s v="Chicago"/>
    <s v="IL"/>
    <x v="331"/>
    <x v="0"/>
  </r>
  <r>
    <x v="331"/>
    <x v="1"/>
    <x v="35"/>
    <s v="Chicago"/>
    <s v="IL"/>
    <x v="331"/>
    <x v="0"/>
  </r>
  <r>
    <x v="331"/>
    <x v="1"/>
    <x v="17"/>
    <s v="Chicago"/>
    <s v="IL"/>
    <x v="331"/>
    <x v="0"/>
  </r>
  <r>
    <x v="331"/>
    <x v="1"/>
    <x v="18"/>
    <s v="Chicago"/>
    <s v="IL"/>
    <x v="331"/>
    <x v="0"/>
  </r>
  <r>
    <x v="331"/>
    <x v="1"/>
    <x v="19"/>
    <s v="Chicago"/>
    <s v="IL"/>
    <x v="331"/>
    <x v="0"/>
  </r>
  <r>
    <x v="332"/>
    <x v="1"/>
    <x v="14"/>
    <s v="Chicago"/>
    <s v="IL"/>
    <x v="332"/>
    <x v="0"/>
  </r>
  <r>
    <x v="333"/>
    <x v="0"/>
    <x v="13"/>
    <s v="Schaumburg"/>
    <s v="IL"/>
    <x v="333"/>
    <x v="15"/>
  </r>
  <r>
    <x v="334"/>
    <x v="0"/>
    <x v="8"/>
    <s v="Decatur"/>
    <s v="IL"/>
    <x v="334"/>
    <x v="48"/>
  </r>
  <r>
    <x v="334"/>
    <x v="0"/>
    <x v="29"/>
    <s v="Decatur"/>
    <s v="IL"/>
    <x v="334"/>
    <x v="48"/>
  </r>
  <r>
    <x v="335"/>
    <x v="0"/>
    <x v="14"/>
    <s v="Chicago"/>
    <s v="IL"/>
    <x v="335"/>
    <x v="0"/>
  </r>
  <r>
    <x v="335"/>
    <x v="0"/>
    <x v="19"/>
    <s v="Chicago"/>
    <s v="IL"/>
    <x v="335"/>
    <x v="0"/>
  </r>
  <r>
    <x v="336"/>
    <x v="0"/>
    <x v="41"/>
    <s v="Arlington Heights"/>
    <s v="IL"/>
    <x v="336"/>
    <x v="17"/>
  </r>
  <r>
    <x v="336"/>
    <x v="0"/>
    <x v="42"/>
    <s v="Arlington Heights"/>
    <s v="IL"/>
    <x v="336"/>
    <x v="17"/>
  </r>
  <r>
    <x v="336"/>
    <x v="0"/>
    <x v="43"/>
    <s v="Arlington Heights"/>
    <s v="IL"/>
    <x v="336"/>
    <x v="17"/>
  </r>
  <r>
    <x v="336"/>
    <x v="0"/>
    <x v="57"/>
    <s v="Arlington Heights"/>
    <s v="IL"/>
    <x v="336"/>
    <x v="17"/>
  </r>
  <r>
    <x v="336"/>
    <x v="0"/>
    <x v="58"/>
    <s v="Arlington Heights"/>
    <s v="IL"/>
    <x v="336"/>
    <x v="17"/>
  </r>
  <r>
    <x v="337"/>
    <x v="0"/>
    <x v="8"/>
    <s v="Chicago"/>
    <s v="IL"/>
    <x v="337"/>
    <x v="0"/>
  </r>
  <r>
    <x v="337"/>
    <x v="0"/>
    <x v="11"/>
    <s v="Chicago"/>
    <s v="IL"/>
    <x v="337"/>
    <x v="0"/>
  </r>
  <r>
    <x v="337"/>
    <x v="0"/>
    <x v="12"/>
    <s v="Chicago"/>
    <s v="IL"/>
    <x v="337"/>
    <x v="0"/>
  </r>
  <r>
    <x v="337"/>
    <x v="0"/>
    <x v="21"/>
    <s v="Chicago"/>
    <s v="IL"/>
    <x v="337"/>
    <x v="0"/>
  </r>
  <r>
    <x v="337"/>
    <x v="0"/>
    <x v="27"/>
    <s v="Chicago"/>
    <s v="IL"/>
    <x v="337"/>
    <x v="0"/>
  </r>
  <r>
    <x v="337"/>
    <x v="0"/>
    <x v="13"/>
    <s v="Chicago"/>
    <s v="IL"/>
    <x v="337"/>
    <x v="0"/>
  </r>
  <r>
    <x v="337"/>
    <x v="0"/>
    <x v="22"/>
    <s v="Chicago"/>
    <s v="IL"/>
    <x v="337"/>
    <x v="0"/>
  </r>
  <r>
    <x v="337"/>
    <x v="0"/>
    <x v="16"/>
    <s v="Chicago"/>
    <s v="IL"/>
    <x v="337"/>
    <x v="0"/>
  </r>
  <r>
    <x v="337"/>
    <x v="0"/>
    <x v="35"/>
    <s v="Chicago"/>
    <s v="IL"/>
    <x v="337"/>
    <x v="0"/>
  </r>
  <r>
    <x v="337"/>
    <x v="0"/>
    <x v="18"/>
    <s v="Chicago"/>
    <s v="IL"/>
    <x v="337"/>
    <x v="0"/>
  </r>
  <r>
    <x v="337"/>
    <x v="0"/>
    <x v="19"/>
    <s v="Chicago"/>
    <s v="IL"/>
    <x v="337"/>
    <x v="0"/>
  </r>
  <r>
    <x v="338"/>
    <x v="0"/>
    <x v="8"/>
    <s v="Rosemont"/>
    <s v="IL"/>
    <x v="338"/>
    <x v="38"/>
  </r>
  <r>
    <x v="338"/>
    <x v="0"/>
    <x v="13"/>
    <s v="Rosemont"/>
    <s v="IL"/>
    <x v="338"/>
    <x v="38"/>
  </r>
  <r>
    <x v="338"/>
    <x v="0"/>
    <x v="29"/>
    <s v="Rosemont"/>
    <s v="IL"/>
    <x v="338"/>
    <x v="38"/>
  </r>
  <r>
    <x v="339"/>
    <x v="1"/>
    <x v="13"/>
    <s v="Chicago"/>
    <s v="IL"/>
    <x v="339"/>
    <x v="0"/>
  </r>
  <r>
    <x v="339"/>
    <x v="1"/>
    <x v="15"/>
    <s v="Chicago"/>
    <s v="IL"/>
    <x v="339"/>
    <x v="0"/>
  </r>
  <r>
    <x v="340"/>
    <x v="0"/>
    <x v="7"/>
    <s v="Minneapolis"/>
    <s v="MN"/>
    <x v="340"/>
    <x v="151"/>
  </r>
  <r>
    <x v="340"/>
    <x v="0"/>
    <x v="26"/>
    <s v="Minneapolis"/>
    <s v="MN"/>
    <x v="340"/>
    <x v="151"/>
  </r>
  <r>
    <x v="340"/>
    <x v="0"/>
    <x v="21"/>
    <s v="Minneapolis"/>
    <s v="MN"/>
    <x v="340"/>
    <x v="151"/>
  </r>
  <r>
    <x v="340"/>
    <x v="0"/>
    <x v="27"/>
    <s v="Minneapolis"/>
    <s v="MN"/>
    <x v="340"/>
    <x v="151"/>
  </r>
  <r>
    <x v="340"/>
    <x v="0"/>
    <x v="22"/>
    <s v="Minneapolis"/>
    <s v="MN"/>
    <x v="340"/>
    <x v="151"/>
  </r>
  <r>
    <x v="340"/>
    <x v="0"/>
    <x v="17"/>
    <s v="Minneapolis"/>
    <s v="MN"/>
    <x v="340"/>
    <x v="151"/>
  </r>
  <r>
    <x v="340"/>
    <x v="0"/>
    <x v="46"/>
    <s v="Minneapolis"/>
    <s v="MN"/>
    <x v="340"/>
    <x v="151"/>
  </r>
  <r>
    <x v="340"/>
    <x v="0"/>
    <x v="18"/>
    <s v="Minneapolis"/>
    <s v="MN"/>
    <x v="340"/>
    <x v="151"/>
  </r>
  <r>
    <x v="340"/>
    <x v="0"/>
    <x v="50"/>
    <s v="Minneapolis"/>
    <s v="MN"/>
    <x v="340"/>
    <x v="151"/>
  </r>
  <r>
    <x v="341"/>
    <x v="0"/>
    <x v="39"/>
    <s v="Chicago"/>
    <s v="IL"/>
    <x v="341"/>
    <x v="0"/>
  </r>
  <r>
    <x v="341"/>
    <x v="0"/>
    <x v="40"/>
    <s v="Chicago"/>
    <s v="IL"/>
    <x v="341"/>
    <x v="0"/>
  </r>
  <r>
    <x v="341"/>
    <x v="0"/>
    <x v="7"/>
    <s v="Chicago"/>
    <s v="IL"/>
    <x v="341"/>
    <x v="0"/>
  </r>
  <r>
    <x v="341"/>
    <x v="0"/>
    <x v="8"/>
    <s v="Chicago"/>
    <s v="IL"/>
    <x v="341"/>
    <x v="0"/>
  </r>
  <r>
    <x v="341"/>
    <x v="0"/>
    <x v="9"/>
    <s v="Chicago"/>
    <s v="IL"/>
    <x v="341"/>
    <x v="0"/>
  </r>
  <r>
    <x v="341"/>
    <x v="0"/>
    <x v="24"/>
    <s v="Chicago"/>
    <s v="IL"/>
    <x v="341"/>
    <x v="0"/>
  </r>
  <r>
    <x v="341"/>
    <x v="0"/>
    <x v="25"/>
    <s v="Chicago"/>
    <s v="IL"/>
    <x v="341"/>
    <x v="0"/>
  </r>
  <r>
    <x v="341"/>
    <x v="0"/>
    <x v="12"/>
    <s v="Chicago"/>
    <s v="IL"/>
    <x v="341"/>
    <x v="0"/>
  </r>
  <r>
    <x v="341"/>
    <x v="0"/>
    <x v="26"/>
    <s v="Chicago"/>
    <s v="IL"/>
    <x v="341"/>
    <x v="0"/>
  </r>
  <r>
    <x v="341"/>
    <x v="0"/>
    <x v="21"/>
    <s v="Chicago"/>
    <s v="IL"/>
    <x v="341"/>
    <x v="0"/>
  </r>
  <r>
    <x v="341"/>
    <x v="0"/>
    <x v="27"/>
    <s v="Chicago"/>
    <s v="IL"/>
    <x v="341"/>
    <x v="0"/>
  </r>
  <r>
    <x v="341"/>
    <x v="0"/>
    <x v="13"/>
    <s v="Chicago"/>
    <s v="IL"/>
    <x v="341"/>
    <x v="0"/>
  </r>
  <r>
    <x v="341"/>
    <x v="0"/>
    <x v="36"/>
    <s v="Chicago"/>
    <s v="IL"/>
    <x v="341"/>
    <x v="0"/>
  </r>
  <r>
    <x v="341"/>
    <x v="0"/>
    <x v="16"/>
    <s v="Chicago"/>
    <s v="IL"/>
    <x v="341"/>
    <x v="0"/>
  </r>
  <r>
    <x v="341"/>
    <x v="0"/>
    <x v="35"/>
    <s v="Chicago"/>
    <s v="IL"/>
    <x v="341"/>
    <x v="0"/>
  </r>
  <r>
    <x v="341"/>
    <x v="0"/>
    <x v="17"/>
    <s v="Chicago"/>
    <s v="IL"/>
    <x v="341"/>
    <x v="0"/>
  </r>
  <r>
    <x v="341"/>
    <x v="0"/>
    <x v="18"/>
    <s v="Chicago"/>
    <s v="IL"/>
    <x v="341"/>
    <x v="0"/>
  </r>
  <r>
    <x v="341"/>
    <x v="0"/>
    <x v="19"/>
    <s v="Chicago"/>
    <s v="IL"/>
    <x v="341"/>
    <x v="0"/>
  </r>
  <r>
    <x v="341"/>
    <x v="0"/>
    <x v="3"/>
    <s v="Chicago"/>
    <s v="IL"/>
    <x v="341"/>
    <x v="0"/>
  </r>
  <r>
    <x v="341"/>
    <x v="0"/>
    <x v="47"/>
    <s v="Chicago"/>
    <s v="IL"/>
    <x v="341"/>
    <x v="0"/>
  </r>
  <r>
    <x v="341"/>
    <x v="0"/>
    <x v="4"/>
    <s v="Chicago"/>
    <s v="IL"/>
    <x v="341"/>
    <x v="0"/>
  </r>
  <r>
    <x v="341"/>
    <x v="0"/>
    <x v="5"/>
    <s v="Chicago"/>
    <s v="IL"/>
    <x v="341"/>
    <x v="0"/>
  </r>
  <r>
    <x v="342"/>
    <x v="0"/>
    <x v="52"/>
    <s v="Chicago"/>
    <s v="IL"/>
    <x v="342"/>
    <x v="0"/>
  </r>
  <r>
    <x v="343"/>
    <x v="0"/>
    <x v="39"/>
    <s v="Chicago"/>
    <s v="IL"/>
    <x v="343"/>
    <x v="0"/>
  </r>
  <r>
    <x v="343"/>
    <x v="0"/>
    <x v="40"/>
    <s v="Chicago"/>
    <s v="IL"/>
    <x v="343"/>
    <x v="0"/>
  </r>
  <r>
    <x v="343"/>
    <x v="0"/>
    <x v="59"/>
    <s v="Chicago"/>
    <s v="IL"/>
    <x v="343"/>
    <x v="0"/>
  </r>
  <r>
    <x v="343"/>
    <x v="0"/>
    <x v="41"/>
    <s v="Chicago"/>
    <s v="IL"/>
    <x v="343"/>
    <x v="0"/>
  </r>
  <r>
    <x v="343"/>
    <x v="0"/>
    <x v="42"/>
    <s v="Chicago"/>
    <s v="IL"/>
    <x v="343"/>
    <x v="0"/>
  </r>
  <r>
    <x v="343"/>
    <x v="0"/>
    <x v="43"/>
    <s v="Chicago"/>
    <s v="IL"/>
    <x v="343"/>
    <x v="0"/>
  </r>
  <r>
    <x v="343"/>
    <x v="0"/>
    <x v="7"/>
    <s v="Chicago"/>
    <s v="IL"/>
    <x v="343"/>
    <x v="0"/>
  </r>
  <r>
    <x v="343"/>
    <x v="0"/>
    <x v="8"/>
    <s v="Chicago"/>
    <s v="IL"/>
    <x v="343"/>
    <x v="0"/>
  </r>
  <r>
    <x v="343"/>
    <x v="0"/>
    <x v="10"/>
    <s v="Chicago"/>
    <s v="IL"/>
    <x v="343"/>
    <x v="0"/>
  </r>
  <r>
    <x v="343"/>
    <x v="0"/>
    <x v="11"/>
    <s v="Chicago"/>
    <s v="IL"/>
    <x v="343"/>
    <x v="0"/>
  </r>
  <r>
    <x v="343"/>
    <x v="0"/>
    <x v="24"/>
    <s v="Chicago"/>
    <s v="IL"/>
    <x v="343"/>
    <x v="0"/>
  </r>
  <r>
    <x v="343"/>
    <x v="0"/>
    <x v="25"/>
    <s v="Chicago"/>
    <s v="IL"/>
    <x v="343"/>
    <x v="0"/>
  </r>
  <r>
    <x v="343"/>
    <x v="0"/>
    <x v="12"/>
    <s v="Chicago"/>
    <s v="IL"/>
    <x v="343"/>
    <x v="0"/>
  </r>
  <r>
    <x v="343"/>
    <x v="0"/>
    <x v="44"/>
    <s v="Chicago"/>
    <s v="IL"/>
    <x v="343"/>
    <x v="0"/>
  </r>
  <r>
    <x v="343"/>
    <x v="0"/>
    <x v="27"/>
    <s v="Chicago"/>
    <s v="IL"/>
    <x v="343"/>
    <x v="0"/>
  </r>
  <r>
    <x v="343"/>
    <x v="0"/>
    <x v="13"/>
    <s v="Chicago"/>
    <s v="IL"/>
    <x v="343"/>
    <x v="0"/>
  </r>
  <r>
    <x v="343"/>
    <x v="0"/>
    <x v="22"/>
    <s v="Chicago"/>
    <s v="IL"/>
    <x v="343"/>
    <x v="0"/>
  </r>
  <r>
    <x v="343"/>
    <x v="0"/>
    <x v="20"/>
    <s v="Chicago"/>
    <s v="IL"/>
    <x v="343"/>
    <x v="0"/>
  </r>
  <r>
    <x v="343"/>
    <x v="0"/>
    <x v="14"/>
    <s v="Chicago"/>
    <s v="IL"/>
    <x v="343"/>
    <x v="0"/>
  </r>
  <r>
    <x v="343"/>
    <x v="0"/>
    <x v="23"/>
    <s v="Chicago"/>
    <s v="IL"/>
    <x v="343"/>
    <x v="0"/>
  </r>
  <r>
    <x v="343"/>
    <x v="0"/>
    <x v="15"/>
    <s v="Chicago"/>
    <s v="IL"/>
    <x v="343"/>
    <x v="0"/>
  </r>
  <r>
    <x v="343"/>
    <x v="0"/>
    <x v="35"/>
    <s v="Chicago"/>
    <s v="IL"/>
    <x v="343"/>
    <x v="0"/>
  </r>
  <r>
    <x v="343"/>
    <x v="0"/>
    <x v="17"/>
    <s v="Chicago"/>
    <s v="IL"/>
    <x v="343"/>
    <x v="0"/>
  </r>
  <r>
    <x v="343"/>
    <x v="0"/>
    <x v="46"/>
    <s v="Chicago"/>
    <s v="IL"/>
    <x v="343"/>
    <x v="0"/>
  </r>
  <r>
    <x v="343"/>
    <x v="0"/>
    <x v="18"/>
    <s v="Chicago"/>
    <s v="IL"/>
    <x v="343"/>
    <x v="0"/>
  </r>
  <r>
    <x v="343"/>
    <x v="0"/>
    <x v="19"/>
    <s v="Chicago"/>
    <s v="IL"/>
    <x v="343"/>
    <x v="0"/>
  </r>
  <r>
    <x v="343"/>
    <x v="0"/>
    <x v="3"/>
    <s v="Chicago"/>
    <s v="IL"/>
    <x v="343"/>
    <x v="0"/>
  </r>
  <r>
    <x v="343"/>
    <x v="0"/>
    <x v="47"/>
    <s v="Chicago"/>
    <s v="IL"/>
    <x v="343"/>
    <x v="0"/>
  </r>
  <r>
    <x v="343"/>
    <x v="0"/>
    <x v="4"/>
    <s v="Chicago"/>
    <s v="IL"/>
    <x v="343"/>
    <x v="0"/>
  </r>
  <r>
    <x v="343"/>
    <x v="0"/>
    <x v="5"/>
    <s v="Chicago"/>
    <s v="IL"/>
    <x v="343"/>
    <x v="0"/>
  </r>
  <r>
    <x v="343"/>
    <x v="0"/>
    <x v="48"/>
    <s v="Chicago"/>
    <s v="IL"/>
    <x v="343"/>
    <x v="0"/>
  </r>
  <r>
    <x v="343"/>
    <x v="0"/>
    <x v="6"/>
    <s v="Chicago"/>
    <s v="IL"/>
    <x v="343"/>
    <x v="0"/>
  </r>
  <r>
    <x v="343"/>
    <x v="0"/>
    <x v="49"/>
    <s v="Chicago"/>
    <s v="IL"/>
    <x v="343"/>
    <x v="0"/>
  </r>
  <r>
    <x v="343"/>
    <x v="0"/>
    <x v="50"/>
    <s v="Chicago"/>
    <s v="IL"/>
    <x v="343"/>
    <x v="0"/>
  </r>
  <r>
    <x v="343"/>
    <x v="0"/>
    <x v="32"/>
    <s v="Chicago"/>
    <s v="IL"/>
    <x v="343"/>
    <x v="0"/>
  </r>
  <r>
    <x v="344"/>
    <x v="0"/>
    <x v="57"/>
    <s v="East Dundee"/>
    <s v="IL"/>
    <x v="344"/>
    <x v="84"/>
  </r>
  <r>
    <x v="344"/>
    <x v="0"/>
    <x v="58"/>
    <s v="East Dundee"/>
    <s v="IL"/>
    <x v="344"/>
    <x v="84"/>
  </r>
  <r>
    <x v="345"/>
    <x v="1"/>
    <x v="7"/>
    <s v="Chicago"/>
    <s v="IL"/>
    <x v="345"/>
    <x v="0"/>
  </r>
  <r>
    <x v="345"/>
    <x v="1"/>
    <x v="8"/>
    <s v="Chicago"/>
    <s v="IL"/>
    <x v="345"/>
    <x v="0"/>
  </r>
  <r>
    <x v="345"/>
    <x v="1"/>
    <x v="12"/>
    <s v="Chicago"/>
    <s v="IL"/>
    <x v="345"/>
    <x v="0"/>
  </r>
  <r>
    <x v="345"/>
    <x v="1"/>
    <x v="26"/>
    <s v="Chicago"/>
    <s v="IL"/>
    <x v="345"/>
    <x v="0"/>
  </r>
  <r>
    <x v="345"/>
    <x v="1"/>
    <x v="21"/>
    <s v="Chicago"/>
    <s v="IL"/>
    <x v="345"/>
    <x v="0"/>
  </r>
  <r>
    <x v="345"/>
    <x v="1"/>
    <x v="27"/>
    <s v="Chicago"/>
    <s v="IL"/>
    <x v="345"/>
    <x v="0"/>
  </r>
  <r>
    <x v="345"/>
    <x v="1"/>
    <x v="13"/>
    <s v="Chicago"/>
    <s v="IL"/>
    <x v="345"/>
    <x v="0"/>
  </r>
  <r>
    <x v="345"/>
    <x v="1"/>
    <x v="22"/>
    <s v="Chicago"/>
    <s v="IL"/>
    <x v="345"/>
    <x v="0"/>
  </r>
  <r>
    <x v="345"/>
    <x v="1"/>
    <x v="28"/>
    <s v="Chicago"/>
    <s v="IL"/>
    <x v="345"/>
    <x v="0"/>
  </r>
  <r>
    <x v="345"/>
    <x v="1"/>
    <x v="29"/>
    <s v="Chicago"/>
    <s v="IL"/>
    <x v="345"/>
    <x v="0"/>
  </r>
  <r>
    <x v="345"/>
    <x v="1"/>
    <x v="17"/>
    <s v="Chicago"/>
    <s v="IL"/>
    <x v="345"/>
    <x v="0"/>
  </r>
  <r>
    <x v="345"/>
    <x v="1"/>
    <x v="18"/>
    <s v="Chicago"/>
    <s v="IL"/>
    <x v="345"/>
    <x v="0"/>
  </r>
  <r>
    <x v="345"/>
    <x v="1"/>
    <x v="19"/>
    <s v="Chicago"/>
    <s v="IL"/>
    <x v="345"/>
    <x v="0"/>
  </r>
  <r>
    <x v="345"/>
    <x v="1"/>
    <x v="3"/>
    <s v="Chicago"/>
    <s v="IL"/>
    <x v="345"/>
    <x v="0"/>
  </r>
  <r>
    <x v="345"/>
    <x v="1"/>
    <x v="47"/>
    <s v="Chicago"/>
    <s v="IL"/>
    <x v="345"/>
    <x v="0"/>
  </r>
  <r>
    <x v="345"/>
    <x v="1"/>
    <x v="4"/>
    <s v="Chicago"/>
    <s v="IL"/>
    <x v="345"/>
    <x v="0"/>
  </r>
  <r>
    <x v="345"/>
    <x v="1"/>
    <x v="5"/>
    <s v="Chicago"/>
    <s v="IL"/>
    <x v="345"/>
    <x v="0"/>
  </r>
  <r>
    <x v="345"/>
    <x v="1"/>
    <x v="48"/>
    <s v="Chicago"/>
    <s v="IL"/>
    <x v="345"/>
    <x v="0"/>
  </r>
  <r>
    <x v="345"/>
    <x v="1"/>
    <x v="6"/>
    <s v="Chicago"/>
    <s v="IL"/>
    <x v="345"/>
    <x v="0"/>
  </r>
  <r>
    <x v="346"/>
    <x v="0"/>
    <x v="7"/>
    <s v="Joliet"/>
    <s v="WI"/>
    <x v="346"/>
    <x v="152"/>
  </r>
  <r>
    <x v="346"/>
    <x v="0"/>
    <x v="8"/>
    <s v="Joliet"/>
    <s v="WI"/>
    <x v="346"/>
    <x v="152"/>
  </r>
  <r>
    <x v="346"/>
    <x v="0"/>
    <x v="9"/>
    <s v="Joliet"/>
    <s v="WI"/>
    <x v="346"/>
    <x v="152"/>
  </r>
  <r>
    <x v="346"/>
    <x v="0"/>
    <x v="10"/>
    <s v="Joliet"/>
    <s v="WI"/>
    <x v="346"/>
    <x v="152"/>
  </r>
  <r>
    <x v="346"/>
    <x v="0"/>
    <x v="11"/>
    <s v="Joliet"/>
    <s v="WI"/>
    <x v="346"/>
    <x v="152"/>
  </r>
  <r>
    <x v="346"/>
    <x v="0"/>
    <x v="24"/>
    <s v="Joliet"/>
    <s v="WI"/>
    <x v="346"/>
    <x v="152"/>
  </r>
  <r>
    <x v="346"/>
    <x v="0"/>
    <x v="25"/>
    <s v="Joliet"/>
    <s v="WI"/>
    <x v="346"/>
    <x v="152"/>
  </r>
  <r>
    <x v="346"/>
    <x v="0"/>
    <x v="12"/>
    <s v="Joliet"/>
    <s v="WI"/>
    <x v="346"/>
    <x v="152"/>
  </r>
  <r>
    <x v="346"/>
    <x v="0"/>
    <x v="26"/>
    <s v="Joliet"/>
    <s v="WI"/>
    <x v="346"/>
    <x v="152"/>
  </r>
  <r>
    <x v="346"/>
    <x v="0"/>
    <x v="21"/>
    <s v="Joliet"/>
    <s v="WI"/>
    <x v="346"/>
    <x v="152"/>
  </r>
  <r>
    <x v="346"/>
    <x v="0"/>
    <x v="44"/>
    <s v="Joliet"/>
    <s v="WI"/>
    <x v="346"/>
    <x v="152"/>
  </r>
  <r>
    <x v="346"/>
    <x v="0"/>
    <x v="27"/>
    <s v="Joliet"/>
    <s v="WI"/>
    <x v="346"/>
    <x v="152"/>
  </r>
  <r>
    <x v="346"/>
    <x v="0"/>
    <x v="13"/>
    <s v="Joliet"/>
    <s v="WI"/>
    <x v="346"/>
    <x v="152"/>
  </r>
  <r>
    <x v="346"/>
    <x v="0"/>
    <x v="22"/>
    <s v="Joliet"/>
    <s v="WI"/>
    <x v="346"/>
    <x v="152"/>
  </r>
  <r>
    <x v="346"/>
    <x v="0"/>
    <x v="23"/>
    <s v="Joliet"/>
    <s v="WI"/>
    <x v="346"/>
    <x v="152"/>
  </r>
  <r>
    <x v="346"/>
    <x v="0"/>
    <x v="36"/>
    <s v="Joliet"/>
    <s v="WI"/>
    <x v="346"/>
    <x v="152"/>
  </r>
  <r>
    <x v="346"/>
    <x v="0"/>
    <x v="16"/>
    <s v="Joliet"/>
    <s v="WI"/>
    <x v="346"/>
    <x v="152"/>
  </r>
  <r>
    <x v="346"/>
    <x v="0"/>
    <x v="35"/>
    <s v="Joliet"/>
    <s v="WI"/>
    <x v="346"/>
    <x v="152"/>
  </r>
  <r>
    <x v="346"/>
    <x v="0"/>
    <x v="17"/>
    <s v="Joliet"/>
    <s v="WI"/>
    <x v="346"/>
    <x v="152"/>
  </r>
  <r>
    <x v="346"/>
    <x v="0"/>
    <x v="18"/>
    <s v="Joliet"/>
    <s v="WI"/>
    <x v="346"/>
    <x v="152"/>
  </r>
  <r>
    <x v="346"/>
    <x v="0"/>
    <x v="19"/>
    <s v="Joliet"/>
    <s v="WI"/>
    <x v="346"/>
    <x v="152"/>
  </r>
  <r>
    <x v="346"/>
    <x v="0"/>
    <x v="3"/>
    <s v="Joliet"/>
    <s v="WI"/>
    <x v="346"/>
    <x v="152"/>
  </r>
  <r>
    <x v="346"/>
    <x v="0"/>
    <x v="47"/>
    <s v="Joliet"/>
    <s v="WI"/>
    <x v="346"/>
    <x v="152"/>
  </r>
  <r>
    <x v="346"/>
    <x v="0"/>
    <x v="4"/>
    <s v="Joliet"/>
    <s v="WI"/>
    <x v="346"/>
    <x v="152"/>
  </r>
  <r>
    <x v="346"/>
    <x v="0"/>
    <x v="5"/>
    <s v="Joliet"/>
    <s v="WI"/>
    <x v="346"/>
    <x v="152"/>
  </r>
  <r>
    <x v="347"/>
    <x v="1"/>
    <x v="43"/>
    <s v="Palatine"/>
    <s v="IL"/>
    <x v="347"/>
    <x v="63"/>
  </r>
  <r>
    <x v="348"/>
    <x v="0"/>
    <x v="0"/>
    <s v="Lee's Summit"/>
    <s v="MO"/>
    <x v="348"/>
    <x v="153"/>
  </r>
  <r>
    <x v="349"/>
    <x v="0"/>
    <x v="52"/>
    <s v="Chicago"/>
    <s v="IL"/>
    <x v="349"/>
    <x v="0"/>
  </r>
  <r>
    <x v="350"/>
    <x v="0"/>
    <x v="33"/>
    <s v="Chicago"/>
    <s v="IL"/>
    <x v="350"/>
    <x v="0"/>
  </r>
  <r>
    <x v="350"/>
    <x v="0"/>
    <x v="39"/>
    <s v="Chicago"/>
    <s v="IL"/>
    <x v="350"/>
    <x v="0"/>
  </r>
  <r>
    <x v="350"/>
    <x v="0"/>
    <x v="40"/>
    <s v="Chicago"/>
    <s v="IL"/>
    <x v="350"/>
    <x v="0"/>
  </r>
  <r>
    <x v="350"/>
    <x v="0"/>
    <x v="41"/>
    <s v="Chicago"/>
    <s v="IL"/>
    <x v="350"/>
    <x v="0"/>
  </r>
  <r>
    <x v="350"/>
    <x v="0"/>
    <x v="42"/>
    <s v="Chicago"/>
    <s v="IL"/>
    <x v="350"/>
    <x v="0"/>
  </r>
  <r>
    <x v="350"/>
    <x v="0"/>
    <x v="7"/>
    <s v="Chicago"/>
    <s v="IL"/>
    <x v="350"/>
    <x v="0"/>
  </r>
  <r>
    <x v="350"/>
    <x v="0"/>
    <x v="8"/>
    <s v="Chicago"/>
    <s v="IL"/>
    <x v="350"/>
    <x v="0"/>
  </r>
  <r>
    <x v="350"/>
    <x v="0"/>
    <x v="10"/>
    <s v="Chicago"/>
    <s v="IL"/>
    <x v="350"/>
    <x v="0"/>
  </r>
  <r>
    <x v="350"/>
    <x v="0"/>
    <x v="11"/>
    <s v="Chicago"/>
    <s v="IL"/>
    <x v="350"/>
    <x v="0"/>
  </r>
  <r>
    <x v="350"/>
    <x v="0"/>
    <x v="24"/>
    <s v="Chicago"/>
    <s v="IL"/>
    <x v="350"/>
    <x v="0"/>
  </r>
  <r>
    <x v="350"/>
    <x v="0"/>
    <x v="25"/>
    <s v="Chicago"/>
    <s v="IL"/>
    <x v="350"/>
    <x v="0"/>
  </r>
  <r>
    <x v="350"/>
    <x v="0"/>
    <x v="12"/>
    <s v="Chicago"/>
    <s v="IL"/>
    <x v="350"/>
    <x v="0"/>
  </r>
  <r>
    <x v="350"/>
    <x v="0"/>
    <x v="27"/>
    <s v="Chicago"/>
    <s v="IL"/>
    <x v="350"/>
    <x v="0"/>
  </r>
  <r>
    <x v="350"/>
    <x v="0"/>
    <x v="13"/>
    <s v="Chicago"/>
    <s v="IL"/>
    <x v="350"/>
    <x v="0"/>
  </r>
  <r>
    <x v="350"/>
    <x v="0"/>
    <x v="22"/>
    <s v="Chicago"/>
    <s v="IL"/>
    <x v="350"/>
    <x v="0"/>
  </r>
  <r>
    <x v="350"/>
    <x v="0"/>
    <x v="14"/>
    <s v="Chicago"/>
    <s v="IL"/>
    <x v="350"/>
    <x v="0"/>
  </r>
  <r>
    <x v="350"/>
    <x v="0"/>
    <x v="23"/>
    <s v="Chicago"/>
    <s v="IL"/>
    <x v="350"/>
    <x v="0"/>
  </r>
  <r>
    <x v="350"/>
    <x v="0"/>
    <x v="15"/>
    <s v="Chicago"/>
    <s v="IL"/>
    <x v="350"/>
    <x v="0"/>
  </r>
  <r>
    <x v="350"/>
    <x v="0"/>
    <x v="35"/>
    <s v="Chicago"/>
    <s v="IL"/>
    <x v="350"/>
    <x v="0"/>
  </r>
  <r>
    <x v="350"/>
    <x v="0"/>
    <x v="17"/>
    <s v="Chicago"/>
    <s v="IL"/>
    <x v="350"/>
    <x v="0"/>
  </r>
  <r>
    <x v="350"/>
    <x v="0"/>
    <x v="18"/>
    <s v="Chicago"/>
    <s v="IL"/>
    <x v="350"/>
    <x v="0"/>
  </r>
  <r>
    <x v="350"/>
    <x v="0"/>
    <x v="19"/>
    <s v="Chicago"/>
    <s v="IL"/>
    <x v="350"/>
    <x v="0"/>
  </r>
  <r>
    <x v="350"/>
    <x v="0"/>
    <x v="3"/>
    <s v="Chicago"/>
    <s v="IL"/>
    <x v="350"/>
    <x v="0"/>
  </r>
  <r>
    <x v="350"/>
    <x v="0"/>
    <x v="47"/>
    <s v="Chicago"/>
    <s v="IL"/>
    <x v="350"/>
    <x v="0"/>
  </r>
  <r>
    <x v="350"/>
    <x v="0"/>
    <x v="4"/>
    <s v="Chicago"/>
    <s v="IL"/>
    <x v="350"/>
    <x v="0"/>
  </r>
  <r>
    <x v="350"/>
    <x v="0"/>
    <x v="5"/>
    <s v="Chicago"/>
    <s v="IL"/>
    <x v="350"/>
    <x v="0"/>
  </r>
  <r>
    <x v="350"/>
    <x v="0"/>
    <x v="48"/>
    <s v="Chicago"/>
    <s v="IL"/>
    <x v="350"/>
    <x v="0"/>
  </r>
  <r>
    <x v="350"/>
    <x v="0"/>
    <x v="6"/>
    <s v="Chicago"/>
    <s v="IL"/>
    <x v="350"/>
    <x v="0"/>
  </r>
  <r>
    <x v="350"/>
    <x v="0"/>
    <x v="49"/>
    <s v="Chicago"/>
    <s v="IL"/>
    <x v="350"/>
    <x v="0"/>
  </r>
  <r>
    <x v="350"/>
    <x v="0"/>
    <x v="50"/>
    <s v="Chicago"/>
    <s v="IL"/>
    <x v="350"/>
    <x v="0"/>
  </r>
  <r>
    <x v="350"/>
    <x v="0"/>
    <x v="32"/>
    <s v="Chicago"/>
    <s v="IL"/>
    <x v="350"/>
    <x v="0"/>
  </r>
  <r>
    <x v="350"/>
    <x v="0"/>
    <x v="51"/>
    <s v="Chicago"/>
    <s v="IL"/>
    <x v="350"/>
    <x v="0"/>
  </r>
  <r>
    <x v="351"/>
    <x v="0"/>
    <x v="56"/>
    <s v="St. Louis"/>
    <s v="MO"/>
    <x v="351"/>
    <x v="41"/>
  </r>
  <r>
    <x v="351"/>
    <x v="0"/>
    <x v="53"/>
    <s v="St. Louis"/>
    <s v="MO"/>
    <x v="351"/>
    <x v="41"/>
  </r>
  <r>
    <x v="351"/>
    <x v="0"/>
    <x v="28"/>
    <s v="St. Louis"/>
    <s v="MO"/>
    <x v="351"/>
    <x v="41"/>
  </r>
  <r>
    <x v="351"/>
    <x v="0"/>
    <x v="29"/>
    <s v="St. Louis"/>
    <s v="MO"/>
    <x v="351"/>
    <x v="41"/>
  </r>
  <r>
    <x v="352"/>
    <x v="1"/>
    <x v="8"/>
    <s v="Naperville"/>
    <s v="IL"/>
    <x v="352"/>
    <x v="52"/>
  </r>
  <r>
    <x v="352"/>
    <x v="1"/>
    <x v="13"/>
    <s v="Naperville"/>
    <s v="IL"/>
    <x v="352"/>
    <x v="52"/>
  </r>
  <r>
    <x v="352"/>
    <x v="1"/>
    <x v="15"/>
    <s v="Naperville"/>
    <s v="IL"/>
    <x v="352"/>
    <x v="52"/>
  </r>
  <r>
    <x v="352"/>
    <x v="1"/>
    <x v="19"/>
    <s v="Naperville"/>
    <s v="IL"/>
    <x v="352"/>
    <x v="52"/>
  </r>
  <r>
    <x v="353"/>
    <x v="1"/>
    <x v="30"/>
    <s v="PALOS HEIGHTS"/>
    <s v="IL"/>
    <x v="353"/>
    <x v="154"/>
  </r>
  <r>
    <x v="354"/>
    <x v="1"/>
    <x v="13"/>
    <s v="Chicago"/>
    <s v="IL"/>
    <x v="354"/>
    <x v="0"/>
  </r>
  <r>
    <x v="354"/>
    <x v="1"/>
    <x v="15"/>
    <s v="Chicago"/>
    <s v="IL"/>
    <x v="354"/>
    <x v="0"/>
  </r>
  <r>
    <x v="355"/>
    <x v="1"/>
    <x v="8"/>
    <s v="Hoffman Estates"/>
    <s v="IL"/>
    <x v="355"/>
    <x v="155"/>
  </r>
  <r>
    <x v="356"/>
    <x v="0"/>
    <x v="28"/>
    <s v="Ashland"/>
    <s v="VA"/>
    <x v="356"/>
    <x v="156"/>
  </r>
  <r>
    <x v="357"/>
    <x v="1"/>
    <x v="28"/>
    <s v="Chicago"/>
    <s v="IL"/>
    <x v="357"/>
    <x v="0"/>
  </r>
  <r>
    <x v="358"/>
    <x v="1"/>
    <x v="8"/>
    <s v="Schaumburg"/>
    <s v="IL"/>
    <x v="358"/>
    <x v="15"/>
  </r>
  <r>
    <x v="358"/>
    <x v="1"/>
    <x v="13"/>
    <s v="Schaumburg"/>
    <s v="IL"/>
    <x v="358"/>
    <x v="15"/>
  </r>
  <r>
    <x v="358"/>
    <x v="1"/>
    <x v="29"/>
    <s v="Schaumburg"/>
    <s v="IL"/>
    <x v="358"/>
    <x v="15"/>
  </r>
  <r>
    <x v="359"/>
    <x v="0"/>
    <x v="7"/>
    <s v="Chicago"/>
    <s v="IL"/>
    <x v="359"/>
    <x v="0"/>
  </r>
  <r>
    <x v="359"/>
    <x v="0"/>
    <x v="8"/>
    <s v="Chicago"/>
    <s v="IL"/>
    <x v="359"/>
    <x v="0"/>
  </r>
  <r>
    <x v="359"/>
    <x v="0"/>
    <x v="10"/>
    <s v="Chicago"/>
    <s v="IL"/>
    <x v="359"/>
    <x v="0"/>
  </r>
  <r>
    <x v="359"/>
    <x v="0"/>
    <x v="11"/>
    <s v="Chicago"/>
    <s v="IL"/>
    <x v="359"/>
    <x v="0"/>
  </r>
  <r>
    <x v="359"/>
    <x v="0"/>
    <x v="24"/>
    <s v="Chicago"/>
    <s v="IL"/>
    <x v="359"/>
    <x v="0"/>
  </r>
  <r>
    <x v="359"/>
    <x v="0"/>
    <x v="25"/>
    <s v="Chicago"/>
    <s v="IL"/>
    <x v="359"/>
    <x v="0"/>
  </r>
  <r>
    <x v="359"/>
    <x v="0"/>
    <x v="12"/>
    <s v="Chicago"/>
    <s v="IL"/>
    <x v="359"/>
    <x v="0"/>
  </r>
  <r>
    <x v="359"/>
    <x v="0"/>
    <x v="27"/>
    <s v="Chicago"/>
    <s v="IL"/>
    <x v="359"/>
    <x v="0"/>
  </r>
  <r>
    <x v="359"/>
    <x v="0"/>
    <x v="13"/>
    <s v="Chicago"/>
    <s v="IL"/>
    <x v="359"/>
    <x v="0"/>
  </r>
  <r>
    <x v="359"/>
    <x v="0"/>
    <x v="22"/>
    <s v="Chicago"/>
    <s v="IL"/>
    <x v="359"/>
    <x v="0"/>
  </r>
  <r>
    <x v="359"/>
    <x v="0"/>
    <x v="14"/>
    <s v="Chicago"/>
    <s v="IL"/>
    <x v="359"/>
    <x v="0"/>
  </r>
  <r>
    <x v="359"/>
    <x v="0"/>
    <x v="16"/>
    <s v="Chicago"/>
    <s v="IL"/>
    <x v="359"/>
    <x v="0"/>
  </r>
  <r>
    <x v="359"/>
    <x v="0"/>
    <x v="29"/>
    <s v="Chicago"/>
    <s v="IL"/>
    <x v="359"/>
    <x v="0"/>
  </r>
  <r>
    <x v="359"/>
    <x v="0"/>
    <x v="35"/>
    <s v="Chicago"/>
    <s v="IL"/>
    <x v="359"/>
    <x v="0"/>
  </r>
  <r>
    <x v="359"/>
    <x v="0"/>
    <x v="17"/>
    <s v="Chicago"/>
    <s v="IL"/>
    <x v="359"/>
    <x v="0"/>
  </r>
  <r>
    <x v="359"/>
    <x v="0"/>
    <x v="46"/>
    <s v="Chicago"/>
    <s v="IL"/>
    <x v="359"/>
    <x v="0"/>
  </r>
  <r>
    <x v="359"/>
    <x v="0"/>
    <x v="18"/>
    <s v="Chicago"/>
    <s v="IL"/>
    <x v="359"/>
    <x v="0"/>
  </r>
  <r>
    <x v="359"/>
    <x v="0"/>
    <x v="19"/>
    <s v="Chicago"/>
    <s v="IL"/>
    <x v="359"/>
    <x v="0"/>
  </r>
  <r>
    <x v="359"/>
    <x v="0"/>
    <x v="3"/>
    <s v="Chicago"/>
    <s v="IL"/>
    <x v="359"/>
    <x v="0"/>
  </r>
  <r>
    <x v="359"/>
    <x v="0"/>
    <x v="4"/>
    <s v="Chicago"/>
    <s v="IL"/>
    <x v="359"/>
    <x v="0"/>
  </r>
  <r>
    <x v="359"/>
    <x v="0"/>
    <x v="5"/>
    <s v="Chicago"/>
    <s v="IL"/>
    <x v="359"/>
    <x v="0"/>
  </r>
  <r>
    <x v="360"/>
    <x v="0"/>
    <x v="39"/>
    <s v="Glendale Heights"/>
    <s v="IL"/>
    <x v="360"/>
    <x v="157"/>
  </r>
  <r>
    <x v="360"/>
    <x v="0"/>
    <x v="59"/>
    <s v="Glendale Heights"/>
    <s v="IL"/>
    <x v="360"/>
    <x v="157"/>
  </r>
  <r>
    <x v="360"/>
    <x v="0"/>
    <x v="41"/>
    <s v="Glendale Heights"/>
    <s v="IL"/>
    <x v="360"/>
    <x v="157"/>
  </r>
  <r>
    <x v="360"/>
    <x v="0"/>
    <x v="42"/>
    <s v="Glendale Heights"/>
    <s v="IL"/>
    <x v="360"/>
    <x v="157"/>
  </r>
  <r>
    <x v="360"/>
    <x v="0"/>
    <x v="43"/>
    <s v="Glendale Heights"/>
    <s v="IL"/>
    <x v="360"/>
    <x v="157"/>
  </r>
  <r>
    <x v="360"/>
    <x v="0"/>
    <x v="55"/>
    <s v="Glendale Heights"/>
    <s v="IL"/>
    <x v="360"/>
    <x v="157"/>
  </r>
  <r>
    <x v="360"/>
    <x v="0"/>
    <x v="54"/>
    <s v="Glendale Heights"/>
    <s v="IL"/>
    <x v="360"/>
    <x v="157"/>
  </r>
  <r>
    <x v="360"/>
    <x v="0"/>
    <x v="20"/>
    <s v="Glendale Heights"/>
    <s v="IL"/>
    <x v="360"/>
    <x v="157"/>
  </r>
  <r>
    <x v="361"/>
    <x v="0"/>
    <x v="14"/>
    <s v="Evanston"/>
    <s v="IL"/>
    <x v="361"/>
    <x v="158"/>
  </r>
  <r>
    <x v="362"/>
    <x v="0"/>
    <x v="41"/>
    <s v="Carol Stream"/>
    <s v="IL"/>
    <x v="362"/>
    <x v="159"/>
  </r>
  <r>
    <x v="362"/>
    <x v="0"/>
    <x v="42"/>
    <s v="Carol Stream"/>
    <s v="IL"/>
    <x v="362"/>
    <x v="159"/>
  </r>
  <r>
    <x v="363"/>
    <x v="1"/>
    <x v="38"/>
    <s v="Fredericksburg"/>
    <s v="VA"/>
    <x v="363"/>
    <x v="160"/>
  </r>
  <r>
    <x v="364"/>
    <x v="1"/>
    <x v="7"/>
    <s v="Schaumburg"/>
    <s v="IL"/>
    <x v="364"/>
    <x v="15"/>
  </r>
  <r>
    <x v="364"/>
    <x v="1"/>
    <x v="8"/>
    <s v="Schaumburg"/>
    <s v="IL"/>
    <x v="364"/>
    <x v="15"/>
  </r>
  <r>
    <x v="364"/>
    <x v="1"/>
    <x v="25"/>
    <s v="Schaumburg"/>
    <s v="IL"/>
    <x v="364"/>
    <x v="15"/>
  </r>
  <r>
    <x v="364"/>
    <x v="1"/>
    <x v="12"/>
    <s v="Schaumburg"/>
    <s v="IL"/>
    <x v="364"/>
    <x v="15"/>
  </r>
  <r>
    <x v="364"/>
    <x v="1"/>
    <x v="44"/>
    <s v="Schaumburg"/>
    <s v="IL"/>
    <x v="364"/>
    <x v="15"/>
  </r>
  <r>
    <x v="364"/>
    <x v="1"/>
    <x v="52"/>
    <s v="Schaumburg"/>
    <s v="IL"/>
    <x v="364"/>
    <x v="15"/>
  </r>
  <r>
    <x v="364"/>
    <x v="1"/>
    <x v="13"/>
    <s v="Schaumburg"/>
    <s v="IL"/>
    <x v="364"/>
    <x v="15"/>
  </r>
  <r>
    <x v="364"/>
    <x v="1"/>
    <x v="22"/>
    <s v="Schaumburg"/>
    <s v="IL"/>
    <x v="364"/>
    <x v="15"/>
  </r>
  <r>
    <x v="364"/>
    <x v="1"/>
    <x v="23"/>
    <s v="Schaumburg"/>
    <s v="IL"/>
    <x v="364"/>
    <x v="15"/>
  </r>
  <r>
    <x v="364"/>
    <x v="1"/>
    <x v="16"/>
    <s v="Schaumburg"/>
    <s v="IL"/>
    <x v="364"/>
    <x v="15"/>
  </r>
  <r>
    <x v="364"/>
    <x v="1"/>
    <x v="18"/>
    <s v="Schaumburg"/>
    <s v="IL"/>
    <x v="364"/>
    <x v="15"/>
  </r>
  <r>
    <x v="364"/>
    <x v="1"/>
    <x v="19"/>
    <s v="Schaumburg"/>
    <s v="IL"/>
    <x v="364"/>
    <x v="15"/>
  </r>
  <r>
    <x v="364"/>
    <x v="1"/>
    <x v="4"/>
    <s v="Schaumburg"/>
    <s v="IL"/>
    <x v="364"/>
    <x v="15"/>
  </r>
  <r>
    <x v="364"/>
    <x v="1"/>
    <x v="32"/>
    <s v="Schaumburg"/>
    <s v="IL"/>
    <x v="364"/>
    <x v="15"/>
  </r>
  <r>
    <x v="365"/>
    <x v="0"/>
    <x v="14"/>
    <s v="Chicago"/>
    <s v="IL"/>
    <x v="365"/>
    <x v="0"/>
  </r>
  <r>
    <x v="366"/>
    <x v="1"/>
    <x v="33"/>
    <s v="Chicago"/>
    <s v="IL"/>
    <x v="366"/>
    <x v="0"/>
  </r>
  <r>
    <x v="366"/>
    <x v="1"/>
    <x v="7"/>
    <s v="Chicago"/>
    <s v="IL"/>
    <x v="366"/>
    <x v="0"/>
  </r>
  <r>
    <x v="366"/>
    <x v="1"/>
    <x v="8"/>
    <s v="Chicago"/>
    <s v="IL"/>
    <x v="366"/>
    <x v="0"/>
  </r>
  <r>
    <x v="366"/>
    <x v="1"/>
    <x v="25"/>
    <s v="Chicago"/>
    <s v="IL"/>
    <x v="366"/>
    <x v="0"/>
  </r>
  <r>
    <x v="366"/>
    <x v="1"/>
    <x v="12"/>
    <s v="Chicago"/>
    <s v="IL"/>
    <x v="366"/>
    <x v="0"/>
  </r>
  <r>
    <x v="366"/>
    <x v="1"/>
    <x v="27"/>
    <s v="Chicago"/>
    <s v="IL"/>
    <x v="366"/>
    <x v="0"/>
  </r>
  <r>
    <x v="366"/>
    <x v="1"/>
    <x v="13"/>
    <s v="Chicago"/>
    <s v="IL"/>
    <x v="366"/>
    <x v="0"/>
  </r>
  <r>
    <x v="366"/>
    <x v="1"/>
    <x v="15"/>
    <s v="Chicago"/>
    <s v="IL"/>
    <x v="366"/>
    <x v="0"/>
  </r>
  <r>
    <x v="366"/>
    <x v="1"/>
    <x v="16"/>
    <s v="Chicago"/>
    <s v="IL"/>
    <x v="366"/>
    <x v="0"/>
  </r>
  <r>
    <x v="366"/>
    <x v="1"/>
    <x v="28"/>
    <s v="Chicago"/>
    <s v="IL"/>
    <x v="366"/>
    <x v="0"/>
  </r>
  <r>
    <x v="366"/>
    <x v="1"/>
    <x v="29"/>
    <s v="Chicago"/>
    <s v="IL"/>
    <x v="366"/>
    <x v="0"/>
  </r>
  <r>
    <x v="366"/>
    <x v="1"/>
    <x v="18"/>
    <s v="Chicago"/>
    <s v="IL"/>
    <x v="366"/>
    <x v="0"/>
  </r>
  <r>
    <x v="366"/>
    <x v="1"/>
    <x v="19"/>
    <s v="Chicago"/>
    <s v="IL"/>
    <x v="366"/>
    <x v="0"/>
  </r>
  <r>
    <x v="366"/>
    <x v="1"/>
    <x v="3"/>
    <s v="Chicago"/>
    <s v="IL"/>
    <x v="366"/>
    <x v="0"/>
  </r>
  <r>
    <x v="366"/>
    <x v="1"/>
    <x v="4"/>
    <s v="Chicago"/>
    <s v="IL"/>
    <x v="366"/>
    <x v="0"/>
  </r>
  <r>
    <x v="366"/>
    <x v="1"/>
    <x v="5"/>
    <s v="Chicago"/>
    <s v="IL"/>
    <x v="366"/>
    <x v="0"/>
  </r>
  <r>
    <x v="366"/>
    <x v="1"/>
    <x v="6"/>
    <s v="Chicago"/>
    <s v="IL"/>
    <x v="366"/>
    <x v="0"/>
  </r>
  <r>
    <x v="366"/>
    <x v="1"/>
    <x v="51"/>
    <s v="Chicago"/>
    <s v="IL"/>
    <x v="366"/>
    <x v="0"/>
  </r>
  <r>
    <x v="367"/>
    <x v="0"/>
    <x v="8"/>
    <s v="HOFFMAN ESTATES"/>
    <s v="IL"/>
    <x v="367"/>
    <x v="155"/>
  </r>
  <r>
    <x v="367"/>
    <x v="0"/>
    <x v="29"/>
    <s v="HOFFMAN ESTATES"/>
    <s v="IL"/>
    <x v="367"/>
    <x v="155"/>
  </r>
  <r>
    <x v="367"/>
    <x v="0"/>
    <x v="19"/>
    <s v="HOFFMAN ESTATES"/>
    <s v="IL"/>
    <x v="367"/>
    <x v="155"/>
  </r>
  <r>
    <x v="368"/>
    <x v="0"/>
    <x v="0"/>
    <s v="Sugar Grove"/>
    <s v="IL"/>
    <x v="368"/>
    <x v="67"/>
  </r>
  <r>
    <x v="369"/>
    <x v="0"/>
    <x v="7"/>
    <s v="Oak Park"/>
    <s v="IL"/>
    <x v="369"/>
    <x v="73"/>
  </r>
  <r>
    <x v="369"/>
    <x v="0"/>
    <x v="8"/>
    <s v="Oak Park"/>
    <s v="IL"/>
    <x v="369"/>
    <x v="73"/>
  </r>
  <r>
    <x v="369"/>
    <x v="0"/>
    <x v="10"/>
    <s v="Oak Park"/>
    <s v="IL"/>
    <x v="369"/>
    <x v="73"/>
  </r>
  <r>
    <x v="369"/>
    <x v="0"/>
    <x v="11"/>
    <s v="Oak Park"/>
    <s v="IL"/>
    <x v="369"/>
    <x v="73"/>
  </r>
  <r>
    <x v="369"/>
    <x v="0"/>
    <x v="24"/>
    <s v="Oak Park"/>
    <s v="IL"/>
    <x v="369"/>
    <x v="73"/>
  </r>
  <r>
    <x v="369"/>
    <x v="0"/>
    <x v="25"/>
    <s v="Oak Park"/>
    <s v="IL"/>
    <x v="369"/>
    <x v="73"/>
  </r>
  <r>
    <x v="369"/>
    <x v="0"/>
    <x v="12"/>
    <s v="Oak Park"/>
    <s v="IL"/>
    <x v="369"/>
    <x v="73"/>
  </r>
  <r>
    <x v="369"/>
    <x v="0"/>
    <x v="27"/>
    <s v="Oak Park"/>
    <s v="IL"/>
    <x v="369"/>
    <x v="73"/>
  </r>
  <r>
    <x v="369"/>
    <x v="0"/>
    <x v="13"/>
    <s v="Oak Park"/>
    <s v="IL"/>
    <x v="369"/>
    <x v="73"/>
  </r>
  <r>
    <x v="369"/>
    <x v="0"/>
    <x v="16"/>
    <s v="Oak Park"/>
    <s v="IL"/>
    <x v="369"/>
    <x v="73"/>
  </r>
  <r>
    <x v="369"/>
    <x v="0"/>
    <x v="29"/>
    <s v="Oak Park"/>
    <s v="IL"/>
    <x v="369"/>
    <x v="73"/>
  </r>
  <r>
    <x v="369"/>
    <x v="0"/>
    <x v="35"/>
    <s v="Oak Park"/>
    <s v="IL"/>
    <x v="369"/>
    <x v="73"/>
  </r>
  <r>
    <x v="369"/>
    <x v="0"/>
    <x v="17"/>
    <s v="Oak Park"/>
    <s v="IL"/>
    <x v="369"/>
    <x v="73"/>
  </r>
  <r>
    <x v="369"/>
    <x v="0"/>
    <x v="18"/>
    <s v="Oak Park"/>
    <s v="IL"/>
    <x v="369"/>
    <x v="73"/>
  </r>
  <r>
    <x v="369"/>
    <x v="0"/>
    <x v="19"/>
    <s v="Oak Park"/>
    <s v="IL"/>
    <x v="369"/>
    <x v="73"/>
  </r>
  <r>
    <x v="370"/>
    <x v="1"/>
    <x v="8"/>
    <s v="Belleville"/>
    <s v="IL"/>
    <x v="370"/>
    <x v="70"/>
  </r>
  <r>
    <x v="370"/>
    <x v="1"/>
    <x v="13"/>
    <s v="Belleville"/>
    <s v="IL"/>
    <x v="370"/>
    <x v="70"/>
  </r>
  <r>
    <x v="371"/>
    <x v="0"/>
    <x v="29"/>
    <s v="Rosemont"/>
    <s v="IL"/>
    <x v="371"/>
    <x v="38"/>
  </r>
  <r>
    <x v="372"/>
    <x v="0"/>
    <x v="7"/>
    <s v="Swansea"/>
    <s v="IL"/>
    <x v="372"/>
    <x v="161"/>
  </r>
  <r>
    <x v="372"/>
    <x v="0"/>
    <x v="8"/>
    <s v="Swansea"/>
    <s v="IL"/>
    <x v="372"/>
    <x v="161"/>
  </r>
  <r>
    <x v="372"/>
    <x v="0"/>
    <x v="9"/>
    <s v="Swansea"/>
    <s v="IL"/>
    <x v="372"/>
    <x v="161"/>
  </r>
  <r>
    <x v="372"/>
    <x v="0"/>
    <x v="10"/>
    <s v="Swansea"/>
    <s v="IL"/>
    <x v="372"/>
    <x v="161"/>
  </r>
  <r>
    <x v="372"/>
    <x v="0"/>
    <x v="60"/>
    <s v="Swansea"/>
    <s v="IL"/>
    <x v="372"/>
    <x v="161"/>
  </r>
  <r>
    <x v="372"/>
    <x v="0"/>
    <x v="11"/>
    <s v="Swansea"/>
    <s v="IL"/>
    <x v="372"/>
    <x v="161"/>
  </r>
  <r>
    <x v="372"/>
    <x v="0"/>
    <x v="24"/>
    <s v="Swansea"/>
    <s v="IL"/>
    <x v="372"/>
    <x v="161"/>
  </r>
  <r>
    <x v="372"/>
    <x v="0"/>
    <x v="25"/>
    <s v="Swansea"/>
    <s v="IL"/>
    <x v="372"/>
    <x v="161"/>
  </r>
  <r>
    <x v="372"/>
    <x v="0"/>
    <x v="12"/>
    <s v="Swansea"/>
    <s v="IL"/>
    <x v="372"/>
    <x v="161"/>
  </r>
  <r>
    <x v="372"/>
    <x v="0"/>
    <x v="27"/>
    <s v="Swansea"/>
    <s v="IL"/>
    <x v="372"/>
    <x v="161"/>
  </r>
  <r>
    <x v="372"/>
    <x v="0"/>
    <x v="56"/>
    <s v="Swansea"/>
    <s v="IL"/>
    <x v="372"/>
    <x v="161"/>
  </r>
  <r>
    <x v="372"/>
    <x v="0"/>
    <x v="13"/>
    <s v="Swansea"/>
    <s v="IL"/>
    <x v="372"/>
    <x v="161"/>
  </r>
  <r>
    <x v="372"/>
    <x v="0"/>
    <x v="23"/>
    <s v="Swansea"/>
    <s v="IL"/>
    <x v="372"/>
    <x v="161"/>
  </r>
  <r>
    <x v="372"/>
    <x v="0"/>
    <x v="53"/>
    <s v="Swansea"/>
    <s v="IL"/>
    <x v="372"/>
    <x v="161"/>
  </r>
  <r>
    <x v="372"/>
    <x v="0"/>
    <x v="16"/>
    <s v="Swansea"/>
    <s v="IL"/>
    <x v="372"/>
    <x v="161"/>
  </r>
  <r>
    <x v="372"/>
    <x v="0"/>
    <x v="29"/>
    <s v="Swansea"/>
    <s v="IL"/>
    <x v="372"/>
    <x v="161"/>
  </r>
  <r>
    <x v="372"/>
    <x v="0"/>
    <x v="35"/>
    <s v="Swansea"/>
    <s v="IL"/>
    <x v="372"/>
    <x v="161"/>
  </r>
  <r>
    <x v="372"/>
    <x v="0"/>
    <x v="17"/>
    <s v="Swansea"/>
    <s v="IL"/>
    <x v="372"/>
    <x v="161"/>
  </r>
  <r>
    <x v="372"/>
    <x v="0"/>
    <x v="18"/>
    <s v="Swansea"/>
    <s v="IL"/>
    <x v="372"/>
    <x v="161"/>
  </r>
  <r>
    <x v="372"/>
    <x v="0"/>
    <x v="19"/>
    <s v="Swansea"/>
    <s v="IL"/>
    <x v="372"/>
    <x v="161"/>
  </r>
  <r>
    <x v="372"/>
    <x v="0"/>
    <x v="3"/>
    <s v="Swansea"/>
    <s v="IL"/>
    <x v="372"/>
    <x v="161"/>
  </r>
  <r>
    <x v="372"/>
    <x v="0"/>
    <x v="4"/>
    <s v="Swansea"/>
    <s v="IL"/>
    <x v="372"/>
    <x v="161"/>
  </r>
  <r>
    <x v="372"/>
    <x v="0"/>
    <x v="5"/>
    <s v="Swansea"/>
    <s v="IL"/>
    <x v="372"/>
    <x v="161"/>
  </r>
  <r>
    <x v="372"/>
    <x v="0"/>
    <x v="6"/>
    <s v="Swansea"/>
    <s v="IL"/>
    <x v="372"/>
    <x v="161"/>
  </r>
  <r>
    <x v="373"/>
    <x v="0"/>
    <x v="7"/>
    <s v="Saint Paul"/>
    <s v="MN"/>
    <x v="373"/>
    <x v="9"/>
  </r>
  <r>
    <x v="373"/>
    <x v="0"/>
    <x v="8"/>
    <s v="Saint Paul"/>
    <s v="MN"/>
    <x v="373"/>
    <x v="9"/>
  </r>
  <r>
    <x v="373"/>
    <x v="0"/>
    <x v="11"/>
    <s v="Saint Paul"/>
    <s v="MN"/>
    <x v="373"/>
    <x v="9"/>
  </r>
  <r>
    <x v="373"/>
    <x v="0"/>
    <x v="19"/>
    <s v="Saint Paul"/>
    <s v="MN"/>
    <x v="373"/>
    <x v="9"/>
  </r>
  <r>
    <x v="373"/>
    <x v="0"/>
    <x v="4"/>
    <s v="Saint Paul"/>
    <s v="MN"/>
    <x v="373"/>
    <x v="9"/>
  </r>
  <r>
    <x v="373"/>
    <x v="0"/>
    <x v="5"/>
    <s v="Saint Paul"/>
    <s v="MN"/>
    <x v="373"/>
    <x v="9"/>
  </r>
  <r>
    <x v="373"/>
    <x v="0"/>
    <x v="6"/>
    <s v="Saint Paul"/>
    <s v="MN"/>
    <x v="373"/>
    <x v="9"/>
  </r>
  <r>
    <x v="373"/>
    <x v="0"/>
    <x v="32"/>
    <s v="Saint Paul"/>
    <s v="MN"/>
    <x v="373"/>
    <x v="9"/>
  </r>
  <r>
    <x v="374"/>
    <x v="0"/>
    <x v="8"/>
    <s v="Silver Spring "/>
    <s v="MD"/>
    <x v="374"/>
    <x v="162"/>
  </r>
  <r>
    <x v="374"/>
    <x v="0"/>
    <x v="35"/>
    <s v="Silver Spring "/>
    <s v="MD"/>
    <x v="374"/>
    <x v="162"/>
  </r>
  <r>
    <x v="374"/>
    <x v="0"/>
    <x v="17"/>
    <s v="Silver Spring "/>
    <s v="MD"/>
    <x v="374"/>
    <x v="162"/>
  </r>
  <r>
    <x v="374"/>
    <x v="0"/>
    <x v="18"/>
    <s v="Silver Spring "/>
    <s v="MD"/>
    <x v="374"/>
    <x v="162"/>
  </r>
  <r>
    <x v="375"/>
    <x v="1"/>
    <x v="8"/>
    <s v="CHICAGO"/>
    <s v="IL"/>
    <x v="375"/>
    <x v="0"/>
  </r>
  <r>
    <x v="375"/>
    <x v="1"/>
    <x v="13"/>
    <s v="CHICAGO"/>
    <s v="IL"/>
    <x v="375"/>
    <x v="0"/>
  </r>
  <r>
    <x v="376"/>
    <x v="1"/>
    <x v="8"/>
    <s v="Lisle"/>
    <s v="IL"/>
    <x v="376"/>
    <x v="2"/>
  </r>
  <r>
    <x v="376"/>
    <x v="1"/>
    <x v="12"/>
    <s v="Lisle"/>
    <s v="IL"/>
    <x v="376"/>
    <x v="2"/>
  </r>
  <r>
    <x v="376"/>
    <x v="1"/>
    <x v="13"/>
    <s v="Lisle"/>
    <s v="IL"/>
    <x v="376"/>
    <x v="2"/>
  </r>
  <r>
    <x v="377"/>
    <x v="0"/>
    <x v="7"/>
    <s v="Chicago"/>
    <s v="IL"/>
    <x v="377"/>
    <x v="0"/>
  </r>
  <r>
    <x v="377"/>
    <x v="0"/>
    <x v="8"/>
    <s v="Chicago"/>
    <s v="IL"/>
    <x v="377"/>
    <x v="0"/>
  </r>
  <r>
    <x v="377"/>
    <x v="0"/>
    <x v="11"/>
    <s v="Chicago"/>
    <s v="IL"/>
    <x v="377"/>
    <x v="0"/>
  </r>
  <r>
    <x v="377"/>
    <x v="0"/>
    <x v="25"/>
    <s v="Chicago"/>
    <s v="IL"/>
    <x v="377"/>
    <x v="0"/>
  </r>
  <r>
    <x v="377"/>
    <x v="0"/>
    <x v="12"/>
    <s v="Chicago"/>
    <s v="IL"/>
    <x v="377"/>
    <x v="0"/>
  </r>
  <r>
    <x v="377"/>
    <x v="0"/>
    <x v="26"/>
    <s v="Chicago"/>
    <s v="IL"/>
    <x v="377"/>
    <x v="0"/>
  </r>
  <r>
    <x v="377"/>
    <x v="0"/>
    <x v="21"/>
    <s v="Chicago"/>
    <s v="IL"/>
    <x v="377"/>
    <x v="0"/>
  </r>
  <r>
    <x v="377"/>
    <x v="0"/>
    <x v="27"/>
    <s v="Chicago"/>
    <s v="IL"/>
    <x v="377"/>
    <x v="0"/>
  </r>
  <r>
    <x v="377"/>
    <x v="0"/>
    <x v="13"/>
    <s v="Chicago"/>
    <s v="IL"/>
    <x v="377"/>
    <x v="0"/>
  </r>
  <r>
    <x v="377"/>
    <x v="0"/>
    <x v="22"/>
    <s v="Chicago"/>
    <s v="IL"/>
    <x v="377"/>
    <x v="0"/>
  </r>
  <r>
    <x v="377"/>
    <x v="0"/>
    <x v="35"/>
    <s v="Chicago"/>
    <s v="IL"/>
    <x v="377"/>
    <x v="0"/>
  </r>
  <r>
    <x v="377"/>
    <x v="0"/>
    <x v="17"/>
    <s v="Chicago"/>
    <s v="IL"/>
    <x v="377"/>
    <x v="0"/>
  </r>
  <r>
    <x v="377"/>
    <x v="0"/>
    <x v="46"/>
    <s v="Chicago"/>
    <s v="IL"/>
    <x v="377"/>
    <x v="0"/>
  </r>
  <r>
    <x v="377"/>
    <x v="0"/>
    <x v="18"/>
    <s v="Chicago"/>
    <s v="IL"/>
    <x v="377"/>
    <x v="0"/>
  </r>
  <r>
    <x v="377"/>
    <x v="0"/>
    <x v="19"/>
    <s v="Chicago"/>
    <s v="IL"/>
    <x v="377"/>
    <x v="0"/>
  </r>
  <r>
    <x v="377"/>
    <x v="0"/>
    <x v="4"/>
    <s v="Chicago"/>
    <s v="IL"/>
    <x v="377"/>
    <x v="0"/>
  </r>
  <r>
    <x v="377"/>
    <x v="0"/>
    <x v="5"/>
    <s v="Chicago"/>
    <s v="IL"/>
    <x v="377"/>
    <x v="0"/>
  </r>
  <r>
    <x v="377"/>
    <x v="0"/>
    <x v="6"/>
    <s v="Chicago"/>
    <s v="IL"/>
    <x v="377"/>
    <x v="0"/>
  </r>
  <r>
    <x v="377"/>
    <x v="0"/>
    <x v="50"/>
    <s v="Chicago"/>
    <s v="IL"/>
    <x v="377"/>
    <x v="0"/>
  </r>
  <r>
    <x v="378"/>
    <x v="0"/>
    <x v="39"/>
    <s v="Schaumburg"/>
    <s v="IL"/>
    <x v="378"/>
    <x v="15"/>
  </r>
  <r>
    <x v="378"/>
    <x v="0"/>
    <x v="40"/>
    <s v="Schaumburg"/>
    <s v="IL"/>
    <x v="378"/>
    <x v="15"/>
  </r>
  <r>
    <x v="378"/>
    <x v="0"/>
    <x v="7"/>
    <s v="Schaumburg"/>
    <s v="IL"/>
    <x v="378"/>
    <x v="15"/>
  </r>
  <r>
    <x v="378"/>
    <x v="0"/>
    <x v="8"/>
    <s v="Schaumburg"/>
    <s v="IL"/>
    <x v="378"/>
    <x v="15"/>
  </r>
  <r>
    <x v="378"/>
    <x v="0"/>
    <x v="9"/>
    <s v="Schaumburg"/>
    <s v="IL"/>
    <x v="378"/>
    <x v="15"/>
  </r>
  <r>
    <x v="378"/>
    <x v="0"/>
    <x v="10"/>
    <s v="Schaumburg"/>
    <s v="IL"/>
    <x v="378"/>
    <x v="15"/>
  </r>
  <r>
    <x v="378"/>
    <x v="0"/>
    <x v="11"/>
    <s v="Schaumburg"/>
    <s v="IL"/>
    <x v="378"/>
    <x v="15"/>
  </r>
  <r>
    <x v="378"/>
    <x v="0"/>
    <x v="24"/>
    <s v="Schaumburg"/>
    <s v="IL"/>
    <x v="378"/>
    <x v="15"/>
  </r>
  <r>
    <x v="378"/>
    <x v="0"/>
    <x v="25"/>
    <s v="Schaumburg"/>
    <s v="IL"/>
    <x v="378"/>
    <x v="15"/>
  </r>
  <r>
    <x v="378"/>
    <x v="0"/>
    <x v="12"/>
    <s v="Schaumburg"/>
    <s v="IL"/>
    <x v="378"/>
    <x v="15"/>
  </r>
  <r>
    <x v="378"/>
    <x v="0"/>
    <x v="21"/>
    <s v="Schaumburg"/>
    <s v="IL"/>
    <x v="378"/>
    <x v="15"/>
  </r>
  <r>
    <x v="378"/>
    <x v="0"/>
    <x v="27"/>
    <s v="Schaumburg"/>
    <s v="IL"/>
    <x v="378"/>
    <x v="15"/>
  </r>
  <r>
    <x v="378"/>
    <x v="0"/>
    <x v="52"/>
    <s v="Schaumburg"/>
    <s v="IL"/>
    <x v="378"/>
    <x v="15"/>
  </r>
  <r>
    <x v="378"/>
    <x v="0"/>
    <x v="13"/>
    <s v="Schaumburg"/>
    <s v="IL"/>
    <x v="378"/>
    <x v="15"/>
  </r>
  <r>
    <x v="378"/>
    <x v="0"/>
    <x v="22"/>
    <s v="Schaumburg"/>
    <s v="IL"/>
    <x v="378"/>
    <x v="15"/>
  </r>
  <r>
    <x v="378"/>
    <x v="0"/>
    <x v="14"/>
    <s v="Schaumburg"/>
    <s v="IL"/>
    <x v="378"/>
    <x v="15"/>
  </r>
  <r>
    <x v="378"/>
    <x v="0"/>
    <x v="23"/>
    <s v="Schaumburg"/>
    <s v="IL"/>
    <x v="378"/>
    <x v="15"/>
  </r>
  <r>
    <x v="378"/>
    <x v="0"/>
    <x v="15"/>
    <s v="Schaumburg"/>
    <s v="IL"/>
    <x v="378"/>
    <x v="15"/>
  </r>
  <r>
    <x v="378"/>
    <x v="0"/>
    <x v="36"/>
    <s v="Schaumburg"/>
    <s v="IL"/>
    <x v="378"/>
    <x v="15"/>
  </r>
  <r>
    <x v="378"/>
    <x v="0"/>
    <x v="29"/>
    <s v="Schaumburg"/>
    <s v="IL"/>
    <x v="378"/>
    <x v="15"/>
  </r>
  <r>
    <x v="378"/>
    <x v="0"/>
    <x v="35"/>
    <s v="Schaumburg"/>
    <s v="IL"/>
    <x v="378"/>
    <x v="15"/>
  </r>
  <r>
    <x v="378"/>
    <x v="0"/>
    <x v="17"/>
    <s v="Schaumburg"/>
    <s v="IL"/>
    <x v="378"/>
    <x v="15"/>
  </r>
  <r>
    <x v="378"/>
    <x v="0"/>
    <x v="46"/>
    <s v="Schaumburg"/>
    <s v="IL"/>
    <x v="378"/>
    <x v="15"/>
  </r>
  <r>
    <x v="378"/>
    <x v="0"/>
    <x v="18"/>
    <s v="Schaumburg"/>
    <s v="IL"/>
    <x v="378"/>
    <x v="15"/>
  </r>
  <r>
    <x v="378"/>
    <x v="0"/>
    <x v="19"/>
    <s v="Schaumburg"/>
    <s v="IL"/>
    <x v="378"/>
    <x v="15"/>
  </r>
  <r>
    <x v="378"/>
    <x v="0"/>
    <x v="3"/>
    <s v="Schaumburg"/>
    <s v="IL"/>
    <x v="378"/>
    <x v="15"/>
  </r>
  <r>
    <x v="378"/>
    <x v="0"/>
    <x v="47"/>
    <s v="Schaumburg"/>
    <s v="IL"/>
    <x v="378"/>
    <x v="15"/>
  </r>
  <r>
    <x v="378"/>
    <x v="0"/>
    <x v="4"/>
    <s v="Schaumburg"/>
    <s v="IL"/>
    <x v="378"/>
    <x v="15"/>
  </r>
  <r>
    <x v="378"/>
    <x v="0"/>
    <x v="5"/>
    <s v="Schaumburg"/>
    <s v="IL"/>
    <x v="378"/>
    <x v="15"/>
  </r>
  <r>
    <x v="378"/>
    <x v="0"/>
    <x v="48"/>
    <s v="Schaumburg"/>
    <s v="IL"/>
    <x v="378"/>
    <x v="15"/>
  </r>
  <r>
    <x v="378"/>
    <x v="0"/>
    <x v="6"/>
    <s v="Schaumburg"/>
    <s v="IL"/>
    <x v="378"/>
    <x v="15"/>
  </r>
  <r>
    <x v="378"/>
    <x v="0"/>
    <x v="49"/>
    <s v="Schaumburg"/>
    <s v="IL"/>
    <x v="378"/>
    <x v="15"/>
  </r>
  <r>
    <x v="378"/>
    <x v="0"/>
    <x v="50"/>
    <s v="Schaumburg"/>
    <s v="IL"/>
    <x v="378"/>
    <x v="15"/>
  </r>
  <r>
    <x v="378"/>
    <x v="0"/>
    <x v="32"/>
    <s v="Schaumburg"/>
    <s v="IL"/>
    <x v="378"/>
    <x v="15"/>
  </r>
  <r>
    <x v="378"/>
    <x v="0"/>
    <x v="51"/>
    <s v="Schaumburg"/>
    <s v="IL"/>
    <x v="378"/>
    <x v="15"/>
  </r>
  <r>
    <x v="379"/>
    <x v="1"/>
    <x v="7"/>
    <s v="Kansas City"/>
    <s v="MO"/>
    <x v="379"/>
    <x v="90"/>
  </r>
  <r>
    <x v="379"/>
    <x v="1"/>
    <x v="8"/>
    <s v="Kansas City"/>
    <s v="MO"/>
    <x v="379"/>
    <x v="90"/>
  </r>
  <r>
    <x v="379"/>
    <x v="1"/>
    <x v="10"/>
    <s v="Kansas City"/>
    <s v="MO"/>
    <x v="379"/>
    <x v="90"/>
  </r>
  <r>
    <x v="379"/>
    <x v="1"/>
    <x v="11"/>
    <s v="Kansas City"/>
    <s v="MO"/>
    <x v="379"/>
    <x v="90"/>
  </r>
  <r>
    <x v="379"/>
    <x v="1"/>
    <x v="25"/>
    <s v="Kansas City"/>
    <s v="MO"/>
    <x v="379"/>
    <x v="90"/>
  </r>
  <r>
    <x v="379"/>
    <x v="1"/>
    <x v="12"/>
    <s v="Kansas City"/>
    <s v="MO"/>
    <x v="379"/>
    <x v="90"/>
  </r>
  <r>
    <x v="379"/>
    <x v="1"/>
    <x v="27"/>
    <s v="Kansas City"/>
    <s v="MO"/>
    <x v="379"/>
    <x v="90"/>
  </r>
  <r>
    <x v="379"/>
    <x v="1"/>
    <x v="16"/>
    <s v="Kansas City"/>
    <s v="MO"/>
    <x v="379"/>
    <x v="90"/>
  </r>
  <r>
    <x v="379"/>
    <x v="1"/>
    <x v="17"/>
    <s v="Kansas City"/>
    <s v="MO"/>
    <x v="379"/>
    <x v="90"/>
  </r>
  <r>
    <x v="379"/>
    <x v="1"/>
    <x v="18"/>
    <s v="Kansas City"/>
    <s v="MO"/>
    <x v="379"/>
    <x v="90"/>
  </r>
  <r>
    <x v="379"/>
    <x v="1"/>
    <x v="19"/>
    <s v="Kansas City"/>
    <s v="MO"/>
    <x v="379"/>
    <x v="90"/>
  </r>
  <r>
    <x v="380"/>
    <x v="1"/>
    <x v="13"/>
    <s v="LANSING"/>
    <s v="IL"/>
    <x v="380"/>
    <x v="163"/>
  </r>
  <r>
    <x v="381"/>
    <x v="1"/>
    <x v="0"/>
    <s v="Downers Grove"/>
    <s v="IL"/>
    <x v="381"/>
    <x v="11"/>
  </r>
  <r>
    <x v="382"/>
    <x v="0"/>
    <x v="8"/>
    <s v="Saint Charles"/>
    <s v="IL"/>
    <x v="382"/>
    <x v="164"/>
  </r>
  <r>
    <x v="382"/>
    <x v="0"/>
    <x v="11"/>
    <s v="Saint Charles"/>
    <s v="IL"/>
    <x v="382"/>
    <x v="164"/>
  </r>
  <r>
    <x v="382"/>
    <x v="0"/>
    <x v="12"/>
    <s v="Saint Charles"/>
    <s v="IL"/>
    <x v="382"/>
    <x v="164"/>
  </r>
  <r>
    <x v="382"/>
    <x v="0"/>
    <x v="13"/>
    <s v="Saint Charles"/>
    <s v="IL"/>
    <x v="382"/>
    <x v="164"/>
  </r>
  <r>
    <x v="382"/>
    <x v="0"/>
    <x v="18"/>
    <s v="Saint Charles"/>
    <s v="IL"/>
    <x v="382"/>
    <x v="164"/>
  </r>
  <r>
    <x v="382"/>
    <x v="0"/>
    <x v="19"/>
    <s v="Saint Charles"/>
    <s v="IL"/>
    <x v="382"/>
    <x v="164"/>
  </r>
  <r>
    <x v="383"/>
    <x v="0"/>
    <x v="20"/>
    <s v="Naperville"/>
    <s v="IL"/>
    <x v="383"/>
    <x v="52"/>
  </r>
  <r>
    <x v="384"/>
    <x v="0"/>
    <x v="29"/>
    <s v="Shorewood"/>
    <s v="IL"/>
    <x v="384"/>
    <x v="165"/>
  </r>
  <r>
    <x v="385"/>
    <x v="0"/>
    <x v="59"/>
    <s v="Memphis"/>
    <s v="TN"/>
    <x v="385"/>
    <x v="166"/>
  </r>
  <r>
    <x v="385"/>
    <x v="0"/>
    <x v="41"/>
    <s v="Memphis"/>
    <s v="TN"/>
    <x v="385"/>
    <x v="166"/>
  </r>
  <r>
    <x v="385"/>
    <x v="0"/>
    <x v="42"/>
    <s v="Memphis"/>
    <s v="TN"/>
    <x v="385"/>
    <x v="166"/>
  </r>
  <r>
    <x v="385"/>
    <x v="0"/>
    <x v="43"/>
    <s v="Memphis"/>
    <s v="TN"/>
    <x v="385"/>
    <x v="166"/>
  </r>
  <r>
    <x v="385"/>
    <x v="0"/>
    <x v="55"/>
    <s v="Memphis"/>
    <s v="TN"/>
    <x v="385"/>
    <x v="166"/>
  </r>
  <r>
    <x v="385"/>
    <x v="0"/>
    <x v="13"/>
    <s v="Memphis"/>
    <s v="TN"/>
    <x v="385"/>
    <x v="166"/>
  </r>
  <r>
    <x v="385"/>
    <x v="0"/>
    <x v="28"/>
    <s v="Memphis"/>
    <s v="TN"/>
    <x v="385"/>
    <x v="166"/>
  </r>
  <r>
    <x v="386"/>
    <x v="0"/>
    <x v="7"/>
    <s v="Mattoon"/>
    <s v="IL"/>
    <x v="386"/>
    <x v="167"/>
  </r>
  <r>
    <x v="386"/>
    <x v="0"/>
    <x v="8"/>
    <s v="Mattoon"/>
    <s v="IL"/>
    <x v="386"/>
    <x v="167"/>
  </r>
  <r>
    <x v="386"/>
    <x v="0"/>
    <x v="11"/>
    <s v="Mattoon"/>
    <s v="IL"/>
    <x v="386"/>
    <x v="167"/>
  </r>
  <r>
    <x v="386"/>
    <x v="0"/>
    <x v="24"/>
    <s v="Mattoon"/>
    <s v="IL"/>
    <x v="386"/>
    <x v="167"/>
  </r>
  <r>
    <x v="386"/>
    <x v="0"/>
    <x v="25"/>
    <s v="Mattoon"/>
    <s v="IL"/>
    <x v="386"/>
    <x v="167"/>
  </r>
  <r>
    <x v="386"/>
    <x v="0"/>
    <x v="12"/>
    <s v="Mattoon"/>
    <s v="IL"/>
    <x v="386"/>
    <x v="167"/>
  </r>
  <r>
    <x v="386"/>
    <x v="0"/>
    <x v="27"/>
    <s v="Mattoon"/>
    <s v="IL"/>
    <x v="386"/>
    <x v="167"/>
  </r>
  <r>
    <x v="386"/>
    <x v="0"/>
    <x v="13"/>
    <s v="Mattoon"/>
    <s v="IL"/>
    <x v="386"/>
    <x v="167"/>
  </r>
  <r>
    <x v="386"/>
    <x v="0"/>
    <x v="16"/>
    <s v="Mattoon"/>
    <s v="IL"/>
    <x v="386"/>
    <x v="167"/>
  </r>
  <r>
    <x v="386"/>
    <x v="0"/>
    <x v="29"/>
    <s v="Mattoon"/>
    <s v="IL"/>
    <x v="386"/>
    <x v="167"/>
  </r>
  <r>
    <x v="386"/>
    <x v="0"/>
    <x v="35"/>
    <s v="Mattoon"/>
    <s v="IL"/>
    <x v="386"/>
    <x v="167"/>
  </r>
  <r>
    <x v="386"/>
    <x v="0"/>
    <x v="17"/>
    <s v="Mattoon"/>
    <s v="IL"/>
    <x v="386"/>
    <x v="167"/>
  </r>
  <r>
    <x v="386"/>
    <x v="0"/>
    <x v="18"/>
    <s v="Mattoon"/>
    <s v="IL"/>
    <x v="386"/>
    <x v="167"/>
  </r>
  <r>
    <x v="386"/>
    <x v="0"/>
    <x v="4"/>
    <s v="Mattoon"/>
    <s v="IL"/>
    <x v="386"/>
    <x v="167"/>
  </r>
  <r>
    <x v="386"/>
    <x v="0"/>
    <x v="5"/>
    <s v="Mattoon"/>
    <s v="IL"/>
    <x v="386"/>
    <x v="167"/>
  </r>
  <r>
    <x v="387"/>
    <x v="0"/>
    <x v="14"/>
    <s v="Plainfield"/>
    <s v="IL"/>
    <x v="387"/>
    <x v="85"/>
  </r>
  <r>
    <x v="388"/>
    <x v="1"/>
    <x v="0"/>
    <s v="St. Louis"/>
    <s v="MO"/>
    <x v="388"/>
    <x v="41"/>
  </r>
  <r>
    <x v="388"/>
    <x v="1"/>
    <x v="30"/>
    <s v="St. Louis"/>
    <s v="MO"/>
    <x v="388"/>
    <x v="41"/>
  </r>
  <r>
    <x v="389"/>
    <x v="0"/>
    <x v="7"/>
    <s v="Woodridge"/>
    <s v="IL"/>
    <x v="389"/>
    <x v="109"/>
  </r>
  <r>
    <x v="389"/>
    <x v="0"/>
    <x v="8"/>
    <s v="Woodridge"/>
    <s v="IL"/>
    <x v="389"/>
    <x v="109"/>
  </r>
  <r>
    <x v="389"/>
    <x v="0"/>
    <x v="9"/>
    <s v="Woodridge"/>
    <s v="IL"/>
    <x v="389"/>
    <x v="109"/>
  </r>
  <r>
    <x v="389"/>
    <x v="0"/>
    <x v="10"/>
    <s v="Woodridge"/>
    <s v="IL"/>
    <x v="389"/>
    <x v="109"/>
  </r>
  <r>
    <x v="389"/>
    <x v="0"/>
    <x v="11"/>
    <s v="Woodridge"/>
    <s v="IL"/>
    <x v="389"/>
    <x v="109"/>
  </r>
  <r>
    <x v="389"/>
    <x v="0"/>
    <x v="24"/>
    <s v="Woodridge"/>
    <s v="IL"/>
    <x v="389"/>
    <x v="109"/>
  </r>
  <r>
    <x v="389"/>
    <x v="0"/>
    <x v="25"/>
    <s v="Woodridge"/>
    <s v="IL"/>
    <x v="389"/>
    <x v="109"/>
  </r>
  <r>
    <x v="389"/>
    <x v="0"/>
    <x v="12"/>
    <s v="Woodridge"/>
    <s v="IL"/>
    <x v="389"/>
    <x v="109"/>
  </r>
  <r>
    <x v="389"/>
    <x v="0"/>
    <x v="21"/>
    <s v="Woodridge"/>
    <s v="IL"/>
    <x v="389"/>
    <x v="109"/>
  </r>
  <r>
    <x v="389"/>
    <x v="0"/>
    <x v="27"/>
    <s v="Woodridge"/>
    <s v="IL"/>
    <x v="389"/>
    <x v="109"/>
  </r>
  <r>
    <x v="389"/>
    <x v="0"/>
    <x v="56"/>
    <s v="Woodridge"/>
    <s v="IL"/>
    <x v="389"/>
    <x v="109"/>
  </r>
  <r>
    <x v="389"/>
    <x v="0"/>
    <x v="13"/>
    <s v="Woodridge"/>
    <s v="IL"/>
    <x v="389"/>
    <x v="109"/>
  </r>
  <r>
    <x v="389"/>
    <x v="0"/>
    <x v="20"/>
    <s v="Woodridge"/>
    <s v="IL"/>
    <x v="389"/>
    <x v="109"/>
  </r>
  <r>
    <x v="389"/>
    <x v="0"/>
    <x v="14"/>
    <s v="Woodridge"/>
    <s v="IL"/>
    <x v="389"/>
    <x v="109"/>
  </r>
  <r>
    <x v="389"/>
    <x v="0"/>
    <x v="36"/>
    <s v="Woodridge"/>
    <s v="IL"/>
    <x v="389"/>
    <x v="109"/>
  </r>
  <r>
    <x v="389"/>
    <x v="0"/>
    <x v="16"/>
    <s v="Woodridge"/>
    <s v="IL"/>
    <x v="389"/>
    <x v="109"/>
  </r>
  <r>
    <x v="389"/>
    <x v="0"/>
    <x v="29"/>
    <s v="Woodridge"/>
    <s v="IL"/>
    <x v="389"/>
    <x v="109"/>
  </r>
  <r>
    <x v="389"/>
    <x v="0"/>
    <x v="35"/>
    <s v="Woodridge"/>
    <s v="IL"/>
    <x v="389"/>
    <x v="109"/>
  </r>
  <r>
    <x v="389"/>
    <x v="0"/>
    <x v="17"/>
    <s v="Woodridge"/>
    <s v="IL"/>
    <x v="389"/>
    <x v="109"/>
  </r>
  <r>
    <x v="389"/>
    <x v="0"/>
    <x v="18"/>
    <s v="Woodridge"/>
    <s v="IL"/>
    <x v="389"/>
    <x v="109"/>
  </r>
  <r>
    <x v="389"/>
    <x v="0"/>
    <x v="19"/>
    <s v="Woodridge"/>
    <s v="IL"/>
    <x v="389"/>
    <x v="109"/>
  </r>
  <r>
    <x v="389"/>
    <x v="0"/>
    <x v="3"/>
    <s v="Woodridge"/>
    <s v="IL"/>
    <x v="389"/>
    <x v="109"/>
  </r>
  <r>
    <x v="389"/>
    <x v="0"/>
    <x v="47"/>
    <s v="Woodridge"/>
    <s v="IL"/>
    <x v="389"/>
    <x v="109"/>
  </r>
  <r>
    <x v="389"/>
    <x v="0"/>
    <x v="4"/>
    <s v="Woodridge"/>
    <s v="IL"/>
    <x v="389"/>
    <x v="109"/>
  </r>
  <r>
    <x v="389"/>
    <x v="0"/>
    <x v="5"/>
    <s v="Woodridge"/>
    <s v="IL"/>
    <x v="389"/>
    <x v="109"/>
  </r>
  <r>
    <x v="389"/>
    <x v="0"/>
    <x v="48"/>
    <s v="Woodridge"/>
    <s v="IL"/>
    <x v="389"/>
    <x v="109"/>
  </r>
  <r>
    <x v="389"/>
    <x v="0"/>
    <x v="6"/>
    <s v="Woodridge"/>
    <s v="IL"/>
    <x v="389"/>
    <x v="109"/>
  </r>
  <r>
    <x v="389"/>
    <x v="0"/>
    <x v="32"/>
    <s v="Woodridge"/>
    <s v="IL"/>
    <x v="389"/>
    <x v="109"/>
  </r>
  <r>
    <x v="390"/>
    <x v="0"/>
    <x v="8"/>
    <s v="Lombard"/>
    <s v="IL"/>
    <x v="390"/>
    <x v="1"/>
  </r>
  <r>
    <x v="390"/>
    <x v="0"/>
    <x v="13"/>
    <s v="Lombard"/>
    <s v="IL"/>
    <x v="390"/>
    <x v="1"/>
  </r>
  <r>
    <x v="390"/>
    <x v="0"/>
    <x v="22"/>
    <s v="Lombard"/>
    <s v="IL"/>
    <x v="390"/>
    <x v="1"/>
  </r>
  <r>
    <x v="390"/>
    <x v="0"/>
    <x v="15"/>
    <s v="Lombard"/>
    <s v="IL"/>
    <x v="390"/>
    <x v="1"/>
  </r>
  <r>
    <x v="390"/>
    <x v="0"/>
    <x v="29"/>
    <s v="Lombard"/>
    <s v="IL"/>
    <x v="390"/>
    <x v="1"/>
  </r>
  <r>
    <x v="391"/>
    <x v="0"/>
    <x v="1"/>
    <s v="Byron"/>
    <s v="IL"/>
    <x v="391"/>
    <x v="168"/>
  </r>
  <r>
    <x v="392"/>
    <x v="0"/>
    <x v="29"/>
    <s v="Woodstock"/>
    <s v="IL"/>
    <x v="392"/>
    <x v="169"/>
  </r>
  <r>
    <x v="393"/>
    <x v="0"/>
    <x v="7"/>
    <s v="Springfield"/>
    <s v="IL"/>
    <x v="393"/>
    <x v="12"/>
  </r>
  <r>
    <x v="393"/>
    <x v="0"/>
    <x v="8"/>
    <s v="Springfield"/>
    <s v="IL"/>
    <x v="393"/>
    <x v="12"/>
  </r>
  <r>
    <x v="393"/>
    <x v="0"/>
    <x v="10"/>
    <s v="Springfield"/>
    <s v="IL"/>
    <x v="393"/>
    <x v="12"/>
  </r>
  <r>
    <x v="393"/>
    <x v="0"/>
    <x v="11"/>
    <s v="Springfield"/>
    <s v="IL"/>
    <x v="393"/>
    <x v="12"/>
  </r>
  <r>
    <x v="393"/>
    <x v="0"/>
    <x v="25"/>
    <s v="Springfield"/>
    <s v="IL"/>
    <x v="393"/>
    <x v="12"/>
  </r>
  <r>
    <x v="393"/>
    <x v="0"/>
    <x v="12"/>
    <s v="Springfield"/>
    <s v="IL"/>
    <x v="393"/>
    <x v="12"/>
  </r>
  <r>
    <x v="393"/>
    <x v="0"/>
    <x v="27"/>
    <s v="Springfield"/>
    <s v="IL"/>
    <x v="393"/>
    <x v="12"/>
  </r>
  <r>
    <x v="393"/>
    <x v="0"/>
    <x v="22"/>
    <s v="Springfield"/>
    <s v="IL"/>
    <x v="393"/>
    <x v="12"/>
  </r>
  <r>
    <x v="393"/>
    <x v="0"/>
    <x v="29"/>
    <s v="Springfield"/>
    <s v="IL"/>
    <x v="393"/>
    <x v="12"/>
  </r>
  <r>
    <x v="393"/>
    <x v="0"/>
    <x v="17"/>
    <s v="Springfield"/>
    <s v="IL"/>
    <x v="393"/>
    <x v="12"/>
  </r>
  <r>
    <x v="393"/>
    <x v="0"/>
    <x v="18"/>
    <s v="Springfield"/>
    <s v="IL"/>
    <x v="393"/>
    <x v="12"/>
  </r>
  <r>
    <x v="393"/>
    <x v="0"/>
    <x v="19"/>
    <s v="Springfield"/>
    <s v="IL"/>
    <x v="393"/>
    <x v="12"/>
  </r>
  <r>
    <x v="393"/>
    <x v="0"/>
    <x v="3"/>
    <s v="Springfield"/>
    <s v="IL"/>
    <x v="393"/>
    <x v="12"/>
  </r>
  <r>
    <x v="393"/>
    <x v="0"/>
    <x v="4"/>
    <s v="Springfield"/>
    <s v="IL"/>
    <x v="393"/>
    <x v="12"/>
  </r>
  <r>
    <x v="393"/>
    <x v="0"/>
    <x v="5"/>
    <s v="Springfield"/>
    <s v="IL"/>
    <x v="393"/>
    <x v="12"/>
  </r>
  <r>
    <x v="394"/>
    <x v="1"/>
    <x v="0"/>
    <s v="Fullerton"/>
    <s v="CA"/>
    <x v="394"/>
    <x v="170"/>
  </r>
  <r>
    <x v="395"/>
    <x v="0"/>
    <x v="39"/>
    <s v="Collinsville"/>
    <s v="IL"/>
    <x v="395"/>
    <x v="131"/>
  </r>
  <r>
    <x v="395"/>
    <x v="0"/>
    <x v="40"/>
    <s v="Collinsville"/>
    <s v="IL"/>
    <x v="395"/>
    <x v="131"/>
  </r>
  <r>
    <x v="395"/>
    <x v="0"/>
    <x v="7"/>
    <s v="Collinsville"/>
    <s v="IL"/>
    <x v="395"/>
    <x v="131"/>
  </r>
  <r>
    <x v="395"/>
    <x v="0"/>
    <x v="8"/>
    <s v="Collinsville"/>
    <s v="IL"/>
    <x v="395"/>
    <x v="131"/>
  </r>
  <r>
    <x v="395"/>
    <x v="0"/>
    <x v="10"/>
    <s v="Collinsville"/>
    <s v="IL"/>
    <x v="395"/>
    <x v="131"/>
  </r>
  <r>
    <x v="395"/>
    <x v="0"/>
    <x v="11"/>
    <s v="Collinsville"/>
    <s v="IL"/>
    <x v="395"/>
    <x v="131"/>
  </r>
  <r>
    <x v="395"/>
    <x v="0"/>
    <x v="24"/>
    <s v="Collinsville"/>
    <s v="IL"/>
    <x v="395"/>
    <x v="131"/>
  </r>
  <r>
    <x v="395"/>
    <x v="0"/>
    <x v="25"/>
    <s v="Collinsville"/>
    <s v="IL"/>
    <x v="395"/>
    <x v="131"/>
  </r>
  <r>
    <x v="395"/>
    <x v="0"/>
    <x v="12"/>
    <s v="Collinsville"/>
    <s v="IL"/>
    <x v="395"/>
    <x v="131"/>
  </r>
  <r>
    <x v="395"/>
    <x v="0"/>
    <x v="26"/>
    <s v="Collinsville"/>
    <s v="IL"/>
    <x v="395"/>
    <x v="131"/>
  </r>
  <r>
    <x v="395"/>
    <x v="0"/>
    <x v="21"/>
    <s v="Collinsville"/>
    <s v="IL"/>
    <x v="395"/>
    <x v="131"/>
  </r>
  <r>
    <x v="395"/>
    <x v="0"/>
    <x v="27"/>
    <s v="Collinsville"/>
    <s v="IL"/>
    <x v="395"/>
    <x v="131"/>
  </r>
  <r>
    <x v="395"/>
    <x v="0"/>
    <x v="56"/>
    <s v="Collinsville"/>
    <s v="IL"/>
    <x v="395"/>
    <x v="131"/>
  </r>
  <r>
    <x v="395"/>
    <x v="0"/>
    <x v="13"/>
    <s v="Collinsville"/>
    <s v="IL"/>
    <x v="395"/>
    <x v="131"/>
  </r>
  <r>
    <x v="395"/>
    <x v="0"/>
    <x v="53"/>
    <s v="Collinsville"/>
    <s v="IL"/>
    <x v="395"/>
    <x v="131"/>
  </r>
  <r>
    <x v="395"/>
    <x v="0"/>
    <x v="36"/>
    <s v="Collinsville"/>
    <s v="IL"/>
    <x v="395"/>
    <x v="131"/>
  </r>
  <r>
    <x v="395"/>
    <x v="0"/>
    <x v="29"/>
    <s v="Collinsville"/>
    <s v="IL"/>
    <x v="395"/>
    <x v="131"/>
  </r>
  <r>
    <x v="395"/>
    <x v="0"/>
    <x v="35"/>
    <s v="Collinsville"/>
    <s v="IL"/>
    <x v="395"/>
    <x v="131"/>
  </r>
  <r>
    <x v="395"/>
    <x v="0"/>
    <x v="17"/>
    <s v="Collinsville"/>
    <s v="IL"/>
    <x v="395"/>
    <x v="131"/>
  </r>
  <r>
    <x v="395"/>
    <x v="0"/>
    <x v="18"/>
    <s v="Collinsville"/>
    <s v="IL"/>
    <x v="395"/>
    <x v="131"/>
  </r>
  <r>
    <x v="395"/>
    <x v="0"/>
    <x v="19"/>
    <s v="Collinsville"/>
    <s v="IL"/>
    <x v="395"/>
    <x v="131"/>
  </r>
  <r>
    <x v="395"/>
    <x v="0"/>
    <x v="3"/>
    <s v="Collinsville"/>
    <s v="IL"/>
    <x v="395"/>
    <x v="131"/>
  </r>
  <r>
    <x v="395"/>
    <x v="0"/>
    <x v="47"/>
    <s v="Collinsville"/>
    <s v="IL"/>
    <x v="395"/>
    <x v="131"/>
  </r>
  <r>
    <x v="395"/>
    <x v="0"/>
    <x v="4"/>
    <s v="Collinsville"/>
    <s v="IL"/>
    <x v="395"/>
    <x v="131"/>
  </r>
  <r>
    <x v="395"/>
    <x v="0"/>
    <x v="5"/>
    <s v="Collinsville"/>
    <s v="IL"/>
    <x v="395"/>
    <x v="131"/>
  </r>
  <r>
    <x v="396"/>
    <x v="0"/>
    <x v="59"/>
    <s v="Lombard"/>
    <s v="IL"/>
    <x v="396"/>
    <x v="1"/>
  </r>
  <r>
    <x v="396"/>
    <x v="0"/>
    <x v="41"/>
    <s v="Lombard"/>
    <s v="IL"/>
    <x v="396"/>
    <x v="1"/>
  </r>
  <r>
    <x v="396"/>
    <x v="0"/>
    <x v="42"/>
    <s v="Lombard"/>
    <s v="IL"/>
    <x v="396"/>
    <x v="1"/>
  </r>
  <r>
    <x v="396"/>
    <x v="0"/>
    <x v="43"/>
    <s v="Lombard"/>
    <s v="IL"/>
    <x v="396"/>
    <x v="1"/>
  </r>
  <r>
    <x v="397"/>
    <x v="1"/>
    <x v="7"/>
    <s v="Chicago"/>
    <s v="IL"/>
    <x v="397"/>
    <x v="0"/>
  </r>
  <r>
    <x v="397"/>
    <x v="1"/>
    <x v="8"/>
    <s v="Chicago"/>
    <s v="IL"/>
    <x v="397"/>
    <x v="0"/>
  </r>
  <r>
    <x v="397"/>
    <x v="1"/>
    <x v="25"/>
    <s v="Chicago"/>
    <s v="IL"/>
    <x v="397"/>
    <x v="0"/>
  </r>
  <r>
    <x v="397"/>
    <x v="1"/>
    <x v="12"/>
    <s v="Chicago"/>
    <s v="IL"/>
    <x v="397"/>
    <x v="0"/>
  </r>
  <r>
    <x v="397"/>
    <x v="1"/>
    <x v="26"/>
    <s v="Chicago"/>
    <s v="IL"/>
    <x v="397"/>
    <x v="0"/>
  </r>
  <r>
    <x v="397"/>
    <x v="1"/>
    <x v="21"/>
    <s v="Chicago"/>
    <s v="IL"/>
    <x v="397"/>
    <x v="0"/>
  </r>
  <r>
    <x v="397"/>
    <x v="1"/>
    <x v="27"/>
    <s v="Chicago"/>
    <s v="IL"/>
    <x v="397"/>
    <x v="0"/>
  </r>
  <r>
    <x v="397"/>
    <x v="1"/>
    <x v="13"/>
    <s v="Chicago"/>
    <s v="IL"/>
    <x v="397"/>
    <x v="0"/>
  </r>
  <r>
    <x v="397"/>
    <x v="1"/>
    <x v="22"/>
    <s v="Chicago"/>
    <s v="IL"/>
    <x v="397"/>
    <x v="0"/>
  </r>
  <r>
    <x v="397"/>
    <x v="1"/>
    <x v="15"/>
    <s v="Chicago"/>
    <s v="IL"/>
    <x v="397"/>
    <x v="0"/>
  </r>
  <r>
    <x v="397"/>
    <x v="1"/>
    <x v="18"/>
    <s v="Chicago"/>
    <s v="IL"/>
    <x v="397"/>
    <x v="0"/>
  </r>
  <r>
    <x v="398"/>
    <x v="1"/>
    <x v="7"/>
    <s v="St. Charles"/>
    <s v="IL"/>
    <x v="398"/>
    <x v="146"/>
  </r>
  <r>
    <x v="398"/>
    <x v="1"/>
    <x v="8"/>
    <s v="St. Charles"/>
    <s v="IL"/>
    <x v="398"/>
    <x v="146"/>
  </r>
  <r>
    <x v="398"/>
    <x v="1"/>
    <x v="10"/>
    <s v="St. Charles"/>
    <s v="IL"/>
    <x v="398"/>
    <x v="146"/>
  </r>
  <r>
    <x v="398"/>
    <x v="1"/>
    <x v="11"/>
    <s v="St. Charles"/>
    <s v="IL"/>
    <x v="398"/>
    <x v="146"/>
  </r>
  <r>
    <x v="398"/>
    <x v="1"/>
    <x v="24"/>
    <s v="St. Charles"/>
    <s v="IL"/>
    <x v="398"/>
    <x v="146"/>
  </r>
  <r>
    <x v="398"/>
    <x v="1"/>
    <x v="25"/>
    <s v="St. Charles"/>
    <s v="IL"/>
    <x v="398"/>
    <x v="146"/>
  </r>
  <r>
    <x v="398"/>
    <x v="1"/>
    <x v="12"/>
    <s v="St. Charles"/>
    <s v="IL"/>
    <x v="398"/>
    <x v="146"/>
  </r>
  <r>
    <x v="398"/>
    <x v="1"/>
    <x v="27"/>
    <s v="St. Charles"/>
    <s v="IL"/>
    <x v="398"/>
    <x v="146"/>
  </r>
  <r>
    <x v="398"/>
    <x v="1"/>
    <x v="13"/>
    <s v="St. Charles"/>
    <s v="IL"/>
    <x v="398"/>
    <x v="146"/>
  </r>
  <r>
    <x v="398"/>
    <x v="1"/>
    <x v="35"/>
    <s v="St. Charles"/>
    <s v="IL"/>
    <x v="398"/>
    <x v="146"/>
  </r>
  <r>
    <x v="398"/>
    <x v="1"/>
    <x v="17"/>
    <s v="St. Charles"/>
    <s v="IL"/>
    <x v="398"/>
    <x v="146"/>
  </r>
  <r>
    <x v="398"/>
    <x v="1"/>
    <x v="18"/>
    <s v="St. Charles"/>
    <s v="IL"/>
    <x v="398"/>
    <x v="146"/>
  </r>
  <r>
    <x v="398"/>
    <x v="1"/>
    <x v="19"/>
    <s v="St. Charles"/>
    <s v="IL"/>
    <x v="398"/>
    <x v="146"/>
  </r>
  <r>
    <x v="398"/>
    <x v="1"/>
    <x v="3"/>
    <s v="St. Charles"/>
    <s v="IL"/>
    <x v="398"/>
    <x v="146"/>
  </r>
  <r>
    <x v="398"/>
    <x v="1"/>
    <x v="4"/>
    <s v="St. Charles"/>
    <s v="IL"/>
    <x v="398"/>
    <x v="146"/>
  </r>
  <r>
    <x v="398"/>
    <x v="1"/>
    <x v="5"/>
    <s v="St. Charles"/>
    <s v="IL"/>
    <x v="398"/>
    <x v="146"/>
  </r>
  <r>
    <x v="398"/>
    <x v="1"/>
    <x v="6"/>
    <s v="St. Charles"/>
    <s v="IL"/>
    <x v="398"/>
    <x v="146"/>
  </r>
  <r>
    <x v="399"/>
    <x v="0"/>
    <x v="1"/>
    <s v="Urbana"/>
    <s v="IL"/>
    <x v="399"/>
    <x v="32"/>
  </r>
  <r>
    <x v="399"/>
    <x v="0"/>
    <x v="2"/>
    <s v="Urbana"/>
    <s v="IL"/>
    <x v="399"/>
    <x v="32"/>
  </r>
  <r>
    <x v="400"/>
    <x v="1"/>
    <x v="14"/>
    <s v="Chicago"/>
    <s v="IL"/>
    <x v="400"/>
    <x v="0"/>
  </r>
  <r>
    <x v="401"/>
    <x v="0"/>
    <x v="8"/>
    <s v="Ellisville"/>
    <s v="MO"/>
    <x v="401"/>
    <x v="171"/>
  </r>
  <r>
    <x v="402"/>
    <x v="0"/>
    <x v="3"/>
    <s v="Spring Green"/>
    <s v="WI"/>
    <x v="402"/>
    <x v="172"/>
  </r>
  <r>
    <x v="402"/>
    <x v="0"/>
    <x v="4"/>
    <s v="Spring Green"/>
    <s v="WI"/>
    <x v="402"/>
    <x v="172"/>
  </r>
  <r>
    <x v="402"/>
    <x v="0"/>
    <x v="5"/>
    <s v="Spring Green"/>
    <s v="WI"/>
    <x v="402"/>
    <x v="172"/>
  </r>
  <r>
    <x v="402"/>
    <x v="0"/>
    <x v="6"/>
    <s v="Spring Green"/>
    <s v="WI"/>
    <x v="402"/>
    <x v="172"/>
  </r>
  <r>
    <x v="403"/>
    <x v="0"/>
    <x v="54"/>
    <s v="Lincolnshire"/>
    <s v="IL"/>
    <x v="403"/>
    <x v="4"/>
  </r>
  <r>
    <x v="403"/>
    <x v="0"/>
    <x v="20"/>
    <s v="Lincolnshire"/>
    <s v="IL"/>
    <x v="403"/>
    <x v="4"/>
  </r>
  <r>
    <x v="404"/>
    <x v="0"/>
    <x v="8"/>
    <s v="Las Vegas"/>
    <s v="NV"/>
    <x v="404"/>
    <x v="173"/>
  </r>
  <r>
    <x v="405"/>
    <x v="0"/>
    <x v="56"/>
    <s v="West Palm Beach"/>
    <s v="FL"/>
    <x v="405"/>
    <x v="174"/>
  </r>
  <r>
    <x v="405"/>
    <x v="0"/>
    <x v="53"/>
    <s v="West Palm Beach"/>
    <s v="FL"/>
    <x v="405"/>
    <x v="174"/>
  </r>
  <r>
    <x v="405"/>
    <x v="0"/>
    <x v="28"/>
    <s v="West Palm Beach"/>
    <s v="FL"/>
    <x v="405"/>
    <x v="174"/>
  </r>
  <r>
    <x v="406"/>
    <x v="0"/>
    <x v="51"/>
    <s v="Fort Lauderdale"/>
    <s v="FL"/>
    <x v="406"/>
    <x v="175"/>
  </r>
  <r>
    <x v="407"/>
    <x v="0"/>
    <x v="42"/>
    <s v="Springfield "/>
    <s v="IL"/>
    <x v="407"/>
    <x v="176"/>
  </r>
  <r>
    <x v="407"/>
    <x v="0"/>
    <x v="7"/>
    <s v="Springfield "/>
    <s v="IL"/>
    <x v="407"/>
    <x v="176"/>
  </r>
  <r>
    <x v="407"/>
    <x v="0"/>
    <x v="8"/>
    <s v="Springfield "/>
    <s v="IL"/>
    <x v="407"/>
    <x v="176"/>
  </r>
  <r>
    <x v="407"/>
    <x v="0"/>
    <x v="9"/>
    <s v="Springfield "/>
    <s v="IL"/>
    <x v="407"/>
    <x v="176"/>
  </r>
  <r>
    <x v="407"/>
    <x v="0"/>
    <x v="10"/>
    <s v="Springfield "/>
    <s v="IL"/>
    <x v="407"/>
    <x v="176"/>
  </r>
  <r>
    <x v="407"/>
    <x v="0"/>
    <x v="60"/>
    <s v="Springfield "/>
    <s v="IL"/>
    <x v="407"/>
    <x v="176"/>
  </r>
  <r>
    <x v="407"/>
    <x v="0"/>
    <x v="11"/>
    <s v="Springfield "/>
    <s v="IL"/>
    <x v="407"/>
    <x v="176"/>
  </r>
  <r>
    <x v="407"/>
    <x v="0"/>
    <x v="24"/>
    <s v="Springfield "/>
    <s v="IL"/>
    <x v="407"/>
    <x v="176"/>
  </r>
  <r>
    <x v="407"/>
    <x v="0"/>
    <x v="25"/>
    <s v="Springfield "/>
    <s v="IL"/>
    <x v="407"/>
    <x v="176"/>
  </r>
  <r>
    <x v="407"/>
    <x v="0"/>
    <x v="12"/>
    <s v="Springfield "/>
    <s v="IL"/>
    <x v="407"/>
    <x v="176"/>
  </r>
  <r>
    <x v="407"/>
    <x v="0"/>
    <x v="27"/>
    <s v="Springfield "/>
    <s v="IL"/>
    <x v="407"/>
    <x v="176"/>
  </r>
  <r>
    <x v="407"/>
    <x v="0"/>
    <x v="13"/>
    <s v="Springfield "/>
    <s v="IL"/>
    <x v="407"/>
    <x v="176"/>
  </r>
  <r>
    <x v="407"/>
    <x v="0"/>
    <x v="16"/>
    <s v="Springfield "/>
    <s v="IL"/>
    <x v="407"/>
    <x v="176"/>
  </r>
  <r>
    <x v="407"/>
    <x v="0"/>
    <x v="29"/>
    <s v="Springfield "/>
    <s v="IL"/>
    <x v="407"/>
    <x v="176"/>
  </r>
  <r>
    <x v="407"/>
    <x v="0"/>
    <x v="35"/>
    <s v="Springfield "/>
    <s v="IL"/>
    <x v="407"/>
    <x v="176"/>
  </r>
  <r>
    <x v="407"/>
    <x v="0"/>
    <x v="17"/>
    <s v="Springfield "/>
    <s v="IL"/>
    <x v="407"/>
    <x v="176"/>
  </r>
  <r>
    <x v="407"/>
    <x v="0"/>
    <x v="18"/>
    <s v="Springfield "/>
    <s v="IL"/>
    <x v="407"/>
    <x v="176"/>
  </r>
  <r>
    <x v="407"/>
    <x v="0"/>
    <x v="19"/>
    <s v="Springfield "/>
    <s v="IL"/>
    <x v="407"/>
    <x v="176"/>
  </r>
  <r>
    <x v="407"/>
    <x v="0"/>
    <x v="3"/>
    <s v="Springfield "/>
    <s v="IL"/>
    <x v="407"/>
    <x v="176"/>
  </r>
  <r>
    <x v="407"/>
    <x v="0"/>
    <x v="47"/>
    <s v="Springfield "/>
    <s v="IL"/>
    <x v="407"/>
    <x v="176"/>
  </r>
  <r>
    <x v="407"/>
    <x v="0"/>
    <x v="4"/>
    <s v="Springfield "/>
    <s v="IL"/>
    <x v="407"/>
    <x v="176"/>
  </r>
  <r>
    <x v="407"/>
    <x v="0"/>
    <x v="5"/>
    <s v="Springfield "/>
    <s v="IL"/>
    <x v="407"/>
    <x v="176"/>
  </r>
  <r>
    <x v="408"/>
    <x v="0"/>
    <x v="26"/>
    <s v="Spanish Fort"/>
    <s v="AL"/>
    <x v="408"/>
    <x v="177"/>
  </r>
  <r>
    <x v="408"/>
    <x v="0"/>
    <x v="21"/>
    <s v="Spanish Fort"/>
    <s v="AL"/>
    <x v="408"/>
    <x v="177"/>
  </r>
  <r>
    <x v="408"/>
    <x v="0"/>
    <x v="22"/>
    <s v="Spanish Fort"/>
    <s v="AL"/>
    <x v="408"/>
    <x v="177"/>
  </r>
  <r>
    <x v="408"/>
    <x v="0"/>
    <x v="23"/>
    <s v="Spanish Fort"/>
    <s v="AL"/>
    <x v="408"/>
    <x v="177"/>
  </r>
  <r>
    <x v="409"/>
    <x v="0"/>
    <x v="39"/>
    <s v="Darien"/>
    <s v="IL"/>
    <x v="409"/>
    <x v="178"/>
  </r>
  <r>
    <x v="409"/>
    <x v="0"/>
    <x v="7"/>
    <s v="Darien"/>
    <s v="IL"/>
    <x v="409"/>
    <x v="178"/>
  </r>
  <r>
    <x v="409"/>
    <x v="0"/>
    <x v="8"/>
    <s v="Darien"/>
    <s v="IL"/>
    <x v="409"/>
    <x v="178"/>
  </r>
  <r>
    <x v="409"/>
    <x v="0"/>
    <x v="10"/>
    <s v="Darien"/>
    <s v="IL"/>
    <x v="409"/>
    <x v="178"/>
  </r>
  <r>
    <x v="409"/>
    <x v="0"/>
    <x v="11"/>
    <s v="Darien"/>
    <s v="IL"/>
    <x v="409"/>
    <x v="178"/>
  </r>
  <r>
    <x v="409"/>
    <x v="0"/>
    <x v="24"/>
    <s v="Darien"/>
    <s v="IL"/>
    <x v="409"/>
    <x v="178"/>
  </r>
  <r>
    <x v="409"/>
    <x v="0"/>
    <x v="25"/>
    <s v="Darien"/>
    <s v="IL"/>
    <x v="409"/>
    <x v="178"/>
  </r>
  <r>
    <x v="409"/>
    <x v="0"/>
    <x v="12"/>
    <s v="Darien"/>
    <s v="IL"/>
    <x v="409"/>
    <x v="178"/>
  </r>
  <r>
    <x v="409"/>
    <x v="0"/>
    <x v="27"/>
    <s v="Darien"/>
    <s v="IL"/>
    <x v="409"/>
    <x v="178"/>
  </r>
  <r>
    <x v="409"/>
    <x v="0"/>
    <x v="13"/>
    <s v="Darien"/>
    <s v="IL"/>
    <x v="409"/>
    <x v="178"/>
  </r>
  <r>
    <x v="409"/>
    <x v="0"/>
    <x v="14"/>
    <s v="Darien"/>
    <s v="IL"/>
    <x v="409"/>
    <x v="178"/>
  </r>
  <r>
    <x v="409"/>
    <x v="0"/>
    <x v="36"/>
    <s v="Darien"/>
    <s v="IL"/>
    <x v="409"/>
    <x v="178"/>
  </r>
  <r>
    <x v="409"/>
    <x v="0"/>
    <x v="35"/>
    <s v="Darien"/>
    <s v="IL"/>
    <x v="409"/>
    <x v="178"/>
  </r>
  <r>
    <x v="409"/>
    <x v="0"/>
    <x v="17"/>
    <s v="Darien"/>
    <s v="IL"/>
    <x v="409"/>
    <x v="178"/>
  </r>
  <r>
    <x v="409"/>
    <x v="0"/>
    <x v="18"/>
    <s v="Darien"/>
    <s v="IL"/>
    <x v="409"/>
    <x v="178"/>
  </r>
  <r>
    <x v="409"/>
    <x v="0"/>
    <x v="19"/>
    <s v="Darien"/>
    <s v="IL"/>
    <x v="409"/>
    <x v="178"/>
  </r>
  <r>
    <x v="409"/>
    <x v="0"/>
    <x v="4"/>
    <s v="Darien"/>
    <s v="IL"/>
    <x v="409"/>
    <x v="178"/>
  </r>
  <r>
    <x v="409"/>
    <x v="0"/>
    <x v="50"/>
    <s v="Darien"/>
    <s v="IL"/>
    <x v="409"/>
    <x v="178"/>
  </r>
  <r>
    <x v="410"/>
    <x v="0"/>
    <x v="8"/>
    <s v="Dixon"/>
    <s v="IL"/>
    <x v="410"/>
    <x v="179"/>
  </r>
  <r>
    <x v="410"/>
    <x v="0"/>
    <x v="9"/>
    <s v="Dixon"/>
    <s v="IL"/>
    <x v="410"/>
    <x v="179"/>
  </r>
  <r>
    <x v="410"/>
    <x v="0"/>
    <x v="10"/>
    <s v="Dixon"/>
    <s v="IL"/>
    <x v="410"/>
    <x v="179"/>
  </r>
  <r>
    <x v="410"/>
    <x v="0"/>
    <x v="11"/>
    <s v="Dixon"/>
    <s v="IL"/>
    <x v="410"/>
    <x v="179"/>
  </r>
  <r>
    <x v="410"/>
    <x v="0"/>
    <x v="24"/>
    <s v="Dixon"/>
    <s v="IL"/>
    <x v="410"/>
    <x v="179"/>
  </r>
  <r>
    <x v="410"/>
    <x v="0"/>
    <x v="25"/>
    <s v="Dixon"/>
    <s v="IL"/>
    <x v="410"/>
    <x v="179"/>
  </r>
  <r>
    <x v="410"/>
    <x v="0"/>
    <x v="12"/>
    <s v="Dixon"/>
    <s v="IL"/>
    <x v="410"/>
    <x v="179"/>
  </r>
  <r>
    <x v="410"/>
    <x v="0"/>
    <x v="27"/>
    <s v="Dixon"/>
    <s v="IL"/>
    <x v="410"/>
    <x v="179"/>
  </r>
  <r>
    <x v="410"/>
    <x v="0"/>
    <x v="13"/>
    <s v="Dixon"/>
    <s v="IL"/>
    <x v="410"/>
    <x v="179"/>
  </r>
  <r>
    <x v="410"/>
    <x v="0"/>
    <x v="16"/>
    <s v="Dixon"/>
    <s v="IL"/>
    <x v="410"/>
    <x v="179"/>
  </r>
  <r>
    <x v="410"/>
    <x v="0"/>
    <x v="29"/>
    <s v="Dixon"/>
    <s v="IL"/>
    <x v="410"/>
    <x v="179"/>
  </r>
  <r>
    <x v="410"/>
    <x v="0"/>
    <x v="35"/>
    <s v="Dixon"/>
    <s v="IL"/>
    <x v="410"/>
    <x v="179"/>
  </r>
  <r>
    <x v="410"/>
    <x v="0"/>
    <x v="18"/>
    <s v="Dixon"/>
    <s v="IL"/>
    <x v="410"/>
    <x v="179"/>
  </r>
  <r>
    <x v="410"/>
    <x v="0"/>
    <x v="19"/>
    <s v="Dixon"/>
    <s v="IL"/>
    <x v="410"/>
    <x v="179"/>
  </r>
  <r>
    <x v="410"/>
    <x v="0"/>
    <x v="3"/>
    <s v="Dixon"/>
    <s v="IL"/>
    <x v="410"/>
    <x v="179"/>
  </r>
  <r>
    <x v="410"/>
    <x v="0"/>
    <x v="4"/>
    <s v="Dixon"/>
    <s v="IL"/>
    <x v="410"/>
    <x v="179"/>
  </r>
  <r>
    <x v="410"/>
    <x v="0"/>
    <x v="5"/>
    <s v="Dixon"/>
    <s v="IL"/>
    <x v="410"/>
    <x v="179"/>
  </r>
  <r>
    <x v="411"/>
    <x v="0"/>
    <x v="8"/>
    <s v="Northbrook"/>
    <s v="IL"/>
    <x v="411"/>
    <x v="50"/>
  </r>
  <r>
    <x v="411"/>
    <x v="0"/>
    <x v="22"/>
    <s v="Northbrook"/>
    <s v="IL"/>
    <x v="411"/>
    <x v="50"/>
  </r>
  <r>
    <x v="411"/>
    <x v="0"/>
    <x v="23"/>
    <s v="Northbrook"/>
    <s v="IL"/>
    <x v="411"/>
    <x v="50"/>
  </r>
  <r>
    <x v="411"/>
    <x v="0"/>
    <x v="3"/>
    <s v="Northbrook"/>
    <s v="IL"/>
    <x v="411"/>
    <x v="50"/>
  </r>
  <r>
    <x v="411"/>
    <x v="0"/>
    <x v="47"/>
    <s v="Northbrook"/>
    <s v="IL"/>
    <x v="411"/>
    <x v="50"/>
  </r>
  <r>
    <x v="411"/>
    <x v="0"/>
    <x v="4"/>
    <s v="Northbrook"/>
    <s v="IL"/>
    <x v="411"/>
    <x v="50"/>
  </r>
  <r>
    <x v="411"/>
    <x v="0"/>
    <x v="5"/>
    <s v="Northbrook"/>
    <s v="IL"/>
    <x v="411"/>
    <x v="50"/>
  </r>
  <r>
    <x v="411"/>
    <x v="0"/>
    <x v="48"/>
    <s v="Northbrook"/>
    <s v="IL"/>
    <x v="411"/>
    <x v="50"/>
  </r>
  <r>
    <x v="411"/>
    <x v="0"/>
    <x v="6"/>
    <s v="Northbrook"/>
    <s v="IL"/>
    <x v="411"/>
    <x v="50"/>
  </r>
  <r>
    <x v="411"/>
    <x v="0"/>
    <x v="49"/>
    <s v="Northbrook"/>
    <s v="IL"/>
    <x v="411"/>
    <x v="50"/>
  </r>
  <r>
    <x v="412"/>
    <x v="0"/>
    <x v="38"/>
    <s v="Dayton"/>
    <s v="OH"/>
    <x v="412"/>
    <x v="180"/>
  </r>
  <r>
    <x v="412"/>
    <x v="0"/>
    <x v="8"/>
    <s v="Dayton"/>
    <s v="OH"/>
    <x v="412"/>
    <x v="180"/>
  </r>
  <r>
    <x v="412"/>
    <x v="0"/>
    <x v="56"/>
    <s v="Dayton"/>
    <s v="OH"/>
    <x v="412"/>
    <x v="180"/>
  </r>
  <r>
    <x v="412"/>
    <x v="0"/>
    <x v="22"/>
    <s v="Dayton"/>
    <s v="OH"/>
    <x v="412"/>
    <x v="180"/>
  </r>
  <r>
    <x v="412"/>
    <x v="0"/>
    <x v="28"/>
    <s v="Dayton"/>
    <s v="OH"/>
    <x v="412"/>
    <x v="180"/>
  </r>
  <r>
    <x v="412"/>
    <x v="0"/>
    <x v="29"/>
    <s v="Dayton"/>
    <s v="OH"/>
    <x v="412"/>
    <x v="180"/>
  </r>
  <r>
    <x v="413"/>
    <x v="0"/>
    <x v="41"/>
    <s v="Peoria"/>
    <s v="IL"/>
    <x v="413"/>
    <x v="60"/>
  </r>
  <r>
    <x v="413"/>
    <x v="0"/>
    <x v="42"/>
    <s v="Peoria"/>
    <s v="IL"/>
    <x v="413"/>
    <x v="60"/>
  </r>
  <r>
    <x v="413"/>
    <x v="0"/>
    <x v="55"/>
    <s v="Peoria"/>
    <s v="IL"/>
    <x v="413"/>
    <x v="60"/>
  </r>
  <r>
    <x v="413"/>
    <x v="0"/>
    <x v="54"/>
    <s v="Peoria"/>
    <s v="IL"/>
    <x v="413"/>
    <x v="60"/>
  </r>
  <r>
    <x v="413"/>
    <x v="0"/>
    <x v="20"/>
    <s v="Peoria"/>
    <s v="IL"/>
    <x v="413"/>
    <x v="60"/>
  </r>
  <r>
    <x v="413"/>
    <x v="0"/>
    <x v="16"/>
    <s v="Peoria"/>
    <s v="IL"/>
    <x v="413"/>
    <x v="60"/>
  </r>
  <r>
    <x v="414"/>
    <x v="0"/>
    <x v="33"/>
    <s v="Chicago"/>
    <s v="IL"/>
    <x v="414"/>
    <x v="0"/>
  </r>
  <r>
    <x v="414"/>
    <x v="0"/>
    <x v="61"/>
    <s v="Chicago"/>
    <s v="IL"/>
    <x v="414"/>
    <x v="0"/>
  </r>
  <r>
    <x v="414"/>
    <x v="0"/>
    <x v="34"/>
    <s v="Chicago"/>
    <s v="IL"/>
    <x v="414"/>
    <x v="0"/>
  </r>
  <r>
    <x v="414"/>
    <x v="0"/>
    <x v="37"/>
    <s v="Chicago"/>
    <s v="IL"/>
    <x v="414"/>
    <x v="0"/>
  </r>
  <r>
    <x v="414"/>
    <x v="0"/>
    <x v="38"/>
    <s v="Chicago"/>
    <s v="IL"/>
    <x v="414"/>
    <x v="0"/>
  </r>
  <r>
    <x v="414"/>
    <x v="0"/>
    <x v="39"/>
    <s v="Chicago"/>
    <s v="IL"/>
    <x v="414"/>
    <x v="0"/>
  </r>
  <r>
    <x v="414"/>
    <x v="0"/>
    <x v="40"/>
    <s v="Chicago"/>
    <s v="IL"/>
    <x v="414"/>
    <x v="0"/>
  </r>
  <r>
    <x v="414"/>
    <x v="0"/>
    <x v="59"/>
    <s v="Chicago"/>
    <s v="IL"/>
    <x v="414"/>
    <x v="0"/>
  </r>
  <r>
    <x v="414"/>
    <x v="0"/>
    <x v="41"/>
    <s v="Chicago"/>
    <s v="IL"/>
    <x v="414"/>
    <x v="0"/>
  </r>
  <r>
    <x v="414"/>
    <x v="0"/>
    <x v="42"/>
    <s v="Chicago"/>
    <s v="IL"/>
    <x v="414"/>
    <x v="0"/>
  </r>
  <r>
    <x v="414"/>
    <x v="0"/>
    <x v="43"/>
    <s v="Chicago"/>
    <s v="IL"/>
    <x v="414"/>
    <x v="0"/>
  </r>
  <r>
    <x v="414"/>
    <x v="0"/>
    <x v="7"/>
    <s v="Chicago"/>
    <s v="IL"/>
    <x v="414"/>
    <x v="0"/>
  </r>
  <r>
    <x v="414"/>
    <x v="0"/>
    <x v="8"/>
    <s v="Chicago"/>
    <s v="IL"/>
    <x v="414"/>
    <x v="0"/>
  </r>
  <r>
    <x v="414"/>
    <x v="0"/>
    <x v="9"/>
    <s v="Chicago"/>
    <s v="IL"/>
    <x v="414"/>
    <x v="0"/>
  </r>
  <r>
    <x v="414"/>
    <x v="0"/>
    <x v="10"/>
    <s v="Chicago"/>
    <s v="IL"/>
    <x v="414"/>
    <x v="0"/>
  </r>
  <r>
    <x v="414"/>
    <x v="0"/>
    <x v="11"/>
    <s v="Chicago"/>
    <s v="IL"/>
    <x v="414"/>
    <x v="0"/>
  </r>
  <r>
    <x v="414"/>
    <x v="0"/>
    <x v="24"/>
    <s v="Chicago"/>
    <s v="IL"/>
    <x v="414"/>
    <x v="0"/>
  </r>
  <r>
    <x v="414"/>
    <x v="0"/>
    <x v="25"/>
    <s v="Chicago"/>
    <s v="IL"/>
    <x v="414"/>
    <x v="0"/>
  </r>
  <r>
    <x v="414"/>
    <x v="0"/>
    <x v="12"/>
    <s v="Chicago"/>
    <s v="IL"/>
    <x v="414"/>
    <x v="0"/>
  </r>
  <r>
    <x v="414"/>
    <x v="0"/>
    <x v="21"/>
    <s v="Chicago"/>
    <s v="IL"/>
    <x v="414"/>
    <x v="0"/>
  </r>
  <r>
    <x v="414"/>
    <x v="0"/>
    <x v="44"/>
    <s v="Chicago"/>
    <s v="IL"/>
    <x v="414"/>
    <x v="0"/>
  </r>
  <r>
    <x v="414"/>
    <x v="0"/>
    <x v="27"/>
    <s v="Chicago"/>
    <s v="IL"/>
    <x v="414"/>
    <x v="0"/>
  </r>
  <r>
    <x v="414"/>
    <x v="0"/>
    <x v="52"/>
    <s v="Chicago"/>
    <s v="IL"/>
    <x v="414"/>
    <x v="0"/>
  </r>
  <r>
    <x v="414"/>
    <x v="0"/>
    <x v="13"/>
    <s v="Chicago"/>
    <s v="IL"/>
    <x v="414"/>
    <x v="0"/>
  </r>
  <r>
    <x v="414"/>
    <x v="0"/>
    <x v="22"/>
    <s v="Chicago"/>
    <s v="IL"/>
    <x v="414"/>
    <x v="0"/>
  </r>
  <r>
    <x v="414"/>
    <x v="0"/>
    <x v="54"/>
    <s v="Chicago"/>
    <s v="IL"/>
    <x v="414"/>
    <x v="0"/>
  </r>
  <r>
    <x v="414"/>
    <x v="0"/>
    <x v="20"/>
    <s v="Chicago"/>
    <s v="IL"/>
    <x v="414"/>
    <x v="0"/>
  </r>
  <r>
    <x v="414"/>
    <x v="0"/>
    <x v="14"/>
    <s v="Chicago"/>
    <s v="IL"/>
    <x v="414"/>
    <x v="0"/>
  </r>
  <r>
    <x v="414"/>
    <x v="0"/>
    <x v="23"/>
    <s v="Chicago"/>
    <s v="IL"/>
    <x v="414"/>
    <x v="0"/>
  </r>
  <r>
    <x v="414"/>
    <x v="0"/>
    <x v="15"/>
    <s v="Chicago"/>
    <s v="IL"/>
    <x v="414"/>
    <x v="0"/>
  </r>
  <r>
    <x v="414"/>
    <x v="0"/>
    <x v="36"/>
    <s v="Chicago"/>
    <s v="IL"/>
    <x v="414"/>
    <x v="0"/>
  </r>
  <r>
    <x v="414"/>
    <x v="0"/>
    <x v="16"/>
    <s v="Chicago"/>
    <s v="IL"/>
    <x v="414"/>
    <x v="0"/>
  </r>
  <r>
    <x v="414"/>
    <x v="0"/>
    <x v="35"/>
    <s v="Chicago"/>
    <s v="IL"/>
    <x v="414"/>
    <x v="0"/>
  </r>
  <r>
    <x v="414"/>
    <x v="0"/>
    <x v="17"/>
    <s v="Chicago"/>
    <s v="IL"/>
    <x v="414"/>
    <x v="0"/>
  </r>
  <r>
    <x v="414"/>
    <x v="0"/>
    <x v="46"/>
    <s v="Chicago"/>
    <s v="IL"/>
    <x v="414"/>
    <x v="0"/>
  </r>
  <r>
    <x v="414"/>
    <x v="0"/>
    <x v="18"/>
    <s v="Chicago"/>
    <s v="IL"/>
    <x v="414"/>
    <x v="0"/>
  </r>
  <r>
    <x v="414"/>
    <x v="0"/>
    <x v="19"/>
    <s v="Chicago"/>
    <s v="IL"/>
    <x v="414"/>
    <x v="0"/>
  </r>
  <r>
    <x v="414"/>
    <x v="0"/>
    <x v="3"/>
    <s v="Chicago"/>
    <s v="IL"/>
    <x v="414"/>
    <x v="0"/>
  </r>
  <r>
    <x v="414"/>
    <x v="0"/>
    <x v="47"/>
    <s v="Chicago"/>
    <s v="IL"/>
    <x v="414"/>
    <x v="0"/>
  </r>
  <r>
    <x v="414"/>
    <x v="0"/>
    <x v="4"/>
    <s v="Chicago"/>
    <s v="IL"/>
    <x v="414"/>
    <x v="0"/>
  </r>
  <r>
    <x v="414"/>
    <x v="0"/>
    <x v="5"/>
    <s v="Chicago"/>
    <s v="IL"/>
    <x v="414"/>
    <x v="0"/>
  </r>
  <r>
    <x v="414"/>
    <x v="0"/>
    <x v="48"/>
    <s v="Chicago"/>
    <s v="IL"/>
    <x v="414"/>
    <x v="0"/>
  </r>
  <r>
    <x v="414"/>
    <x v="0"/>
    <x v="6"/>
    <s v="Chicago"/>
    <s v="IL"/>
    <x v="414"/>
    <x v="0"/>
  </r>
  <r>
    <x v="414"/>
    <x v="0"/>
    <x v="49"/>
    <s v="Chicago"/>
    <s v="IL"/>
    <x v="414"/>
    <x v="0"/>
  </r>
  <r>
    <x v="414"/>
    <x v="0"/>
    <x v="50"/>
    <s v="Chicago"/>
    <s v="IL"/>
    <x v="414"/>
    <x v="0"/>
  </r>
  <r>
    <x v="414"/>
    <x v="0"/>
    <x v="32"/>
    <s v="Chicago"/>
    <s v="IL"/>
    <x v="414"/>
    <x v="0"/>
  </r>
  <r>
    <x v="414"/>
    <x v="0"/>
    <x v="51"/>
    <s v="Chicago"/>
    <s v="IL"/>
    <x v="41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0D92B9-C8D7-419A-8942-EC81D7CEF203}" name="PivotTable1" cacheId="0" applyNumberFormats="0" applyBorderFormats="0" applyFontFormats="0" applyPatternFormats="0" applyAlignmentFormats="0" applyWidthHeightFormats="1" dataCaption="Values" updatedVersion="8" minRefreshableVersion="3" showDrill="0" preserveFormatting="0" rowGrandTotals="0" colGrandTotals="0" itemPrintTitles="1" createdVersion="7" indent="0" compact="0" compactData="0" multipleFieldFilters="0">
  <location ref="B3:F3515" firstHeaderRow="1" firstDataRow="1" firstDataCol="5"/>
  <pivotFields count="7">
    <pivotField axis="axisRow" compact="0" outline="0" showAll="0" sortType="ascending" defaultSubtota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1"/>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sd="0" x="410"/>
        <item x="411"/>
        <item x="412"/>
        <item x="413"/>
        <item x="414"/>
      </items>
    </pivotField>
    <pivotField axis="axisRow" compact="0" outline="0" showAll="0" defaultSubtotal="0">
      <items count="2">
        <item x="0"/>
        <item x="1"/>
      </items>
    </pivotField>
    <pivotField axis="axisRow" compact="0" outline="0" showAll="0" defaultSubtotal="0">
      <items count="62">
        <item x="33"/>
        <item x="61"/>
        <item x="34"/>
        <item x="37"/>
        <item x="38"/>
        <item x="39"/>
        <item x="40"/>
        <item x="59"/>
        <item x="41"/>
        <item x="42"/>
        <item x="43"/>
        <item x="7"/>
        <item x="8"/>
        <item x="9"/>
        <item x="10"/>
        <item x="11"/>
        <item x="24"/>
        <item x="25"/>
        <item x="12"/>
        <item x="26"/>
        <item x="21"/>
        <item x="44"/>
        <item x="27"/>
        <item x="56"/>
        <item x="52"/>
        <item x="55"/>
        <item x="13"/>
        <item x="22"/>
        <item x="54"/>
        <item x="20"/>
        <item x="14"/>
        <item x="23"/>
        <item x="53"/>
        <item x="15"/>
        <item x="36"/>
        <item x="57"/>
        <item x="58"/>
        <item x="16"/>
        <item x="0"/>
        <item x="28"/>
        <item x="29"/>
        <item x="35"/>
        <item x="17"/>
        <item x="46"/>
        <item x="18"/>
        <item x="19"/>
        <item x="3"/>
        <item x="47"/>
        <item x="4"/>
        <item x="5"/>
        <item x="48"/>
        <item x="6"/>
        <item x="49"/>
        <item x="50"/>
        <item x="32"/>
        <item x="51"/>
        <item x="1"/>
        <item x="2"/>
        <item x="45"/>
        <item x="30"/>
        <item x="31"/>
        <item x="60"/>
      </items>
    </pivotField>
    <pivotField compact="0" outline="0" subtotalTop="0" showAll="0" defaultSubtotal="0"/>
    <pivotField compact="0" outline="0" subtotalTop="0" showAll="0" defaultSubtotal="0"/>
    <pivotField axis="axisRow" compact="0" outline="0" subtotalTop="0" showAll="0" defaultSubtotal="0">
      <items count="415">
        <item x="96"/>
        <item x="281"/>
        <item x="246"/>
        <item x="339"/>
        <item x="334"/>
        <item x="38"/>
        <item x="179"/>
        <item x="22"/>
        <item x="50"/>
        <item x="402"/>
        <item x="5"/>
        <item x="283"/>
        <item x="185"/>
        <item x="403"/>
        <item x="154"/>
        <item x="163"/>
        <item x="167"/>
        <item x="61"/>
        <item x="214"/>
        <item x="349"/>
        <item x="324"/>
        <item x="325"/>
        <item x="410"/>
        <item x="184"/>
        <item x="351"/>
        <item x="103"/>
        <item x="178"/>
        <item x="182"/>
        <item x="390"/>
        <item x="292"/>
        <item x="42"/>
        <item x="144"/>
        <item x="134"/>
        <item x="275"/>
        <item x="126"/>
        <item x="203"/>
        <item x="172"/>
        <item x="7"/>
        <item x="20"/>
        <item x="199"/>
        <item x="19"/>
        <item x="397"/>
        <item x="280"/>
        <item x="190"/>
        <item x="247"/>
        <item x="404"/>
        <item x="111"/>
        <item x="377"/>
        <item x="121"/>
        <item x="269"/>
        <item x="192"/>
        <item x="270"/>
        <item x="300"/>
        <item x="321"/>
        <item x="78"/>
        <item x="230"/>
        <item x="25"/>
        <item x="53"/>
        <item x="117"/>
        <item x="329"/>
        <item x="259"/>
        <item x="386"/>
        <item x="258"/>
        <item x="125"/>
        <item x="209"/>
        <item x="142"/>
        <item x="371"/>
        <item x="198"/>
        <item x="169"/>
        <item x="262"/>
        <item x="136"/>
        <item x="52"/>
        <item x="181"/>
        <item x="83"/>
        <item x="295"/>
        <item x="132"/>
        <item x="13"/>
        <item x="101"/>
        <item x="229"/>
        <item x="26"/>
        <item x="215"/>
        <item x="141"/>
        <item x="31"/>
        <item x="112"/>
        <item x="173"/>
        <item x="94"/>
        <item x="331"/>
        <item x="17"/>
        <item x="186"/>
        <item x="128"/>
        <item x="51"/>
        <item x="46"/>
        <item x="310"/>
        <item x="395"/>
        <item x="344"/>
        <item x="359"/>
        <item x="79"/>
        <item x="249"/>
        <item x="71"/>
        <item x="90"/>
        <item x="92"/>
        <item x="9"/>
        <item x="304"/>
        <item x="58"/>
        <item x="168"/>
        <item x="322"/>
        <item x="362"/>
        <item x="127"/>
        <item x="411"/>
        <item x="70"/>
        <item x="29"/>
        <item x="408"/>
        <item x="139"/>
        <item x="255"/>
        <item x="188"/>
        <item x="24"/>
        <item x="227"/>
        <item x="210"/>
        <item x="148"/>
        <item x="87"/>
        <item x="60"/>
        <item x="149"/>
        <item x="115"/>
        <item x="213"/>
        <item x="160"/>
        <item x="221"/>
        <item x="224"/>
        <item x="76"/>
        <item x="98"/>
        <item x="357"/>
        <item x="23"/>
        <item x="348"/>
        <item x="379"/>
        <item x="267"/>
        <item x="116"/>
        <item x="385"/>
        <item x="285"/>
        <item x="363"/>
        <item x="389"/>
        <item x="212"/>
        <item x="360"/>
        <item x="294"/>
        <item x="122"/>
        <item x="370"/>
        <item x="301"/>
        <item x="129"/>
        <item x="3"/>
        <item x="401"/>
        <item x="358"/>
        <item x="187"/>
        <item x="236"/>
        <item x="156"/>
        <item x="340"/>
        <item x="373"/>
        <item x="311"/>
        <item x="73"/>
        <item x="113"/>
        <item x="237"/>
        <item x="145"/>
        <item x="235"/>
        <item x="57"/>
        <item x="393"/>
        <item x="288"/>
        <item x="356"/>
        <item x="47"/>
        <item x="312"/>
        <item x="355"/>
        <item x="234"/>
        <item x="387"/>
        <item x="64"/>
        <item x="207"/>
        <item x="409"/>
        <item x="253"/>
        <item x="383"/>
        <item x="152"/>
        <item x="222"/>
        <item x="217"/>
        <item x="88"/>
        <item x="43"/>
        <item x="308"/>
        <item x="74"/>
        <item x="40"/>
        <item x="36"/>
        <item x="365"/>
        <item x="287"/>
        <item x="330"/>
        <item x="72"/>
        <item x="100"/>
        <item x="252"/>
        <item x="211"/>
        <item x="159"/>
        <item x="196"/>
        <item x="375"/>
        <item x="77"/>
        <item x="232"/>
        <item x="242"/>
        <item x="239"/>
        <item x="28"/>
        <item x="307"/>
        <item x="171"/>
        <item x="82"/>
        <item x="4"/>
        <item x="165"/>
        <item x="366"/>
        <item x="48"/>
        <item x="6"/>
        <item x="372"/>
        <item x="97"/>
        <item x="305"/>
        <item x="345"/>
        <item x="244"/>
        <item x="320"/>
        <item x="274"/>
        <item x="293"/>
        <item x="302"/>
        <item x="147"/>
        <item x="338"/>
        <item x="89"/>
        <item x="32"/>
        <item x="382"/>
        <item x="218"/>
        <item x="223"/>
        <item x="297"/>
        <item x="15"/>
        <item x="67"/>
        <item x="105"/>
        <item x="220"/>
        <item x="84"/>
        <item x="364"/>
        <item x="109"/>
        <item x="405"/>
        <item x="30"/>
        <item x="135"/>
        <item x="66"/>
        <item x="150"/>
        <item x="407"/>
        <item x="337"/>
        <item x="241"/>
        <item x="75"/>
        <item x="361"/>
        <item x="254"/>
        <item x="352"/>
        <item x="68"/>
        <item x="200"/>
        <item x="273"/>
        <item x="174"/>
        <item x="296"/>
        <item x="248"/>
        <item x="14"/>
        <item x="336"/>
        <item x="245"/>
        <item x="65"/>
        <item x="261"/>
        <item x="44"/>
        <item x="369"/>
        <item x="191"/>
        <item x="202"/>
        <item x="130"/>
        <item x="271"/>
        <item x="86"/>
        <item x="251"/>
        <item x="180"/>
        <item x="176"/>
        <item x="175"/>
        <item x="376"/>
        <item x="119"/>
        <item x="309"/>
        <item x="8"/>
        <item x="99"/>
        <item x="228"/>
        <item x="354"/>
        <item x="27"/>
        <item x="11"/>
        <item x="138"/>
        <item x="166"/>
        <item x="250"/>
        <item x="265"/>
        <item x="189"/>
        <item x="197"/>
        <item x="278"/>
        <item x="313"/>
        <item x="107"/>
        <item x="118"/>
        <item x="342"/>
        <item x="34"/>
        <item x="120"/>
        <item x="350"/>
        <item x="412"/>
        <item x="414"/>
        <item x="164"/>
        <item x="195"/>
        <item x="35"/>
        <item x="55"/>
        <item x="80"/>
        <item x="316"/>
        <item x="394"/>
        <item x="137"/>
        <item x="158"/>
        <item x="392"/>
        <item x="290"/>
        <item x="1"/>
        <item x="59"/>
        <item x="183"/>
        <item x="257"/>
        <item x="114"/>
        <item x="303"/>
        <item x="131"/>
        <item x="108"/>
        <item x="226"/>
        <item x="368"/>
        <item x="95"/>
        <item x="151"/>
        <item x="343"/>
        <item x="319"/>
        <item x="162"/>
        <item x="193"/>
        <item x="256"/>
        <item x="85"/>
        <item x="91"/>
        <item x="170"/>
        <item x="276"/>
        <item x="291"/>
        <item x="400"/>
        <item x="54"/>
        <item x="146"/>
        <item x="326"/>
        <item x="346"/>
        <item x="56"/>
        <item x="323"/>
        <item x="219"/>
        <item x="378"/>
        <item x="381"/>
        <item x="208"/>
        <item x="62"/>
        <item x="396"/>
        <item x="157"/>
        <item x="286"/>
        <item x="0"/>
        <item x="2"/>
        <item x="104"/>
        <item x="318"/>
        <item x="110"/>
        <item x="388"/>
        <item x="12"/>
        <item x="327"/>
        <item x="33"/>
        <item x="69"/>
        <item x="216"/>
        <item x="332"/>
        <item x="391"/>
        <item x="206"/>
        <item x="306"/>
        <item x="21"/>
        <item x="260"/>
        <item x="140"/>
        <item x="279"/>
        <item x="16"/>
        <item x="341"/>
        <item x="353"/>
        <item x="398"/>
        <item x="39"/>
        <item x="63"/>
        <item x="201"/>
        <item x="238"/>
        <item x="298"/>
        <item x="367"/>
        <item x="374"/>
        <item x="81"/>
        <item x="123"/>
        <item x="124"/>
        <item x="282"/>
        <item x="45"/>
        <item x="106"/>
        <item x="225"/>
        <item x="268"/>
        <item x="289"/>
        <item x="299"/>
        <item x="314"/>
        <item x="317"/>
        <item x="347"/>
        <item x="155"/>
        <item x="143"/>
        <item x="272"/>
        <item x="194"/>
        <item x="204"/>
        <item x="243"/>
        <item x="41"/>
        <item x="161"/>
        <item x="205"/>
        <item x="240"/>
        <item x="263"/>
        <item x="264"/>
        <item x="284"/>
        <item x="413"/>
        <item x="133"/>
        <item x="406"/>
        <item x="153"/>
        <item x="266"/>
        <item x="10"/>
        <item x="37"/>
        <item x="231"/>
        <item x="380"/>
        <item x="399"/>
        <item x="18"/>
        <item x="93"/>
        <item x="177"/>
        <item x="315"/>
        <item x="333"/>
        <item x="335"/>
        <item x="384"/>
        <item x="49"/>
        <item x="102"/>
        <item x="233"/>
        <item x="277"/>
        <item x="328"/>
      </items>
    </pivotField>
    <pivotField name="CITY, STATE" axis="axisRow" compact="0" outline="0" subtotalTop="0" showAll="0" defaultSubtotal="0">
      <items count="181">
        <item x="149"/>
        <item x="118"/>
        <item x="17"/>
        <item x="156"/>
        <item x="8"/>
        <item x="70"/>
        <item x="45"/>
        <item x="71"/>
        <item x="76"/>
        <item x="101"/>
        <item x="115"/>
        <item x="87"/>
        <item x="64"/>
        <item x="3"/>
        <item x="91"/>
        <item x="159"/>
        <item x="138"/>
        <item x="16"/>
        <item x="20"/>
        <item x="66"/>
        <item x="131"/>
        <item x="139"/>
        <item x="28"/>
        <item x="178"/>
        <item x="180"/>
        <item x="48"/>
        <item x="179"/>
        <item x="11"/>
        <item x="132"/>
        <item x="84"/>
        <item x="125"/>
        <item x="25"/>
        <item x="114"/>
        <item x="126"/>
        <item x="80"/>
        <item x="46"/>
        <item x="171"/>
        <item x="158"/>
        <item x="75"/>
        <item x="160"/>
        <item x="37"/>
        <item x="157"/>
        <item x="49"/>
        <item x="108"/>
        <item x="36"/>
        <item x="95"/>
        <item x="83"/>
        <item x="107"/>
        <item x="155"/>
        <item x="104"/>
        <item x="10"/>
        <item x="137"/>
        <item x="33"/>
        <item x="31"/>
        <item x="27"/>
        <item x="86"/>
        <item x="54"/>
        <item x="90"/>
        <item x="140"/>
        <item x="106"/>
        <item x="173"/>
        <item x="153"/>
        <item x="74"/>
        <item x="4"/>
        <item x="100"/>
        <item x="2"/>
        <item x="1"/>
        <item x="18"/>
        <item x="44"/>
        <item x="29"/>
        <item x="167"/>
        <item x="166"/>
        <item x="123"/>
        <item x="42"/>
        <item x="151"/>
        <item x="93"/>
        <item x="127"/>
        <item x="103"/>
        <item x="52"/>
        <item x="14"/>
        <item x="122"/>
        <item x="82"/>
        <item x="50"/>
        <item x="73"/>
        <item x="43"/>
        <item x="92"/>
        <item x="143"/>
        <item x="26"/>
        <item x="63"/>
        <item x="120"/>
        <item x="88"/>
        <item x="60"/>
        <item x="47"/>
        <item x="61"/>
        <item x="124"/>
        <item x="85"/>
        <item x="110"/>
        <item x="72"/>
        <item x="39"/>
        <item x="99"/>
        <item x="116"/>
        <item x="38"/>
        <item x="164"/>
        <item x="53"/>
        <item x="9"/>
        <item x="15"/>
        <item x="130"/>
        <item x="7"/>
        <item x="177"/>
        <item x="172"/>
        <item x="176"/>
        <item x="12"/>
        <item x="146"/>
        <item x="41"/>
        <item x="67"/>
        <item x="161"/>
        <item x="51"/>
        <item x="32"/>
        <item x="78"/>
        <item x="148"/>
        <item x="89"/>
        <item x="68"/>
        <item x="111"/>
        <item x="174"/>
        <item x="81"/>
        <item x="113"/>
        <item x="133"/>
        <item x="96"/>
        <item x="129"/>
        <item x="109"/>
        <item x="169"/>
        <item x="94"/>
        <item x="150"/>
        <item x="77"/>
        <item x="22"/>
        <item x="23"/>
        <item x="145"/>
        <item x="40"/>
        <item x="57"/>
        <item x="112"/>
        <item x="6"/>
        <item x="102"/>
        <item x="121"/>
        <item x="135"/>
        <item x="13"/>
        <item x="170"/>
        <item x="35"/>
        <item x="62"/>
        <item x="141"/>
        <item x="142"/>
        <item x="69"/>
        <item x="97"/>
        <item x="55"/>
        <item x="136"/>
        <item x="34"/>
        <item x="152"/>
        <item x="0"/>
        <item x="58"/>
        <item x="59"/>
        <item x="147"/>
        <item x="19"/>
        <item x="24"/>
        <item x="168"/>
        <item x="144"/>
        <item x="163"/>
        <item x="154"/>
        <item x="162"/>
        <item x="65"/>
        <item x="134"/>
        <item x="128"/>
        <item x="98"/>
        <item x="105"/>
        <item x="119"/>
        <item x="79"/>
        <item x="117"/>
        <item x="175"/>
        <item x="5"/>
        <item x="21"/>
        <item x="56"/>
        <item x="165"/>
        <item x="30"/>
      </items>
    </pivotField>
  </pivotFields>
  <rowFields count="5">
    <field x="0"/>
    <field x="5"/>
    <field x="1"/>
    <field x="6"/>
    <field x="2"/>
  </rowFields>
  <rowItems count="3512">
    <i>
      <x/>
      <x v="337"/>
      <x/>
      <x v="156"/>
      <x v="38"/>
    </i>
    <i r="4">
      <x v="56"/>
    </i>
    <i r="4">
      <x v="57"/>
    </i>
    <i>
      <x v="1"/>
      <x v="300"/>
      <x v="1"/>
      <x v="156"/>
      <x v="46"/>
    </i>
    <i r="4">
      <x v="48"/>
    </i>
    <i r="4">
      <x v="49"/>
    </i>
    <i r="4">
      <x v="51"/>
    </i>
    <i>
      <x v="2"/>
      <x v="338"/>
      <x v="1"/>
      <x v="156"/>
      <x v="38"/>
    </i>
    <i r="4">
      <x v="56"/>
    </i>
    <i r="4">
      <x v="57"/>
    </i>
    <i>
      <x v="3"/>
      <x v="146"/>
      <x v="1"/>
      <x v="156"/>
      <x v="11"/>
    </i>
    <i r="4">
      <x v="12"/>
    </i>
    <i r="4">
      <x v="13"/>
    </i>
    <i r="4">
      <x v="14"/>
    </i>
    <i r="4">
      <x v="15"/>
    </i>
    <i r="4">
      <x v="18"/>
    </i>
    <i r="4">
      <x v="26"/>
    </i>
    <i r="4">
      <x v="30"/>
    </i>
    <i r="4">
      <x v="33"/>
    </i>
    <i r="4">
      <x v="37"/>
    </i>
    <i r="4">
      <x v="42"/>
    </i>
    <i r="4">
      <x v="44"/>
    </i>
    <i r="4">
      <x v="45"/>
    </i>
    <i>
      <x v="4"/>
      <x v="201"/>
      <x v="1"/>
      <x v="66"/>
      <x v="26"/>
    </i>
    <i>
      <x v="5"/>
      <x v="10"/>
      <x v="1"/>
      <x v="65"/>
      <x v="29"/>
    </i>
    <i>
      <x v="6"/>
      <x v="205"/>
      <x v="1"/>
      <x v="156"/>
      <x v="20"/>
    </i>
    <i r="4">
      <x v="26"/>
    </i>
    <i r="4">
      <x v="27"/>
    </i>
    <i r="4">
      <x v="31"/>
    </i>
    <i>
      <x v="7"/>
      <x v="37"/>
      <x v="1"/>
      <x v="13"/>
      <x v="11"/>
    </i>
    <i r="4">
      <x v="12"/>
    </i>
    <i r="4">
      <x v="14"/>
    </i>
    <i r="4">
      <x v="15"/>
    </i>
    <i r="4">
      <x v="16"/>
    </i>
    <i r="4">
      <x v="17"/>
    </i>
    <i r="4">
      <x v="18"/>
    </i>
    <i r="4">
      <x v="19"/>
    </i>
    <i r="4">
      <x v="20"/>
    </i>
    <i r="4">
      <x v="22"/>
    </i>
    <i r="4">
      <x v="26"/>
    </i>
    <i r="4">
      <x v="27"/>
    </i>
    <i r="4">
      <x v="37"/>
    </i>
    <i r="4">
      <x v="39"/>
    </i>
    <i r="4">
      <x v="40"/>
    </i>
    <i r="4">
      <x v="42"/>
    </i>
    <i r="4">
      <x v="45"/>
    </i>
    <i r="4">
      <x v="46"/>
    </i>
    <i r="4">
      <x v="48"/>
    </i>
    <i r="4">
      <x v="49"/>
    </i>
    <i r="4">
      <x v="54"/>
    </i>
    <i r="4">
      <x v="56"/>
    </i>
    <i r="4">
      <x v="57"/>
    </i>
    <i r="4">
      <x v="59"/>
    </i>
    <i r="4">
      <x v="60"/>
    </i>
    <i>
      <x v="8"/>
      <x v="267"/>
      <x v="1"/>
      <x v="156"/>
      <x v="26"/>
    </i>
    <i>
      <x v="9"/>
      <x v="101"/>
      <x v="1"/>
      <x v="63"/>
      <x/>
    </i>
    <i r="4">
      <x v="2"/>
    </i>
    <i r="4">
      <x v="11"/>
    </i>
    <i r="4">
      <x v="12"/>
    </i>
    <i r="4">
      <x v="16"/>
    </i>
    <i r="4">
      <x v="17"/>
    </i>
    <i r="4">
      <x v="18"/>
    </i>
    <i r="4">
      <x v="22"/>
    </i>
    <i r="4">
      <x v="26"/>
    </i>
    <i r="4">
      <x v="37"/>
    </i>
    <i r="4">
      <x v="39"/>
    </i>
    <i r="4">
      <x v="40"/>
    </i>
    <i r="4">
      <x v="41"/>
    </i>
    <i r="4">
      <x v="42"/>
    </i>
    <i r="4">
      <x v="44"/>
    </i>
    <i r="4">
      <x v="45"/>
    </i>
    <i r="4">
      <x v="46"/>
    </i>
    <i r="4">
      <x v="48"/>
    </i>
    <i r="4">
      <x v="49"/>
    </i>
    <i r="4">
      <x v="51"/>
    </i>
    <i r="4">
      <x v="54"/>
    </i>
    <i>
      <x v="10"/>
      <x v="398"/>
      <x v="1"/>
      <x v="176"/>
      <x v="33"/>
    </i>
    <i>
      <x v="11"/>
      <x v="272"/>
      <x v="1"/>
      <x v="140"/>
      <x v="34"/>
    </i>
    <i>
      <x v="12"/>
      <x v="343"/>
      <x/>
      <x v="107"/>
      <x v="22"/>
    </i>
    <i r="4">
      <x v="27"/>
    </i>
    <i>
      <x v="13"/>
      <x v="76"/>
      <x/>
      <x v="156"/>
      <x v="20"/>
    </i>
    <i r="4">
      <x v="27"/>
    </i>
    <i>
      <x v="14"/>
      <x v="248"/>
      <x/>
      <x v="156"/>
      <x/>
    </i>
    <i r="4">
      <x v="3"/>
    </i>
    <i r="4">
      <x v="4"/>
    </i>
    <i r="4">
      <x v="5"/>
    </i>
    <i r="4">
      <x v="6"/>
    </i>
    <i r="4">
      <x v="8"/>
    </i>
    <i r="4">
      <x v="9"/>
    </i>
    <i r="4">
      <x v="10"/>
    </i>
    <i r="4">
      <x v="11"/>
    </i>
    <i r="4">
      <x v="12"/>
    </i>
    <i r="4">
      <x v="13"/>
    </i>
    <i r="4">
      <x v="14"/>
    </i>
    <i r="4">
      <x v="15"/>
    </i>
    <i r="4">
      <x v="16"/>
    </i>
    <i r="4">
      <x v="17"/>
    </i>
    <i r="4">
      <x v="18"/>
    </i>
    <i r="4">
      <x v="19"/>
    </i>
    <i r="4">
      <x v="20"/>
    </i>
    <i r="4">
      <x v="21"/>
    </i>
    <i r="4">
      <x v="22"/>
    </i>
    <i r="4">
      <x v="26"/>
    </i>
    <i r="4">
      <x v="27"/>
    </i>
    <i r="4">
      <x v="30"/>
    </i>
    <i r="4">
      <x v="31"/>
    </i>
    <i r="4">
      <x v="33"/>
    </i>
    <i r="4">
      <x v="34"/>
    </i>
    <i r="4">
      <x v="37"/>
    </i>
    <i r="4">
      <x v="40"/>
    </i>
    <i r="4">
      <x v="41"/>
    </i>
    <i r="4">
      <x v="42"/>
    </i>
    <i r="4">
      <x v="43"/>
    </i>
    <i r="4">
      <x v="44"/>
    </i>
    <i r="4">
      <x v="45"/>
    </i>
    <i r="4">
      <x v="46"/>
    </i>
    <i r="4">
      <x v="47"/>
    </i>
    <i r="4">
      <x v="48"/>
    </i>
    <i r="4">
      <x v="49"/>
    </i>
    <i r="4">
      <x v="50"/>
    </i>
    <i r="4">
      <x v="51"/>
    </i>
    <i r="4">
      <x v="52"/>
    </i>
    <i r="4">
      <x v="53"/>
    </i>
    <i r="4">
      <x v="54"/>
    </i>
    <i r="4">
      <x v="55"/>
    </i>
    <i r="4">
      <x v="58"/>
    </i>
    <i>
      <x v="15"/>
      <x v="223"/>
      <x v="1"/>
      <x v="4"/>
      <x v="26"/>
    </i>
    <i>
      <x v="16"/>
      <x v="356"/>
      <x v="1"/>
      <x v="156"/>
      <x v="24"/>
    </i>
    <i>
      <x v="17"/>
      <x v="87"/>
      <x v="1"/>
      <x v="156"/>
      <x v="26"/>
    </i>
    <i>
      <x v="18"/>
      <x v="403"/>
      <x/>
      <x v="104"/>
      <x v="8"/>
    </i>
    <i r="4">
      <x v="10"/>
    </i>
    <i>
      <x v="19"/>
      <x v="40"/>
      <x/>
      <x v="50"/>
      <x v="11"/>
    </i>
    <i r="4">
      <x v="12"/>
    </i>
    <i r="4">
      <x v="16"/>
    </i>
    <i r="4">
      <x v="17"/>
    </i>
    <i r="4">
      <x v="18"/>
    </i>
    <i r="4">
      <x v="22"/>
    </i>
    <i r="4">
      <x v="42"/>
    </i>
    <i r="4">
      <x v="44"/>
    </i>
    <i r="4">
      <x v="46"/>
    </i>
    <i r="4">
      <x v="48"/>
    </i>
    <i r="4">
      <x v="49"/>
    </i>
    <i r="4">
      <x v="51"/>
    </i>
    <i>
      <x v="20"/>
      <x v="38"/>
      <x v="1"/>
      <x v="156"/>
      <x v="11"/>
    </i>
    <i r="4">
      <x v="12"/>
    </i>
    <i r="4">
      <x v="14"/>
    </i>
    <i r="4">
      <x v="15"/>
    </i>
    <i r="4">
      <x v="26"/>
    </i>
    <i r="4">
      <x v="32"/>
    </i>
    <i r="4">
      <x v="37"/>
    </i>
    <i r="4">
      <x v="39"/>
    </i>
    <i r="4">
      <x v="40"/>
    </i>
    <i r="4">
      <x v="45"/>
    </i>
    <i r="4">
      <x v="56"/>
    </i>
    <i r="4">
      <x v="57"/>
    </i>
    <i r="4">
      <x v="59"/>
    </i>
    <i>
      <x v="21"/>
      <x v="352"/>
      <x/>
      <x v="66"/>
      <x v="12"/>
    </i>
    <i r="4">
      <x v="26"/>
    </i>
    <i>
      <x v="22"/>
      <x v="7"/>
      <x v="1"/>
      <x v="27"/>
      <x v="11"/>
    </i>
    <i r="4">
      <x v="12"/>
    </i>
    <i r="4">
      <x v="18"/>
    </i>
    <i r="4">
      <x v="19"/>
    </i>
    <i r="4">
      <x v="20"/>
    </i>
    <i r="4">
      <x v="22"/>
    </i>
    <i r="4">
      <x v="26"/>
    </i>
    <i r="4">
      <x v="27"/>
    </i>
    <i r="4">
      <x v="30"/>
    </i>
    <i r="4">
      <x v="42"/>
    </i>
    <i r="4">
      <x v="44"/>
    </i>
    <i>
      <x v="23"/>
      <x v="130"/>
      <x/>
      <x v="111"/>
      <x v="12"/>
    </i>
    <i r="4">
      <x v="15"/>
    </i>
    <i r="4">
      <x v="28"/>
    </i>
    <i r="4">
      <x v="29"/>
    </i>
    <i r="4">
      <x v="45"/>
    </i>
    <i>
      <x v="24"/>
      <x v="115"/>
      <x v="1"/>
      <x v="144"/>
      <x v="26"/>
    </i>
    <i>
      <x v="25"/>
      <x v="56"/>
      <x v="1"/>
      <x v="156"/>
      <x v="22"/>
    </i>
    <i r="4">
      <x v="26"/>
    </i>
    <i r="4">
      <x v="44"/>
    </i>
    <i r="4">
      <x v="48"/>
    </i>
    <i>
      <x v="26"/>
      <x v="79"/>
      <x/>
      <x v="79"/>
      <x v="40"/>
    </i>
    <i>
      <x v="27"/>
      <x v="271"/>
      <x/>
      <x v="105"/>
      <x v="8"/>
    </i>
    <i>
      <x v="28"/>
      <x v="197"/>
      <x/>
      <x v="17"/>
      <x v="58"/>
    </i>
    <i>
      <x v="29"/>
      <x v="110"/>
      <x/>
      <x v="17"/>
      <x v="58"/>
    </i>
    <i>
      <x v="30"/>
      <x v="231"/>
      <x v="1"/>
      <x v="156"/>
      <x v="11"/>
    </i>
    <i r="4">
      <x v="12"/>
    </i>
    <i r="4">
      <x v="15"/>
    </i>
    <i r="4">
      <x v="26"/>
    </i>
    <i r="4">
      <x v="45"/>
    </i>
    <i>
      <x v="31"/>
      <x v="82"/>
      <x/>
      <x v="2"/>
      <x v="26"/>
    </i>
    <i r="4">
      <x v="30"/>
    </i>
    <i>
      <x v="32"/>
      <x v="218"/>
      <x/>
      <x v="67"/>
      <x v="12"/>
    </i>
    <i r="4">
      <x v="18"/>
    </i>
    <i r="4">
      <x v="22"/>
    </i>
    <i r="4">
      <x v="26"/>
    </i>
    <i r="4">
      <x v="30"/>
    </i>
    <i r="4">
      <x v="40"/>
    </i>
    <i r="4">
      <x v="44"/>
    </i>
    <i>
      <x v="33"/>
      <x v="345"/>
      <x/>
      <x v="160"/>
      <x v="11"/>
    </i>
    <i r="4">
      <x v="12"/>
    </i>
    <i r="4">
      <x v="14"/>
    </i>
    <i r="4">
      <x v="15"/>
    </i>
    <i r="4">
      <x v="16"/>
    </i>
    <i r="4">
      <x v="17"/>
    </i>
    <i r="4">
      <x v="18"/>
    </i>
    <i r="4">
      <x v="22"/>
    </i>
    <i r="4">
      <x v="25"/>
    </i>
    <i r="4">
      <x v="26"/>
    </i>
    <i r="4">
      <x v="28"/>
    </i>
    <i r="4">
      <x v="29"/>
    </i>
    <i r="4">
      <x v="30"/>
    </i>
    <i r="4">
      <x v="33"/>
    </i>
    <i r="4">
      <x v="37"/>
    </i>
    <i r="4">
      <x v="41"/>
    </i>
    <i r="4">
      <x v="42"/>
    </i>
    <i r="4">
      <x v="43"/>
    </i>
    <i r="4">
      <x v="44"/>
    </i>
    <i r="4">
      <x v="45"/>
    </i>
    <i r="4">
      <x v="46"/>
    </i>
    <i r="4">
      <x v="48"/>
    </i>
    <i r="4">
      <x v="49"/>
    </i>
    <i r="4">
      <x v="53"/>
    </i>
    <i r="4">
      <x v="54"/>
    </i>
    <i>
      <x v="34"/>
      <x v="284"/>
      <x v="1"/>
      <x v="156"/>
      <x v="26"/>
    </i>
    <i>
      <x v="35"/>
      <x v="291"/>
      <x/>
      <x v="111"/>
      <x v="11"/>
    </i>
    <i r="4">
      <x v="12"/>
    </i>
    <i r="4">
      <x v="14"/>
    </i>
    <i r="4">
      <x v="15"/>
    </i>
    <i r="4">
      <x v="17"/>
    </i>
    <i r="4">
      <x v="18"/>
    </i>
    <i r="4">
      <x v="22"/>
    </i>
    <i r="4">
      <x v="42"/>
    </i>
    <i r="4">
      <x v="44"/>
    </i>
    <i r="4">
      <x v="45"/>
    </i>
    <i>
      <x v="36"/>
      <x v="182"/>
      <x v="1"/>
      <x v="18"/>
      <x v="12"/>
    </i>
    <i r="4">
      <x v="14"/>
    </i>
    <i r="4">
      <x v="15"/>
    </i>
    <i r="4">
      <x v="18"/>
    </i>
    <i r="4">
      <x v="22"/>
    </i>
    <i r="4">
      <x v="37"/>
    </i>
    <i r="4">
      <x v="40"/>
    </i>
    <i r="4">
      <x v="44"/>
    </i>
    <i r="4">
      <x v="45"/>
    </i>
    <i>
      <x v="37"/>
      <x v="399"/>
      <x/>
      <x v="177"/>
      <x v="48"/>
    </i>
    <i r="4">
      <x v="49"/>
    </i>
    <i r="4">
      <x v="51"/>
    </i>
    <i>
      <x v="38"/>
      <x v="5"/>
      <x v="1"/>
      <x v="134"/>
      <x v="40"/>
    </i>
    <i>
      <x v="39"/>
      <x v="360"/>
      <x/>
      <x v="156"/>
      <x v="4"/>
    </i>
    <i r="4">
      <x v="5"/>
    </i>
    <i r="4">
      <x v="6"/>
    </i>
    <i r="4">
      <x v="11"/>
    </i>
    <i r="4">
      <x v="12"/>
    </i>
    <i r="4">
      <x v="16"/>
    </i>
    <i r="4">
      <x v="17"/>
    </i>
    <i r="4">
      <x v="18"/>
    </i>
    <i r="4">
      <x v="22"/>
    </i>
    <i r="4">
      <x v="24"/>
    </i>
    <i r="4">
      <x v="27"/>
    </i>
    <i r="4">
      <x v="33"/>
    </i>
    <i r="4">
      <x v="34"/>
    </i>
    <i r="4">
      <x v="41"/>
    </i>
    <i r="4">
      <x v="42"/>
    </i>
    <i r="4">
      <x v="43"/>
    </i>
    <i r="4">
      <x v="44"/>
    </i>
    <i r="4">
      <x v="46"/>
    </i>
    <i r="4">
      <x v="47"/>
    </i>
    <i r="4">
      <x v="48"/>
    </i>
    <i r="4">
      <x v="49"/>
    </i>
    <i r="4">
      <x v="51"/>
    </i>
    <i r="4">
      <x v="53"/>
    </i>
    <i r="4">
      <x v="55"/>
    </i>
    <i>
      <x v="40"/>
      <x v="181"/>
      <x v="1"/>
      <x v="135"/>
      <x/>
    </i>
    <i r="4">
      <x v="2"/>
    </i>
    <i r="4">
      <x v="11"/>
    </i>
    <i r="4">
      <x v="12"/>
    </i>
    <i r="4">
      <x v="13"/>
    </i>
    <i r="4">
      <x v="14"/>
    </i>
    <i r="4">
      <x v="15"/>
    </i>
    <i r="4">
      <x v="16"/>
    </i>
    <i r="4">
      <x v="17"/>
    </i>
    <i r="4">
      <x v="18"/>
    </i>
    <i r="4">
      <x v="22"/>
    </i>
    <i r="4">
      <x v="26"/>
    </i>
    <i r="4">
      <x v="39"/>
    </i>
    <i r="4">
      <x v="40"/>
    </i>
    <i r="4">
      <x v="42"/>
    </i>
    <i r="4">
      <x v="44"/>
    </i>
    <i r="4">
      <x v="45"/>
    </i>
    <i r="4">
      <x v="46"/>
    </i>
    <i r="4">
      <x v="47"/>
    </i>
    <i r="4">
      <x v="48"/>
    </i>
    <i r="4">
      <x v="49"/>
    </i>
    <i r="4">
      <x v="50"/>
    </i>
    <i r="4">
      <x v="51"/>
    </i>
    <i r="4">
      <x v="54"/>
    </i>
    <i>
      <x v="41"/>
      <x v="386"/>
      <x/>
      <x v="161"/>
      <x v="11"/>
    </i>
    <i r="4">
      <x v="12"/>
    </i>
    <i r="4">
      <x v="15"/>
    </i>
    <i r="4">
      <x v="17"/>
    </i>
    <i r="4">
      <x v="18"/>
    </i>
    <i r="4">
      <x v="19"/>
    </i>
    <i r="4">
      <x v="20"/>
    </i>
    <i r="4">
      <x v="22"/>
    </i>
    <i r="4">
      <x v="26"/>
    </i>
    <i r="4">
      <x v="27"/>
    </i>
    <i r="4">
      <x v="41"/>
    </i>
    <i r="4">
      <x v="42"/>
    </i>
    <i r="4">
      <x v="43"/>
    </i>
    <i r="4">
      <x v="44"/>
    </i>
    <i r="4">
      <x v="45"/>
    </i>
    <i r="4">
      <x v="48"/>
    </i>
    <i r="4">
      <x v="49"/>
    </i>
    <i r="4">
      <x v="53"/>
    </i>
    <i>
      <x v="42"/>
      <x v="30"/>
      <x/>
      <x v="31"/>
      <x v="23"/>
    </i>
    <i r="4">
      <x v="32"/>
    </i>
    <i>
      <x v="43"/>
      <x v="178"/>
      <x/>
      <x v="87"/>
      <x v="8"/>
    </i>
    <i r="4">
      <x v="9"/>
    </i>
    <i r="4">
      <x v="10"/>
    </i>
    <i r="4">
      <x v="11"/>
    </i>
    <i r="4">
      <x v="12"/>
    </i>
    <i r="4">
      <x v="14"/>
    </i>
    <i r="4">
      <x v="15"/>
    </i>
    <i r="4">
      <x v="16"/>
    </i>
    <i r="4">
      <x v="17"/>
    </i>
    <i r="4">
      <x v="18"/>
    </i>
    <i r="4">
      <x v="22"/>
    </i>
    <i r="4">
      <x v="26"/>
    </i>
    <i r="4">
      <x v="27"/>
    </i>
    <i r="4">
      <x v="30"/>
    </i>
    <i r="4">
      <x v="32"/>
    </i>
    <i r="4">
      <x v="37"/>
    </i>
    <i r="4">
      <x v="40"/>
    </i>
    <i r="4">
      <x v="41"/>
    </i>
    <i r="4">
      <x v="42"/>
    </i>
    <i r="4">
      <x v="44"/>
    </i>
    <i r="4">
      <x v="45"/>
    </i>
    <i r="4">
      <x v="46"/>
    </i>
    <i r="4">
      <x v="48"/>
    </i>
    <i r="4">
      <x v="49"/>
    </i>
    <i>
      <x v="44"/>
      <x v="253"/>
      <x/>
      <x v="54"/>
      <x v="11"/>
    </i>
    <i r="4">
      <x v="12"/>
    </i>
    <i r="4">
      <x v="15"/>
    </i>
    <i r="4">
      <x v="17"/>
    </i>
    <i r="4">
      <x v="18"/>
    </i>
    <i r="4">
      <x v="22"/>
    </i>
    <i r="4">
      <x v="23"/>
    </i>
    <i r="4">
      <x v="26"/>
    </i>
    <i r="4">
      <x v="32"/>
    </i>
    <i r="4">
      <x v="40"/>
    </i>
    <i r="4">
      <x v="43"/>
    </i>
    <i r="4">
      <x v="44"/>
    </i>
    <i r="4">
      <x v="45"/>
    </i>
    <i r="4">
      <x v="49"/>
    </i>
    <i>
      <x v="45"/>
      <x v="371"/>
      <x v="1"/>
      <x v="156"/>
      <x v="24"/>
    </i>
    <i>
      <x v="46"/>
      <x v="91"/>
      <x/>
      <x v="22"/>
      <x v="11"/>
    </i>
    <i r="4">
      <x v="12"/>
    </i>
    <i r="4">
      <x v="13"/>
    </i>
    <i r="4">
      <x v="14"/>
    </i>
    <i r="4">
      <x v="15"/>
    </i>
    <i r="4">
      <x v="16"/>
    </i>
    <i r="4">
      <x v="17"/>
    </i>
    <i r="4">
      <x v="18"/>
    </i>
    <i r="4">
      <x v="21"/>
    </i>
    <i r="4">
      <x v="22"/>
    </i>
    <i r="4">
      <x v="26"/>
    </i>
    <i r="4">
      <x v="27"/>
    </i>
    <i r="4">
      <x v="30"/>
    </i>
    <i r="4">
      <x v="31"/>
    </i>
    <i r="4">
      <x v="34"/>
    </i>
    <i r="4">
      <x v="37"/>
    </i>
    <i r="4">
      <x v="39"/>
    </i>
    <i r="4">
      <x v="40"/>
    </i>
    <i r="4">
      <x v="41"/>
    </i>
    <i r="4">
      <x v="42"/>
    </i>
    <i r="4">
      <x v="44"/>
    </i>
    <i r="4">
      <x v="45"/>
    </i>
    <i r="4">
      <x v="48"/>
    </i>
    <i r="4">
      <x v="49"/>
    </i>
    <i>
      <x v="47"/>
      <x v="164"/>
      <x/>
      <x v="69"/>
      <x v="24"/>
    </i>
    <i>
      <x v="48"/>
      <x v="204"/>
      <x v="1"/>
      <x v="156"/>
      <x v="34"/>
    </i>
    <i>
      <x v="49"/>
      <x v="410"/>
      <x v="1"/>
      <x v="180"/>
      <x v="35"/>
    </i>
    <i r="4">
      <x v="36"/>
    </i>
    <i>
      <x v="50"/>
      <x v="8"/>
      <x/>
      <x v="156"/>
      <x/>
    </i>
    <i r="4">
      <x v="2"/>
    </i>
    <i r="4">
      <x v="5"/>
    </i>
    <i r="4">
      <x v="6"/>
    </i>
    <i r="4">
      <x v="7"/>
    </i>
    <i r="4">
      <x v="8"/>
    </i>
    <i r="4">
      <x v="9"/>
    </i>
    <i r="4">
      <x v="11"/>
    </i>
    <i r="4">
      <x v="12"/>
    </i>
    <i r="4">
      <x v="13"/>
    </i>
    <i r="4">
      <x v="14"/>
    </i>
    <i r="4">
      <x v="15"/>
    </i>
    <i r="4">
      <x v="16"/>
    </i>
    <i r="4">
      <x v="17"/>
    </i>
    <i r="4">
      <x v="18"/>
    </i>
    <i r="4">
      <x v="19"/>
    </i>
    <i r="4">
      <x v="20"/>
    </i>
    <i r="4">
      <x v="22"/>
    </i>
    <i r="4">
      <x v="26"/>
    </i>
    <i r="4">
      <x v="27"/>
    </i>
    <i r="4">
      <x v="30"/>
    </i>
    <i r="4">
      <x v="33"/>
    </i>
    <i r="4">
      <x v="34"/>
    </i>
    <i r="4">
      <x v="37"/>
    </i>
    <i r="4">
      <x v="40"/>
    </i>
    <i r="4">
      <x v="41"/>
    </i>
    <i r="4">
      <x v="42"/>
    </i>
    <i r="4">
      <x v="43"/>
    </i>
    <i r="4">
      <x v="44"/>
    </i>
    <i r="4">
      <x v="45"/>
    </i>
    <i r="4">
      <x v="46"/>
    </i>
    <i r="4">
      <x v="47"/>
    </i>
    <i r="4">
      <x v="48"/>
    </i>
    <i r="4">
      <x v="49"/>
    </i>
    <i r="4">
      <x v="50"/>
    </i>
    <i r="4">
      <x v="51"/>
    </i>
    <i r="4">
      <x v="52"/>
    </i>
    <i r="4">
      <x v="53"/>
    </i>
    <i r="4">
      <x v="54"/>
    </i>
    <i>
      <x v="51"/>
      <x v="90"/>
      <x/>
      <x v="53"/>
      <x v="11"/>
    </i>
    <i r="4">
      <x v="12"/>
    </i>
    <i r="4">
      <x v="15"/>
    </i>
    <i r="4">
      <x v="18"/>
    </i>
    <i r="4">
      <x v="26"/>
    </i>
    <i r="4">
      <x v="37"/>
    </i>
    <i r="4">
      <x v="39"/>
    </i>
    <i r="4">
      <x v="40"/>
    </i>
    <i r="4">
      <x v="42"/>
    </i>
    <i r="4">
      <x v="45"/>
    </i>
    <i r="4">
      <x v="48"/>
    </i>
    <i r="4">
      <x v="49"/>
    </i>
    <i>
      <x v="52"/>
      <x v="71"/>
      <x/>
      <x v="117"/>
      <x v="40"/>
    </i>
    <i>
      <x v="53"/>
      <x v="57"/>
      <x/>
      <x v="52"/>
      <x v="11"/>
    </i>
    <i r="4">
      <x v="12"/>
    </i>
    <i r="4">
      <x v="14"/>
    </i>
    <i r="4">
      <x v="15"/>
    </i>
    <i r="4">
      <x v="16"/>
    </i>
    <i r="4">
      <x v="17"/>
    </i>
    <i r="4">
      <x v="18"/>
    </i>
    <i r="4">
      <x v="22"/>
    </i>
    <i r="4">
      <x v="26"/>
    </i>
    <i r="4">
      <x v="34"/>
    </i>
    <i r="4">
      <x v="37"/>
    </i>
    <i r="4">
      <x v="40"/>
    </i>
    <i r="4">
      <x v="41"/>
    </i>
    <i r="4">
      <x v="42"/>
    </i>
    <i r="4">
      <x v="44"/>
    </i>
    <i r="4">
      <x v="45"/>
    </i>
    <i r="4">
      <x v="46"/>
    </i>
    <i r="4">
      <x v="48"/>
    </i>
    <i r="4">
      <x v="49"/>
    </i>
    <i>
      <x v="54"/>
      <x v="323"/>
      <x/>
      <x v="154"/>
      <x v="22"/>
    </i>
    <i r="4">
      <x v="40"/>
    </i>
    <i>
      <x v="55"/>
      <x v="292"/>
      <x v="1"/>
      <x v="161"/>
      <x v="11"/>
    </i>
    <i r="4">
      <x v="12"/>
    </i>
    <i r="4">
      <x v="14"/>
    </i>
    <i r="4">
      <x v="15"/>
    </i>
    <i r="4">
      <x v="17"/>
    </i>
    <i r="4">
      <x v="18"/>
    </i>
    <i r="4">
      <x v="24"/>
    </i>
    <i r="4">
      <x v="26"/>
    </i>
    <i r="4">
      <x v="42"/>
    </i>
    <i r="4">
      <x v="45"/>
    </i>
    <i r="4">
      <x v="46"/>
    </i>
    <i r="4">
      <x v="48"/>
    </i>
    <i r="4">
      <x v="49"/>
    </i>
    <i r="4">
      <x v="50"/>
    </i>
    <i r="4">
      <x v="54"/>
    </i>
    <i>
      <x v="56"/>
      <x v="327"/>
      <x/>
      <x v="156"/>
      <x v="22"/>
    </i>
    <i>
      <x v="57"/>
      <x v="160"/>
      <x/>
      <x v="65"/>
      <x v="5"/>
    </i>
    <i r="4">
      <x v="11"/>
    </i>
    <i r="4">
      <x v="12"/>
    </i>
    <i r="4">
      <x v="14"/>
    </i>
    <i r="4">
      <x v="15"/>
    </i>
    <i r="4">
      <x v="16"/>
    </i>
    <i r="4">
      <x v="17"/>
    </i>
    <i r="4">
      <x v="18"/>
    </i>
    <i r="4">
      <x v="22"/>
    </i>
    <i r="4">
      <x v="23"/>
    </i>
    <i r="4">
      <x v="26"/>
    </i>
    <i r="4">
      <x v="33"/>
    </i>
    <i r="4">
      <x v="34"/>
    </i>
    <i r="4">
      <x v="37"/>
    </i>
    <i r="4">
      <x v="40"/>
    </i>
    <i r="4">
      <x v="41"/>
    </i>
    <i r="4">
      <x v="42"/>
    </i>
    <i r="4">
      <x v="44"/>
    </i>
    <i r="4">
      <x v="45"/>
    </i>
    <i r="4">
      <x v="46"/>
    </i>
    <i r="4">
      <x v="48"/>
    </i>
    <i r="4">
      <x v="49"/>
    </i>
    <i r="4">
      <x v="51"/>
    </i>
    <i r="4">
      <x v="61"/>
    </i>
    <i>
      <x v="58"/>
      <x v="103"/>
      <x/>
      <x v="65"/>
      <x v="11"/>
    </i>
    <i r="4">
      <x v="12"/>
    </i>
    <i r="4">
      <x v="17"/>
    </i>
    <i r="4">
      <x v="18"/>
    </i>
    <i r="4">
      <x v="26"/>
    </i>
    <i r="4">
      <x v="39"/>
    </i>
    <i r="4">
      <x v="41"/>
    </i>
    <i r="4">
      <x v="42"/>
    </i>
    <i r="4">
      <x v="45"/>
    </i>
    <i>
      <x v="59"/>
      <x v="301"/>
      <x/>
      <x v="146"/>
      <x v="38"/>
    </i>
    <i>
      <x v="60"/>
      <x v="120"/>
      <x/>
      <x v="44"/>
      <x/>
    </i>
    <i r="4">
      <x v="1"/>
    </i>
    <i r="4">
      <x v="2"/>
    </i>
    <i r="4">
      <x v="3"/>
    </i>
    <i r="4">
      <x v="12"/>
    </i>
    <i r="4">
      <x v="15"/>
    </i>
    <i r="4">
      <x v="18"/>
    </i>
    <i r="4">
      <x v="26"/>
    </i>
    <i r="4">
      <x v="31"/>
    </i>
    <i r="4">
      <x v="37"/>
    </i>
    <i r="4">
      <x v="40"/>
    </i>
    <i>
      <x v="61"/>
      <x v="17"/>
      <x/>
      <x v="40"/>
      <x v="12"/>
    </i>
    <i r="4">
      <x v="18"/>
    </i>
    <i r="4">
      <x v="26"/>
    </i>
    <i r="4">
      <x v="31"/>
    </i>
    <i r="4">
      <x v="37"/>
    </i>
    <i r="4">
      <x v="40"/>
    </i>
    <i r="4">
      <x v="41"/>
    </i>
    <i r="4">
      <x v="45"/>
    </i>
    <i>
      <x v="62"/>
      <x v="333"/>
      <x/>
      <x v="66"/>
      <x v="38"/>
    </i>
    <i>
      <x v="63"/>
      <x v="361"/>
      <x/>
      <x v="65"/>
      <x v="38"/>
    </i>
    <i>
      <x v="64"/>
      <x v="169"/>
      <x/>
      <x v="101"/>
      <x v="5"/>
    </i>
    <i r="4">
      <x v="6"/>
    </i>
    <i r="4">
      <x v="11"/>
    </i>
    <i r="4">
      <x v="12"/>
    </i>
    <i r="4">
      <x v="13"/>
    </i>
    <i r="4">
      <x v="14"/>
    </i>
    <i r="4">
      <x v="15"/>
    </i>
    <i r="4">
      <x v="16"/>
    </i>
    <i r="4">
      <x v="17"/>
    </i>
    <i r="4">
      <x v="18"/>
    </i>
    <i r="4">
      <x v="19"/>
    </i>
    <i r="4">
      <x v="20"/>
    </i>
    <i r="4">
      <x v="21"/>
    </i>
    <i r="4">
      <x v="22"/>
    </i>
    <i r="4">
      <x v="26"/>
    </i>
    <i r="4">
      <x v="27"/>
    </i>
    <i r="4">
      <x v="30"/>
    </i>
    <i r="4">
      <x v="31"/>
    </i>
    <i r="4">
      <x v="34"/>
    </i>
    <i r="4">
      <x v="37"/>
    </i>
    <i r="4">
      <x v="40"/>
    </i>
    <i r="4">
      <x v="41"/>
    </i>
    <i r="4">
      <x v="42"/>
    </i>
    <i r="4">
      <x v="43"/>
    </i>
    <i r="4">
      <x v="44"/>
    </i>
    <i r="4">
      <x v="45"/>
    </i>
    <i r="4">
      <x v="46"/>
    </i>
    <i r="4">
      <x v="48"/>
    </i>
    <i r="4">
      <x v="49"/>
    </i>
    <i>
      <x v="65"/>
      <x v="251"/>
      <x/>
      <x v="156"/>
      <x/>
    </i>
    <i r="4">
      <x v="2"/>
    </i>
    <i r="4">
      <x v="3"/>
    </i>
    <i r="4">
      <x v="4"/>
    </i>
    <i r="4">
      <x v="5"/>
    </i>
    <i r="4">
      <x v="6"/>
    </i>
    <i r="4">
      <x v="11"/>
    </i>
    <i r="4">
      <x v="12"/>
    </i>
    <i r="4">
      <x v="13"/>
    </i>
    <i r="4">
      <x v="14"/>
    </i>
    <i r="4">
      <x v="15"/>
    </i>
    <i r="4">
      <x v="16"/>
    </i>
    <i r="4">
      <x v="17"/>
    </i>
    <i r="4">
      <x v="18"/>
    </i>
    <i r="4">
      <x v="19"/>
    </i>
    <i r="4">
      <x v="20"/>
    </i>
    <i r="4">
      <x v="21"/>
    </i>
    <i r="4">
      <x v="22"/>
    </i>
    <i r="4">
      <x v="26"/>
    </i>
    <i r="4">
      <x v="27"/>
    </i>
    <i r="4">
      <x v="30"/>
    </i>
    <i r="4">
      <x v="31"/>
    </i>
    <i r="4">
      <x v="34"/>
    </i>
    <i r="4">
      <x v="37"/>
    </i>
    <i r="4">
      <x v="41"/>
    </i>
    <i r="4">
      <x v="42"/>
    </i>
    <i r="4">
      <x v="44"/>
    </i>
    <i r="4">
      <x v="45"/>
    </i>
    <i r="4">
      <x v="46"/>
    </i>
    <i r="4">
      <x v="47"/>
    </i>
    <i r="4">
      <x v="48"/>
    </i>
    <i r="4">
      <x v="49"/>
    </i>
    <i r="4">
      <x v="50"/>
    </i>
    <i r="4">
      <x v="51"/>
    </i>
    <i r="4">
      <x v="52"/>
    </i>
    <i r="4">
      <x v="54"/>
    </i>
    <i>
      <x v="66"/>
      <x v="233"/>
      <x v="1"/>
      <x v="98"/>
      <x v="3"/>
    </i>
    <i r="4">
      <x v="12"/>
    </i>
    <i r="4">
      <x v="15"/>
    </i>
    <i r="4">
      <x v="16"/>
    </i>
    <i r="4">
      <x v="17"/>
    </i>
    <i r="4">
      <x v="18"/>
    </i>
    <i r="4">
      <x v="27"/>
    </i>
    <i r="4">
      <x v="31"/>
    </i>
    <i r="4">
      <x v="48"/>
    </i>
    <i r="4">
      <x v="49"/>
    </i>
    <i>
      <x v="67"/>
      <x v="224"/>
      <x/>
      <x v="137"/>
      <x v="38"/>
    </i>
    <i r="4">
      <x v="55"/>
    </i>
    <i>
      <x v="68"/>
      <x v="242"/>
      <x/>
      <x v="113"/>
      <x v="12"/>
    </i>
    <i r="4">
      <x v="17"/>
    </i>
    <i r="4">
      <x v="18"/>
    </i>
    <i r="4">
      <x v="22"/>
    </i>
    <i r="4">
      <x v="41"/>
    </i>
    <i r="4">
      <x v="42"/>
    </i>
    <i r="4">
      <x v="43"/>
    </i>
    <i r="4">
      <x v="44"/>
    </i>
    <i>
      <x v="69"/>
      <x v="346"/>
      <x/>
      <x v="73"/>
      <x v="56"/>
    </i>
    <i r="4">
      <x v="57"/>
    </i>
    <i>
      <x v="70"/>
      <x v="109"/>
      <x/>
      <x v="84"/>
      <x v="38"/>
    </i>
    <i>
      <x v="71"/>
      <x v="98"/>
      <x/>
      <x v="113"/>
      <x v="12"/>
    </i>
    <i>
      <x v="72"/>
      <x v="186"/>
      <x/>
      <x v="156"/>
      <x v="5"/>
    </i>
    <i r="4">
      <x v="6"/>
    </i>
    <i r="4">
      <x v="11"/>
    </i>
    <i r="4">
      <x v="12"/>
    </i>
    <i r="4">
      <x v="13"/>
    </i>
    <i r="4">
      <x v="14"/>
    </i>
    <i r="4">
      <x v="15"/>
    </i>
    <i r="4">
      <x v="16"/>
    </i>
    <i r="4">
      <x v="17"/>
    </i>
    <i r="4">
      <x v="18"/>
    </i>
    <i r="4">
      <x v="21"/>
    </i>
    <i r="4">
      <x v="22"/>
    </i>
    <i r="4">
      <x v="26"/>
    </i>
    <i r="4">
      <x v="27"/>
    </i>
    <i r="4">
      <x v="28"/>
    </i>
    <i r="4">
      <x v="29"/>
    </i>
    <i r="4">
      <x v="31"/>
    </i>
    <i r="4">
      <x v="33"/>
    </i>
    <i r="4">
      <x v="34"/>
    </i>
    <i r="4">
      <x v="41"/>
    </i>
    <i r="4">
      <x v="42"/>
    </i>
    <i r="4">
      <x v="43"/>
    </i>
    <i r="4">
      <x v="44"/>
    </i>
    <i r="4">
      <x v="45"/>
    </i>
    <i r="4">
      <x v="46"/>
    </i>
    <i r="4">
      <x v="47"/>
    </i>
    <i r="4">
      <x v="48"/>
    </i>
    <i r="4">
      <x v="49"/>
    </i>
    <i r="4">
      <x v="53"/>
    </i>
    <i r="4">
      <x v="54"/>
    </i>
    <i r="4">
      <x v="55"/>
    </i>
    <i r="4">
      <x v="59"/>
    </i>
    <i>
      <x v="73"/>
      <x v="155"/>
      <x/>
      <x v="4"/>
      <x v="12"/>
    </i>
    <i r="4">
      <x v="14"/>
    </i>
    <i r="4">
      <x v="15"/>
    </i>
    <i r="4">
      <x v="17"/>
    </i>
    <i r="4">
      <x v="18"/>
    </i>
    <i r="4">
      <x v="40"/>
    </i>
    <i r="4">
      <x v="41"/>
    </i>
    <i r="4">
      <x v="45"/>
    </i>
    <i>
      <x v="74"/>
      <x v="180"/>
      <x v="1"/>
      <x v="68"/>
      <x v="26"/>
    </i>
    <i>
      <x v="75"/>
      <x v="238"/>
      <x v="1"/>
      <x v="156"/>
      <x v="12"/>
    </i>
    <i r="4">
      <x v="26"/>
    </i>
    <i r="4">
      <x v="37"/>
    </i>
    <i r="4">
      <x v="42"/>
    </i>
    <i r="4">
      <x v="44"/>
    </i>
    <i>
      <x v="76"/>
      <x v="127"/>
      <x/>
      <x v="6"/>
      <x v="12"/>
    </i>
    <i r="4">
      <x v="26"/>
    </i>
    <i r="4">
      <x v="40"/>
    </i>
    <i>
      <x v="77"/>
      <x v="193"/>
      <x v="1"/>
      <x v="35"/>
      <x v="8"/>
    </i>
    <i r="4">
      <x v="35"/>
    </i>
    <i r="4">
      <x v="36"/>
    </i>
    <i>
      <x v="78"/>
      <x v="54"/>
      <x/>
      <x v="92"/>
      <x/>
    </i>
    <i r="4">
      <x v="2"/>
    </i>
    <i r="4">
      <x v="8"/>
    </i>
    <i r="4">
      <x v="9"/>
    </i>
    <i r="4">
      <x v="11"/>
    </i>
    <i r="4">
      <x v="12"/>
    </i>
    <i r="4">
      <x v="14"/>
    </i>
    <i r="4">
      <x v="15"/>
    </i>
    <i r="4">
      <x v="16"/>
    </i>
    <i r="4">
      <x v="17"/>
    </i>
    <i r="4">
      <x v="18"/>
    </i>
    <i r="4">
      <x v="22"/>
    </i>
    <i r="4">
      <x v="26"/>
    </i>
    <i r="4">
      <x v="30"/>
    </i>
    <i r="4">
      <x v="37"/>
    </i>
    <i r="4">
      <x v="40"/>
    </i>
    <i r="4">
      <x v="41"/>
    </i>
    <i r="4">
      <x v="42"/>
    </i>
    <i r="4">
      <x v="44"/>
    </i>
    <i r="4">
      <x v="45"/>
    </i>
    <i r="4">
      <x v="48"/>
    </i>
    <i r="4">
      <x v="49"/>
    </i>
    <i>
      <x v="79"/>
      <x v="96"/>
      <x/>
      <x v="25"/>
      <x v="11"/>
    </i>
    <i r="4">
      <x v="12"/>
    </i>
    <i r="4">
      <x v="15"/>
    </i>
    <i r="4">
      <x v="16"/>
    </i>
    <i r="4">
      <x v="17"/>
    </i>
    <i r="4">
      <x v="18"/>
    </i>
    <i r="4">
      <x v="22"/>
    </i>
    <i r="4">
      <x v="26"/>
    </i>
    <i r="4">
      <x v="40"/>
    </i>
    <i r="4">
      <x v="44"/>
    </i>
    <i r="4">
      <x v="45"/>
    </i>
    <i r="4">
      <x v="46"/>
    </i>
    <i r="4">
      <x v="48"/>
    </i>
    <i r="4">
      <x v="49"/>
    </i>
    <i r="4">
      <x v="59"/>
    </i>
    <i>
      <x v="80"/>
      <x v="293"/>
      <x v="1"/>
      <x v="42"/>
      <x v="8"/>
    </i>
    <i>
      <x v="81"/>
      <x v="367"/>
      <x/>
      <x v="82"/>
      <x v="38"/>
    </i>
    <i r="4">
      <x v="56"/>
    </i>
    <i r="4">
      <x v="57"/>
    </i>
    <i>
      <x v="82"/>
      <x v="200"/>
      <x/>
      <x v="116"/>
      <x v="8"/>
    </i>
    <i r="4">
      <x v="9"/>
    </i>
    <i r="4">
      <x v="10"/>
    </i>
    <i r="4">
      <x v="35"/>
    </i>
    <i r="4">
      <x v="36"/>
    </i>
    <i>
      <x v="83"/>
      <x v="73"/>
      <x v="1"/>
      <x v="156"/>
      <x/>
    </i>
    <i r="4">
      <x v="2"/>
    </i>
    <i r="4">
      <x v="11"/>
    </i>
    <i r="4">
      <x v="12"/>
    </i>
    <i r="4">
      <x v="17"/>
    </i>
    <i r="4">
      <x v="18"/>
    </i>
    <i r="4">
      <x v="22"/>
    </i>
    <i r="4">
      <x v="26"/>
    </i>
    <i r="4">
      <x v="33"/>
    </i>
    <i r="4">
      <x v="34"/>
    </i>
    <i r="4">
      <x v="53"/>
    </i>
    <i r="4">
      <x v="55"/>
    </i>
    <i>
      <x v="84"/>
      <x v="227"/>
      <x/>
      <x v="156"/>
      <x v="11"/>
    </i>
    <i r="4">
      <x v="12"/>
    </i>
    <i r="4">
      <x v="13"/>
    </i>
    <i r="4">
      <x v="14"/>
    </i>
    <i r="4">
      <x v="15"/>
    </i>
    <i r="4">
      <x v="16"/>
    </i>
    <i r="4">
      <x v="17"/>
    </i>
    <i r="4">
      <x v="18"/>
    </i>
    <i r="4">
      <x v="19"/>
    </i>
    <i r="4">
      <x v="20"/>
    </i>
    <i r="4">
      <x v="21"/>
    </i>
    <i r="4">
      <x v="22"/>
    </i>
    <i r="4">
      <x v="26"/>
    </i>
    <i r="4">
      <x v="27"/>
    </i>
    <i r="4">
      <x v="31"/>
    </i>
    <i r="4">
      <x v="34"/>
    </i>
    <i r="4">
      <x v="37"/>
    </i>
    <i r="4">
      <x v="40"/>
    </i>
    <i r="4">
      <x v="41"/>
    </i>
    <i r="4">
      <x v="42"/>
    </i>
    <i r="4">
      <x v="44"/>
    </i>
    <i r="4">
      <x v="45"/>
    </i>
    <i r="4">
      <x v="46"/>
    </i>
    <i r="4">
      <x v="47"/>
    </i>
    <i r="4">
      <x v="48"/>
    </i>
    <i r="4">
      <x v="49"/>
    </i>
    <i r="4">
      <x v="50"/>
    </i>
    <i r="4">
      <x v="51"/>
    </i>
    <i r="4">
      <x v="52"/>
    </i>
    <i>
      <x v="85"/>
      <x v="317"/>
      <x/>
      <x v="78"/>
      <x v="8"/>
    </i>
    <i r="4">
      <x v="9"/>
    </i>
    <i r="4">
      <x v="12"/>
    </i>
    <i r="4">
      <x v="29"/>
    </i>
    <i r="4">
      <x v="40"/>
    </i>
    <i r="4">
      <x v="45"/>
    </i>
    <i>
      <x v="86"/>
      <x v="259"/>
      <x v="1"/>
      <x v="103"/>
      <x v="9"/>
    </i>
    <i r="4">
      <x v="11"/>
    </i>
    <i r="4">
      <x v="12"/>
    </i>
    <i r="4">
      <x v="15"/>
    </i>
    <i r="4">
      <x v="17"/>
    </i>
    <i r="4">
      <x v="18"/>
    </i>
    <i r="4">
      <x v="26"/>
    </i>
    <i r="4">
      <x v="32"/>
    </i>
    <i r="4">
      <x v="37"/>
    </i>
    <i r="4">
      <x v="40"/>
    </i>
    <i r="4">
      <x v="42"/>
    </i>
    <i r="4">
      <x v="44"/>
    </i>
    <i r="4">
      <x v="45"/>
    </i>
    <i r="4">
      <x v="46"/>
    </i>
    <i r="4">
      <x v="47"/>
    </i>
    <i r="4">
      <x v="48"/>
    </i>
    <i r="4">
      <x v="49"/>
    </i>
    <i>
      <x v="87"/>
      <x v="119"/>
      <x/>
      <x v="52"/>
      <x v="5"/>
    </i>
    <i r="4">
      <x v="6"/>
    </i>
    <i r="4">
      <x v="11"/>
    </i>
    <i r="4">
      <x v="12"/>
    </i>
    <i r="4">
      <x v="13"/>
    </i>
    <i r="4">
      <x v="14"/>
    </i>
    <i r="4">
      <x v="15"/>
    </i>
    <i r="4">
      <x v="16"/>
    </i>
    <i r="4">
      <x v="17"/>
    </i>
    <i r="4">
      <x v="18"/>
    </i>
    <i r="4">
      <x v="20"/>
    </i>
    <i r="4">
      <x v="22"/>
    </i>
    <i r="4">
      <x v="26"/>
    </i>
    <i r="4">
      <x v="30"/>
    </i>
    <i r="4">
      <x v="34"/>
    </i>
    <i r="4">
      <x v="41"/>
    </i>
    <i r="4">
      <x v="42"/>
    </i>
    <i r="4">
      <x v="44"/>
    </i>
    <i r="4">
      <x v="45"/>
    </i>
    <i r="4">
      <x v="48"/>
    </i>
    <i r="4">
      <x v="49"/>
    </i>
    <i r="4">
      <x v="56"/>
    </i>
    <i r="4">
      <x v="57"/>
    </i>
    <i r="4">
      <x v="60"/>
    </i>
    <i>
      <x v="88"/>
      <x v="177"/>
      <x v="1"/>
      <x v="156"/>
      <x v="26"/>
    </i>
    <i>
      <x v="89"/>
      <x v="217"/>
      <x v="1"/>
      <x v="56"/>
      <x v="40"/>
    </i>
    <i>
      <x v="90"/>
      <x v="99"/>
      <x/>
      <x v="17"/>
      <x v="5"/>
    </i>
    <i r="4">
      <x v="11"/>
    </i>
    <i r="4">
      <x v="12"/>
    </i>
    <i r="4">
      <x v="13"/>
    </i>
    <i r="4">
      <x v="14"/>
    </i>
    <i r="4">
      <x v="15"/>
    </i>
    <i r="4">
      <x v="16"/>
    </i>
    <i r="4">
      <x v="17"/>
    </i>
    <i r="4">
      <x v="18"/>
    </i>
    <i r="4">
      <x v="22"/>
    </i>
    <i r="4">
      <x v="26"/>
    </i>
    <i r="4">
      <x v="27"/>
    </i>
    <i r="4">
      <x v="31"/>
    </i>
    <i r="4">
      <x v="37"/>
    </i>
    <i r="4">
      <x v="40"/>
    </i>
    <i r="4">
      <x v="41"/>
    </i>
    <i r="4">
      <x v="42"/>
    </i>
    <i r="4">
      <x v="44"/>
    </i>
    <i r="4">
      <x v="45"/>
    </i>
    <i r="4">
      <x v="48"/>
    </i>
    <i r="4">
      <x v="49"/>
    </i>
    <i>
      <x v="91"/>
      <x v="318"/>
      <x/>
      <x v="152"/>
      <x v="39"/>
    </i>
    <i r="4">
      <x v="40"/>
    </i>
    <i>
      <x v="92"/>
      <x v="100"/>
      <x/>
      <x v="156"/>
      <x v="11"/>
    </i>
    <i r="4">
      <x v="12"/>
    </i>
    <i r="4">
      <x v="14"/>
    </i>
    <i r="4">
      <x v="15"/>
    </i>
    <i r="4">
      <x v="16"/>
    </i>
    <i r="4">
      <x v="17"/>
    </i>
    <i r="4">
      <x v="18"/>
    </i>
    <i r="4">
      <x v="26"/>
    </i>
    <i r="4">
      <x v="41"/>
    </i>
    <i r="4">
      <x v="44"/>
    </i>
    <i r="4">
      <x v="45"/>
    </i>
    <i r="4">
      <x v="46"/>
    </i>
    <i r="4">
      <x v="47"/>
    </i>
    <i r="4">
      <x v="48"/>
    </i>
    <i r="4">
      <x v="49"/>
    </i>
    <i r="4">
      <x v="50"/>
    </i>
    <i r="4">
      <x v="51"/>
    </i>
    <i>
      <x v="93"/>
      <x v="404"/>
      <x/>
      <x v="178"/>
      <x v="59"/>
    </i>
    <i r="4">
      <x v="60"/>
    </i>
    <i>
      <x v="94"/>
      <x v="85"/>
      <x/>
      <x v="4"/>
      <x v="40"/>
    </i>
    <i>
      <x v="95"/>
      <x v="310"/>
      <x v="1"/>
      <x v="156"/>
      <x v="26"/>
    </i>
    <i r="4">
      <x v="33"/>
    </i>
    <i r="4">
      <x v="44"/>
    </i>
    <i>
      <x v="96"/>
      <x/>
      <x v="1"/>
      <x v="156"/>
      <x v="26"/>
    </i>
    <i r="4">
      <x v="33"/>
    </i>
    <i>
      <x v="97"/>
      <x v="207"/>
      <x/>
      <x v="111"/>
      <x/>
    </i>
    <i r="4">
      <x v="1"/>
    </i>
    <i r="4">
      <x v="2"/>
    </i>
    <i r="4">
      <x v="3"/>
    </i>
    <i r="4">
      <x v="4"/>
    </i>
    <i r="4">
      <x v="5"/>
    </i>
    <i r="4">
      <x v="6"/>
    </i>
    <i r="4">
      <x v="11"/>
    </i>
    <i r="4">
      <x v="12"/>
    </i>
    <i r="4">
      <x v="13"/>
    </i>
    <i r="4">
      <x v="14"/>
    </i>
    <i r="4">
      <x v="15"/>
    </i>
    <i r="4">
      <x v="16"/>
    </i>
    <i r="4">
      <x v="17"/>
    </i>
    <i r="4">
      <x v="18"/>
    </i>
    <i r="4">
      <x v="19"/>
    </i>
    <i r="4">
      <x v="20"/>
    </i>
    <i r="4">
      <x v="21"/>
    </i>
    <i r="4">
      <x v="22"/>
    </i>
    <i r="4">
      <x v="24"/>
    </i>
    <i r="4">
      <x v="26"/>
    </i>
    <i r="4">
      <x v="27"/>
    </i>
    <i r="4">
      <x v="30"/>
    </i>
    <i r="4">
      <x v="31"/>
    </i>
    <i r="4">
      <x v="34"/>
    </i>
    <i r="4">
      <x v="37"/>
    </i>
    <i r="4">
      <x v="40"/>
    </i>
    <i r="4">
      <x v="41"/>
    </i>
    <i r="4">
      <x v="42"/>
    </i>
    <i r="4">
      <x v="44"/>
    </i>
    <i r="4">
      <x v="45"/>
    </i>
    <i r="4">
      <x v="46"/>
    </i>
    <i r="4">
      <x v="47"/>
    </i>
    <i r="4">
      <x v="48"/>
    </i>
    <i r="4">
      <x v="49"/>
    </i>
    <i r="4">
      <x v="51"/>
    </i>
    <i r="4">
      <x v="52"/>
    </i>
    <i r="4">
      <x v="54"/>
    </i>
    <i r="4">
      <x v="55"/>
    </i>
    <i r="4">
      <x v="56"/>
    </i>
    <i r="4">
      <x v="57"/>
    </i>
    <i r="4">
      <x v="59"/>
    </i>
    <i r="4">
      <x v="60"/>
    </i>
    <i>
      <x v="98"/>
      <x v="128"/>
      <x v="1"/>
      <x v="111"/>
      <x v="9"/>
    </i>
    <i r="4">
      <x v="11"/>
    </i>
    <i r="4">
      <x v="12"/>
    </i>
    <i r="4">
      <x v="17"/>
    </i>
    <i r="4">
      <x v="18"/>
    </i>
    <i r="4">
      <x v="26"/>
    </i>
    <i r="4">
      <x v="40"/>
    </i>
    <i r="4">
      <x v="42"/>
    </i>
    <i r="4">
      <x v="44"/>
    </i>
    <i r="4">
      <x v="48"/>
    </i>
    <i r="4">
      <x v="49"/>
    </i>
    <i>
      <x v="99"/>
      <x v="268"/>
      <x v="1"/>
      <x v="138"/>
      <x v="31"/>
    </i>
    <i>
      <x v="100"/>
      <x v="187"/>
      <x v="1"/>
      <x v="13"/>
      <x v="11"/>
    </i>
    <i r="4">
      <x v="12"/>
    </i>
    <i r="4">
      <x v="17"/>
    </i>
    <i r="4">
      <x v="18"/>
    </i>
    <i r="4">
      <x v="46"/>
    </i>
    <i r="4">
      <x v="48"/>
    </i>
    <i r="4">
      <x v="49"/>
    </i>
    <i r="4">
      <x v="51"/>
    </i>
    <i r="4">
      <x v="54"/>
    </i>
    <i>
      <x v="101"/>
      <x v="411"/>
      <x v="1"/>
      <x v="157"/>
      <x v="38"/>
    </i>
    <i>
      <x v="102"/>
      <x v="77"/>
      <x v="1"/>
      <x v="156"/>
      <x v="11"/>
    </i>
    <i r="4">
      <x v="12"/>
    </i>
    <i r="4">
      <x v="17"/>
    </i>
    <i r="4">
      <x v="18"/>
    </i>
    <i r="4">
      <x v="26"/>
    </i>
    <i r="4">
      <x v="33"/>
    </i>
    <i r="4">
      <x v="45"/>
    </i>
    <i>
      <x v="103"/>
      <x v="25"/>
      <x v="1"/>
      <x v="156"/>
      <x v="12"/>
    </i>
    <i r="4">
      <x v="18"/>
    </i>
    <i r="4">
      <x v="22"/>
    </i>
    <i r="4">
      <x v="26"/>
    </i>
    <i r="4">
      <x v="34"/>
    </i>
    <i r="4">
      <x v="41"/>
    </i>
    <i r="4">
      <x v="42"/>
    </i>
    <i r="4">
      <x v="44"/>
    </i>
    <i>
      <x v="104"/>
      <x v="339"/>
      <x/>
      <x v="158"/>
      <x v="7"/>
    </i>
    <i r="4">
      <x v="8"/>
    </i>
    <i r="4">
      <x v="9"/>
    </i>
    <i>
      <x v="105"/>
      <x v="225"/>
      <x v="1"/>
      <x v="156"/>
      <x v="26"/>
    </i>
    <i r="4">
      <x v="33"/>
    </i>
    <i>
      <x v="106"/>
      <x v="372"/>
      <x/>
      <x v="17"/>
      <x v="58"/>
    </i>
    <i>
      <x v="107"/>
      <x v="281"/>
      <x/>
      <x v="156"/>
      <x v="55"/>
    </i>
    <i>
      <x v="108"/>
      <x v="307"/>
      <x v="1"/>
      <x v="91"/>
      <x v="56"/>
    </i>
    <i r="4">
      <x v="57"/>
    </i>
    <i>
      <x v="109"/>
      <x v="229"/>
      <x v="1"/>
      <x v="156"/>
      <x v="11"/>
    </i>
    <i r="4">
      <x v="12"/>
    </i>
    <i r="4">
      <x v="19"/>
    </i>
    <i r="4">
      <x v="20"/>
    </i>
    <i r="4">
      <x v="21"/>
    </i>
    <i r="4">
      <x v="22"/>
    </i>
    <i r="4">
      <x v="27"/>
    </i>
    <i r="4">
      <x v="31"/>
    </i>
    <i r="4">
      <x v="48"/>
    </i>
    <i r="4">
      <x v="49"/>
    </i>
    <i>
      <x v="110"/>
      <x v="341"/>
      <x/>
      <x v="93"/>
      <x v="7"/>
    </i>
    <i r="4">
      <x v="8"/>
    </i>
    <i r="4">
      <x v="9"/>
    </i>
    <i>
      <x v="111"/>
      <x v="46"/>
      <x v="1"/>
      <x v="156"/>
      <x v="26"/>
    </i>
    <i>
      <x v="112"/>
      <x v="83"/>
      <x/>
      <x v="113"/>
      <x v="54"/>
    </i>
    <i>
      <x v="113"/>
      <x v="156"/>
      <x/>
      <x v="91"/>
      <x v="12"/>
    </i>
    <i r="4">
      <x v="37"/>
    </i>
    <i r="4">
      <x v="45"/>
    </i>
    <i>
      <x v="114"/>
      <x v="304"/>
      <x v="1"/>
      <x v="147"/>
      <x v="38"/>
    </i>
    <i>
      <x v="115"/>
      <x v="122"/>
      <x/>
      <x v="156"/>
      <x v="11"/>
    </i>
    <i r="4">
      <x v="12"/>
    </i>
    <i r="4">
      <x v="14"/>
    </i>
    <i r="4">
      <x v="15"/>
    </i>
    <i r="4">
      <x v="16"/>
    </i>
    <i r="4">
      <x v="17"/>
    </i>
    <i r="4">
      <x v="18"/>
    </i>
    <i r="4">
      <x v="21"/>
    </i>
    <i r="4">
      <x v="22"/>
    </i>
    <i r="4">
      <x v="24"/>
    </i>
    <i r="4">
      <x v="26"/>
    </i>
    <i r="4">
      <x v="27"/>
    </i>
    <i r="4">
      <x v="30"/>
    </i>
    <i r="4">
      <x v="31"/>
    </i>
    <i r="4">
      <x v="37"/>
    </i>
    <i r="4">
      <x v="41"/>
    </i>
    <i r="4">
      <x v="42"/>
    </i>
    <i r="4">
      <x v="44"/>
    </i>
    <i r="4">
      <x v="45"/>
    </i>
    <i r="4">
      <x v="46"/>
    </i>
    <i r="4">
      <x v="48"/>
    </i>
    <i r="4">
      <x v="49"/>
    </i>
    <i r="4">
      <x v="51"/>
    </i>
    <i>
      <x v="116"/>
      <x v="134"/>
      <x/>
      <x v="56"/>
      <x v="40"/>
    </i>
    <i>
      <x v="117"/>
      <x v="58"/>
      <x v="1"/>
      <x v="88"/>
      <x v="12"/>
    </i>
    <i r="4">
      <x v="26"/>
    </i>
    <i r="4">
      <x v="37"/>
    </i>
    <i r="4">
      <x v="40"/>
    </i>
    <i>
      <x v="118"/>
      <x v="282"/>
      <x/>
      <x v="156"/>
      <x v="12"/>
    </i>
    <i r="4">
      <x v="13"/>
    </i>
    <i r="4">
      <x v="14"/>
    </i>
    <i r="4">
      <x v="15"/>
    </i>
    <i r="4">
      <x v="18"/>
    </i>
    <i r="4">
      <x v="21"/>
    </i>
    <i r="4">
      <x v="27"/>
    </i>
    <i r="4">
      <x v="31"/>
    </i>
    <i r="4">
      <x v="37"/>
    </i>
    <i r="4">
      <x v="45"/>
    </i>
    <i r="4">
      <x v="48"/>
    </i>
    <i>
      <x v="119"/>
      <x v="265"/>
      <x v="1"/>
      <x v="156"/>
      <x v="40"/>
    </i>
    <i>
      <x v="120"/>
      <x v="285"/>
      <x/>
      <x v="27"/>
      <x v="24"/>
    </i>
    <i>
      <x v="121"/>
      <x v="48"/>
      <x/>
      <x v="12"/>
      <x v="8"/>
    </i>
    <i r="4">
      <x v="9"/>
    </i>
    <i r="4">
      <x v="10"/>
    </i>
    <i r="4">
      <x v="25"/>
    </i>
    <i r="4">
      <x v="35"/>
    </i>
    <i r="4">
      <x v="36"/>
    </i>
    <i>
      <x v="122"/>
      <x v="142"/>
      <x v="1"/>
      <x v="113"/>
      <x v="11"/>
    </i>
    <i r="4">
      <x v="12"/>
    </i>
    <i r="4">
      <x v="15"/>
    </i>
    <i r="4">
      <x v="16"/>
    </i>
    <i r="4">
      <x v="17"/>
    </i>
    <i r="4">
      <x v="18"/>
    </i>
    <i r="4">
      <x v="22"/>
    </i>
    <i r="4">
      <x v="26"/>
    </i>
    <i r="4">
      <x v="40"/>
    </i>
    <i r="4">
      <x v="41"/>
    </i>
    <i r="4">
      <x v="42"/>
    </i>
    <i r="4">
      <x v="44"/>
    </i>
    <i r="4">
      <x v="45"/>
    </i>
    <i r="4">
      <x v="46"/>
    </i>
    <i r="4">
      <x v="48"/>
    </i>
    <i r="4">
      <x v="49"/>
    </i>
    <i>
      <x v="123"/>
      <x v="368"/>
      <x/>
      <x v="111"/>
      <x v="56"/>
    </i>
    <i r="4">
      <x v="57"/>
    </i>
    <i>
      <x v="124"/>
      <x v="369"/>
      <x/>
      <x v="167"/>
      <x v="59"/>
    </i>
    <i r="4">
      <x v="60"/>
    </i>
    <i>
      <x v="125"/>
      <x v="63"/>
      <x v="1"/>
      <x v="19"/>
      <x v="12"/>
    </i>
    <i r="4">
      <x v="17"/>
    </i>
    <i r="4">
      <x v="18"/>
    </i>
    <i r="4">
      <x v="22"/>
    </i>
    <i r="4">
      <x v="23"/>
    </i>
    <i r="4">
      <x v="26"/>
    </i>
    <i r="4">
      <x v="32"/>
    </i>
    <i r="4">
      <x v="40"/>
    </i>
    <i r="4">
      <x v="44"/>
    </i>
    <i>
      <x v="126"/>
      <x v="34"/>
      <x/>
      <x v="114"/>
      <x v="12"/>
    </i>
    <i r="4">
      <x v="17"/>
    </i>
    <i r="4">
      <x v="18"/>
    </i>
    <i r="4">
      <x v="22"/>
    </i>
    <i r="4">
      <x v="26"/>
    </i>
    <i r="4">
      <x v="37"/>
    </i>
    <i r="4">
      <x v="40"/>
    </i>
    <i r="4">
      <x v="41"/>
    </i>
    <i r="4">
      <x v="42"/>
    </i>
    <i r="4">
      <x v="44"/>
    </i>
    <i r="4">
      <x v="45"/>
    </i>
    <i>
      <x v="127"/>
      <x v="107"/>
      <x/>
      <x v="121"/>
      <x v="12"/>
    </i>
    <i r="4">
      <x v="13"/>
    </i>
    <i r="4">
      <x v="14"/>
    </i>
    <i r="4">
      <x v="15"/>
    </i>
    <i r="4">
      <x v="17"/>
    </i>
    <i r="4">
      <x v="18"/>
    </i>
    <i r="4">
      <x v="22"/>
    </i>
    <i r="4">
      <x v="26"/>
    </i>
    <i r="4">
      <x v="40"/>
    </i>
    <i r="4">
      <x v="41"/>
    </i>
    <i r="4">
      <x v="44"/>
    </i>
    <i r="4">
      <x v="45"/>
    </i>
    <i r="4">
      <x v="48"/>
    </i>
    <i r="4">
      <x v="49"/>
    </i>
    <i>
      <x v="128"/>
      <x v="89"/>
      <x v="1"/>
      <x v="4"/>
      <x v="12"/>
    </i>
    <i r="4">
      <x v="22"/>
    </i>
    <i r="4">
      <x v="26"/>
    </i>
    <i r="4">
      <x v="44"/>
    </i>
    <i r="4">
      <x v="45"/>
    </i>
    <i>
      <x v="129"/>
      <x v="145"/>
      <x v="1"/>
      <x v="161"/>
      <x v="12"/>
    </i>
    <i r="4">
      <x v="14"/>
    </i>
    <i r="4">
      <x v="15"/>
    </i>
    <i r="4">
      <x v="18"/>
    </i>
    <i r="4">
      <x v="25"/>
    </i>
    <i r="4">
      <x v="26"/>
    </i>
    <i r="4">
      <x v="29"/>
    </i>
    <i r="4">
      <x v="37"/>
    </i>
    <i r="4">
      <x v="40"/>
    </i>
    <i r="4">
      <x v="42"/>
    </i>
    <i r="4">
      <x v="44"/>
    </i>
    <i r="4">
      <x v="45"/>
    </i>
    <i>
      <x v="130"/>
      <x v="257"/>
      <x/>
      <x v="156"/>
      <x v="2"/>
    </i>
    <i r="4">
      <x v="5"/>
    </i>
    <i r="4">
      <x v="11"/>
    </i>
    <i r="4">
      <x v="12"/>
    </i>
    <i r="4">
      <x v="14"/>
    </i>
    <i r="4">
      <x v="15"/>
    </i>
    <i r="4">
      <x v="16"/>
    </i>
    <i r="4">
      <x v="17"/>
    </i>
    <i r="4">
      <x v="18"/>
    </i>
    <i r="4">
      <x v="21"/>
    </i>
    <i r="4">
      <x v="22"/>
    </i>
    <i r="4">
      <x v="24"/>
    </i>
    <i r="4">
      <x v="27"/>
    </i>
    <i r="4">
      <x v="30"/>
    </i>
    <i r="4">
      <x v="31"/>
    </i>
    <i r="4">
      <x v="34"/>
    </i>
    <i r="4">
      <x v="37"/>
    </i>
    <i r="4">
      <x v="41"/>
    </i>
    <i r="4">
      <x v="42"/>
    </i>
    <i r="4">
      <x v="44"/>
    </i>
    <i r="4">
      <x v="45"/>
    </i>
    <i r="4">
      <x v="46"/>
    </i>
    <i r="4">
      <x v="48"/>
    </i>
    <i r="4">
      <x v="49"/>
    </i>
    <i r="4">
      <x v="50"/>
    </i>
    <i r="4">
      <x v="51"/>
    </i>
    <i>
      <x v="131"/>
      <x v="306"/>
      <x/>
      <x v="150"/>
      <x v="38"/>
    </i>
    <i>
      <x v="132"/>
      <x v="75"/>
      <x/>
      <x v="117"/>
      <x v="11"/>
    </i>
    <i r="4">
      <x v="12"/>
    </i>
    <i r="4">
      <x v="15"/>
    </i>
    <i r="4">
      <x v="17"/>
    </i>
    <i r="4">
      <x v="18"/>
    </i>
    <i r="4">
      <x v="22"/>
    </i>
    <i r="4">
      <x v="26"/>
    </i>
    <i r="4">
      <x v="41"/>
    </i>
    <i r="4">
      <x v="44"/>
    </i>
    <i r="4">
      <x v="45"/>
    </i>
    <i r="4">
      <x v="46"/>
    </i>
    <i r="4">
      <x v="48"/>
    </i>
    <i r="4">
      <x v="49"/>
    </i>
    <i r="4">
      <x v="51"/>
    </i>
    <i r="4">
      <x v="54"/>
    </i>
    <i>
      <x v="133"/>
      <x v="394"/>
      <x v="1"/>
      <x v="5"/>
      <x v="38"/>
    </i>
    <i r="4">
      <x v="59"/>
    </i>
    <i>
      <x v="134"/>
      <x v="32"/>
      <x/>
      <x v="156"/>
      <x v="2"/>
    </i>
    <i r="4">
      <x v="5"/>
    </i>
    <i r="4">
      <x v="11"/>
    </i>
    <i r="4">
      <x v="12"/>
    </i>
    <i r="4">
      <x v="13"/>
    </i>
    <i r="4">
      <x v="14"/>
    </i>
    <i r="4">
      <x v="15"/>
    </i>
    <i r="4">
      <x v="16"/>
    </i>
    <i r="4">
      <x v="17"/>
    </i>
    <i r="4">
      <x v="18"/>
    </i>
    <i r="4">
      <x v="21"/>
    </i>
    <i r="4">
      <x v="22"/>
    </i>
    <i r="4">
      <x v="24"/>
    </i>
    <i r="4">
      <x v="26"/>
    </i>
    <i r="4">
      <x v="27"/>
    </i>
    <i r="4">
      <x v="30"/>
    </i>
    <i r="4">
      <x v="31"/>
    </i>
    <i r="4">
      <x v="34"/>
    </i>
    <i r="4">
      <x v="40"/>
    </i>
    <i r="4">
      <x v="41"/>
    </i>
    <i r="4">
      <x v="42"/>
    </i>
    <i r="4">
      <x v="44"/>
    </i>
    <i r="4">
      <x v="45"/>
    </i>
    <i r="4">
      <x v="46"/>
    </i>
    <i r="4">
      <x v="47"/>
    </i>
    <i r="4">
      <x v="48"/>
    </i>
    <i r="4">
      <x v="49"/>
    </i>
    <i r="4">
      <x v="50"/>
    </i>
    <i r="4">
      <x v="51"/>
    </i>
    <i r="4">
      <x v="52"/>
    </i>
    <i r="4">
      <x v="53"/>
    </i>
    <i r="4">
      <x v="54"/>
    </i>
    <i>
      <x v="135"/>
      <x v="232"/>
      <x v="1"/>
      <x v="156"/>
      <x v="27"/>
    </i>
    <i>
      <x v="136"/>
      <x v="70"/>
      <x/>
      <x v="7"/>
      <x v="2"/>
    </i>
    <i r="4">
      <x v="5"/>
    </i>
    <i r="4">
      <x v="11"/>
    </i>
    <i r="4">
      <x v="12"/>
    </i>
    <i r="4">
      <x v="14"/>
    </i>
    <i r="4">
      <x v="15"/>
    </i>
    <i r="4">
      <x v="16"/>
    </i>
    <i r="4">
      <x v="17"/>
    </i>
    <i r="4">
      <x v="18"/>
    </i>
    <i r="4">
      <x v="20"/>
    </i>
    <i r="4">
      <x v="21"/>
    </i>
    <i r="4">
      <x v="22"/>
    </i>
    <i r="4">
      <x v="23"/>
    </i>
    <i r="4">
      <x v="24"/>
    </i>
    <i r="4">
      <x v="26"/>
    </i>
    <i r="4">
      <x v="27"/>
    </i>
    <i r="4">
      <x v="30"/>
    </i>
    <i r="4">
      <x v="31"/>
    </i>
    <i r="4">
      <x v="33"/>
    </i>
    <i r="4">
      <x v="37"/>
    </i>
    <i r="4">
      <x v="39"/>
    </i>
    <i r="4">
      <x v="40"/>
    </i>
    <i r="4">
      <x v="41"/>
    </i>
    <i r="4">
      <x v="42"/>
    </i>
    <i r="4">
      <x v="44"/>
    </i>
    <i r="4">
      <x v="45"/>
    </i>
    <i r="4">
      <x v="46"/>
    </i>
    <i r="4">
      <x v="47"/>
    </i>
    <i r="4">
      <x v="48"/>
    </i>
    <i r="4">
      <x v="49"/>
    </i>
    <i r="4">
      <x v="51"/>
    </i>
    <i r="4">
      <x v="54"/>
    </i>
    <i>
      <x v="137"/>
      <x v="296"/>
      <x/>
      <x v="97"/>
      <x v="12"/>
    </i>
    <i r="4">
      <x v="15"/>
    </i>
    <i r="4">
      <x v="16"/>
    </i>
    <i r="4">
      <x v="17"/>
    </i>
    <i r="4">
      <x v="18"/>
    </i>
    <i r="4">
      <x v="22"/>
    </i>
    <i r="4">
      <x v="26"/>
    </i>
    <i r="4">
      <x v="28"/>
    </i>
    <i r="4">
      <x v="29"/>
    </i>
    <i r="4">
      <x v="30"/>
    </i>
    <i r="4">
      <x v="37"/>
    </i>
    <i r="4">
      <x v="40"/>
    </i>
    <i r="4">
      <x v="41"/>
    </i>
    <i r="4">
      <x v="44"/>
    </i>
    <i r="4">
      <x v="45"/>
    </i>
    <i r="4">
      <x v="48"/>
    </i>
    <i r="4">
      <x v="49"/>
    </i>
    <i>
      <x v="138"/>
      <x v="273"/>
      <x v="1"/>
      <x v="83"/>
      <x v="13"/>
    </i>
    <i r="4">
      <x v="14"/>
    </i>
    <i r="4">
      <x v="15"/>
    </i>
    <i r="4">
      <x v="37"/>
    </i>
    <i r="4">
      <x v="40"/>
    </i>
    <i r="4">
      <x v="45"/>
    </i>
    <i>
      <x v="139"/>
      <x v="112"/>
      <x v="1"/>
      <x v="156"/>
      <x v="26"/>
    </i>
    <i>
      <x v="140"/>
      <x v="354"/>
      <x v="1"/>
      <x v="156"/>
      <x v="34"/>
    </i>
    <i>
      <x v="141"/>
      <x v="81"/>
      <x v="1"/>
      <x v="111"/>
      <x v="11"/>
    </i>
    <i r="4">
      <x v="12"/>
    </i>
    <i r="4">
      <x v="15"/>
    </i>
    <i r="4">
      <x v="17"/>
    </i>
    <i r="4">
      <x v="18"/>
    </i>
    <i r="4">
      <x v="22"/>
    </i>
    <i r="4">
      <x v="26"/>
    </i>
    <i r="4">
      <x v="27"/>
    </i>
    <i r="4">
      <x v="40"/>
    </i>
    <i r="4">
      <x v="42"/>
    </i>
    <i r="4">
      <x v="44"/>
    </i>
    <i r="4">
      <x v="45"/>
    </i>
    <i>
      <x v="142"/>
      <x v="65"/>
      <x v="1"/>
      <x v="156"/>
      <x v="19"/>
    </i>
    <i r="4">
      <x v="20"/>
    </i>
    <i r="4">
      <x v="22"/>
    </i>
    <i r="4">
      <x v="27"/>
    </i>
    <i r="4">
      <x v="31"/>
    </i>
    <i r="4">
      <x v="44"/>
    </i>
    <i>
      <x v="143"/>
      <x v="381"/>
      <x/>
      <x v="50"/>
      <x v="2"/>
    </i>
    <i r="4">
      <x v="3"/>
    </i>
    <i r="4">
      <x v="4"/>
    </i>
    <i r="4">
      <x v="33"/>
    </i>
    <i>
      <x v="144"/>
      <x v="31"/>
      <x v="1"/>
      <x v="156"/>
      <x v="11"/>
    </i>
    <i r="4">
      <x v="12"/>
    </i>
    <i r="4">
      <x v="18"/>
    </i>
    <i r="4">
      <x v="26"/>
    </i>
    <i r="4">
      <x v="46"/>
    </i>
    <i r="4">
      <x v="47"/>
    </i>
    <i r="4">
      <x v="48"/>
    </i>
    <i r="4">
      <x v="49"/>
    </i>
    <i r="4">
      <x v="51"/>
    </i>
    <i>
      <x v="145"/>
      <x v="158"/>
      <x v="1"/>
      <x v="27"/>
      <x v="11"/>
    </i>
    <i r="4">
      <x v="12"/>
    </i>
    <i r="4">
      <x v="15"/>
    </i>
    <i r="4">
      <x v="17"/>
    </i>
    <i r="4">
      <x v="18"/>
    </i>
    <i r="4">
      <x v="26"/>
    </i>
    <i r="4">
      <x v="39"/>
    </i>
    <i r="4">
      <x v="40"/>
    </i>
    <i r="4">
      <x v="42"/>
    </i>
    <i r="4">
      <x v="44"/>
    </i>
    <i r="4">
      <x v="45"/>
    </i>
    <i>
      <x v="146"/>
      <x v="324"/>
      <x/>
      <x v="62"/>
      <x v="22"/>
    </i>
    <i r="4">
      <x v="44"/>
    </i>
    <i>
      <x v="147"/>
      <x v="215"/>
      <x/>
      <x v="156"/>
      <x v="7"/>
    </i>
    <i r="4">
      <x v="8"/>
    </i>
    <i r="4">
      <x v="9"/>
    </i>
    <i r="4">
      <x v="10"/>
    </i>
    <i>
      <x v="148"/>
      <x v="118"/>
      <x v="1"/>
      <x v="78"/>
      <x v="8"/>
    </i>
    <i r="4">
      <x v="9"/>
    </i>
    <i r="4">
      <x v="10"/>
    </i>
    <i r="4">
      <x v="26"/>
    </i>
    <i r="4">
      <x v="35"/>
    </i>
    <i r="4">
      <x v="36"/>
    </i>
    <i>
      <x v="149"/>
      <x v="121"/>
      <x/>
      <x v="38"/>
      <x v="8"/>
    </i>
    <i r="4">
      <x v="9"/>
    </i>
    <i r="4">
      <x v="10"/>
    </i>
    <i r="4">
      <x v="35"/>
    </i>
    <i r="4">
      <x v="36"/>
    </i>
    <i>
      <x v="150"/>
      <x v="234"/>
      <x/>
      <x v="62"/>
      <x v="11"/>
    </i>
    <i r="4">
      <x v="12"/>
    </i>
    <i r="4">
      <x v="15"/>
    </i>
    <i r="4">
      <x v="16"/>
    </i>
    <i r="4">
      <x v="17"/>
    </i>
    <i r="4">
      <x v="18"/>
    </i>
    <i r="4">
      <x v="22"/>
    </i>
    <i r="4">
      <x v="41"/>
    </i>
    <i r="4">
      <x v="42"/>
    </i>
    <i r="4">
      <x v="43"/>
    </i>
    <i r="4">
      <x v="44"/>
    </i>
    <i r="4">
      <x v="45"/>
    </i>
    <i r="4">
      <x v="46"/>
    </i>
    <i r="4">
      <x v="48"/>
    </i>
    <i r="4">
      <x v="49"/>
    </i>
    <i>
      <x v="151"/>
      <x v="311"/>
      <x/>
      <x v="8"/>
      <x v="7"/>
    </i>
    <i r="4">
      <x v="45"/>
    </i>
    <i>
      <x v="152"/>
      <x v="174"/>
      <x/>
      <x v="133"/>
      <x v="8"/>
    </i>
    <i r="4">
      <x v="10"/>
    </i>
    <i>
      <x v="153"/>
      <x v="396"/>
      <x v="1"/>
      <x v="73"/>
      <x v="8"/>
    </i>
    <i r="4">
      <x v="9"/>
    </i>
    <i>
      <x v="154"/>
      <x v="14"/>
      <x/>
      <x v="118"/>
      <x v="12"/>
    </i>
    <i r="4">
      <x v="13"/>
    </i>
    <i r="4">
      <x v="14"/>
    </i>
    <i r="4">
      <x v="15"/>
    </i>
    <i r="4">
      <x v="16"/>
    </i>
    <i r="4">
      <x v="17"/>
    </i>
    <i r="4">
      <x v="18"/>
    </i>
    <i r="4">
      <x v="22"/>
    </i>
    <i r="4">
      <x v="23"/>
    </i>
    <i r="4">
      <x v="26"/>
    </i>
    <i r="4">
      <x v="37"/>
    </i>
    <i r="4">
      <x v="40"/>
    </i>
    <i r="4">
      <x v="42"/>
    </i>
    <i r="4">
      <x v="43"/>
    </i>
    <i r="4">
      <x v="44"/>
    </i>
    <i r="4">
      <x v="45"/>
    </i>
    <i>
      <x v="155"/>
      <x v="380"/>
      <x/>
      <x v="156"/>
      <x v="6"/>
    </i>
    <i r="4">
      <x v="8"/>
    </i>
    <i r="4">
      <x v="9"/>
    </i>
    <i r="4">
      <x v="11"/>
    </i>
    <i r="4">
      <x v="12"/>
    </i>
    <i r="4">
      <x v="14"/>
    </i>
    <i r="4">
      <x v="15"/>
    </i>
    <i r="4">
      <x v="16"/>
    </i>
    <i r="4">
      <x v="17"/>
    </i>
    <i r="4">
      <x v="18"/>
    </i>
    <i r="4">
      <x v="22"/>
    </i>
    <i r="4">
      <x v="26"/>
    </i>
    <i r="4">
      <x v="34"/>
    </i>
    <i r="4">
      <x v="41"/>
    </i>
    <i r="4">
      <x v="42"/>
    </i>
    <i r="4">
      <x v="44"/>
    </i>
    <i r="4">
      <x v="45"/>
    </i>
    <i r="4">
      <x v="46"/>
    </i>
    <i r="4">
      <x v="47"/>
    </i>
    <i r="4">
      <x v="48"/>
    </i>
    <i r="4">
      <x v="49"/>
    </i>
    <i r="4">
      <x v="51"/>
    </i>
    <i r="4">
      <x v="53"/>
    </i>
    <i r="4">
      <x v="54"/>
    </i>
    <i>
      <x v="156"/>
      <x v="151"/>
      <x/>
      <x v="156"/>
      <x v="12"/>
    </i>
    <i r="4">
      <x v="17"/>
    </i>
    <i r="4">
      <x v="18"/>
    </i>
    <i r="4">
      <x v="20"/>
    </i>
    <i r="4">
      <x v="21"/>
    </i>
    <i r="4">
      <x v="22"/>
    </i>
    <i r="4">
      <x v="24"/>
    </i>
    <i r="4">
      <x v="26"/>
    </i>
    <i r="4">
      <x v="31"/>
    </i>
    <i r="4">
      <x v="41"/>
    </i>
    <i r="4">
      <x v="42"/>
    </i>
    <i r="4">
      <x v="44"/>
    </i>
    <i r="4">
      <x v="45"/>
    </i>
    <i r="4">
      <x v="48"/>
    </i>
    <i>
      <x v="157"/>
      <x v="335"/>
      <x v="1"/>
      <x v="113"/>
      <x v="12"/>
    </i>
    <i r="4">
      <x v="17"/>
    </i>
    <i r="4">
      <x v="18"/>
    </i>
    <i r="4">
      <x v="34"/>
    </i>
    <i>
      <x v="158"/>
      <x v="297"/>
      <x/>
      <x v="5"/>
      <x v="8"/>
    </i>
    <i r="4">
      <x v="9"/>
    </i>
    <i r="4">
      <x v="11"/>
    </i>
    <i r="4">
      <x v="12"/>
    </i>
    <i r="4">
      <x v="13"/>
    </i>
    <i r="4">
      <x v="14"/>
    </i>
    <i r="4">
      <x v="15"/>
    </i>
    <i r="4">
      <x v="17"/>
    </i>
    <i r="4">
      <x v="18"/>
    </i>
    <i r="4">
      <x v="20"/>
    </i>
    <i r="4">
      <x v="22"/>
    </i>
    <i r="4">
      <x v="26"/>
    </i>
    <i r="4">
      <x v="33"/>
    </i>
    <i r="4">
      <x v="37"/>
    </i>
    <i r="4">
      <x v="40"/>
    </i>
    <i r="4">
      <x v="41"/>
    </i>
    <i r="4">
      <x v="42"/>
    </i>
    <i r="4">
      <x v="44"/>
    </i>
    <i r="4">
      <x v="45"/>
    </i>
    <i r="4">
      <x v="48"/>
    </i>
    <i r="4">
      <x v="49"/>
    </i>
    <i>
      <x v="159"/>
      <x v="190"/>
      <x/>
      <x v="156"/>
      <x v="11"/>
    </i>
    <i r="4">
      <x v="12"/>
    </i>
    <i r="4">
      <x v="14"/>
    </i>
    <i r="4">
      <x v="15"/>
    </i>
    <i r="4">
      <x v="16"/>
    </i>
    <i r="4">
      <x v="17"/>
    </i>
    <i r="4">
      <x v="18"/>
    </i>
    <i r="4">
      <x v="20"/>
    </i>
    <i r="4">
      <x v="22"/>
    </i>
    <i r="4">
      <x v="26"/>
    </i>
    <i r="4">
      <x v="27"/>
    </i>
    <i r="4">
      <x v="30"/>
    </i>
    <i r="4">
      <x v="34"/>
    </i>
    <i r="4">
      <x v="37"/>
    </i>
    <i r="4">
      <x v="40"/>
    </i>
    <i r="4">
      <x v="41"/>
    </i>
    <i r="4">
      <x v="42"/>
    </i>
    <i r="4">
      <x v="44"/>
    </i>
    <i r="4">
      <x v="45"/>
    </i>
    <i r="4">
      <x v="46"/>
    </i>
    <i r="4">
      <x v="48"/>
    </i>
    <i r="4">
      <x v="49"/>
    </i>
    <i r="4">
      <x v="51"/>
    </i>
    <i>
      <x v="160"/>
      <x v="124"/>
      <x v="1"/>
      <x v="111"/>
      <x v="12"/>
    </i>
    <i r="4">
      <x v="15"/>
    </i>
    <i r="4">
      <x v="17"/>
    </i>
    <i r="4">
      <x v="18"/>
    </i>
    <i r="4">
      <x v="26"/>
    </i>
    <i r="4">
      <x v="37"/>
    </i>
    <i r="4">
      <x v="40"/>
    </i>
    <i r="4">
      <x v="44"/>
    </i>
    <i r="4">
      <x v="45"/>
    </i>
    <i r="4">
      <x v="48"/>
    </i>
    <i r="4">
      <x v="49"/>
    </i>
    <i>
      <x v="161"/>
      <x v="387"/>
      <x/>
      <x v="173"/>
      <x v="22"/>
    </i>
    <i r="4">
      <x v="44"/>
    </i>
    <i>
      <x v="162"/>
      <x v="314"/>
      <x v="1"/>
      <x v="82"/>
      <x v="7"/>
    </i>
    <i r="4">
      <x v="8"/>
    </i>
    <i r="4">
      <x v="9"/>
    </i>
    <i>
      <x v="163"/>
      <x v="15"/>
      <x v="1"/>
      <x v="105"/>
      <x v="7"/>
    </i>
    <i r="4">
      <x v="8"/>
    </i>
    <i r="4">
      <x v="9"/>
    </i>
    <i r="4">
      <x v="10"/>
    </i>
    <i r="4">
      <x v="11"/>
    </i>
    <i r="4">
      <x v="12"/>
    </i>
    <i r="4">
      <x v="14"/>
    </i>
    <i r="4">
      <x v="15"/>
    </i>
    <i r="4">
      <x v="17"/>
    </i>
    <i r="4">
      <x v="18"/>
    </i>
    <i r="4">
      <x v="23"/>
    </i>
    <i r="4">
      <x v="25"/>
    </i>
    <i r="4">
      <x v="26"/>
    </i>
    <i r="4">
      <x v="29"/>
    </i>
    <i r="4">
      <x v="32"/>
    </i>
    <i r="4">
      <x v="33"/>
    </i>
    <i r="4">
      <x v="39"/>
    </i>
    <i r="4">
      <x v="40"/>
    </i>
    <i r="4">
      <x v="45"/>
    </i>
    <i r="4">
      <x v="48"/>
    </i>
    <i r="4">
      <x v="49"/>
    </i>
    <i r="4">
      <x v="54"/>
    </i>
    <i>
      <x v="164"/>
      <x v="289"/>
      <x/>
      <x v="156"/>
      <x v="38"/>
    </i>
    <i>
      <x v="165"/>
      <x v="202"/>
      <x v="1"/>
      <x v="34"/>
      <x v="26"/>
    </i>
    <i>
      <x v="166"/>
      <x v="274"/>
      <x v="1"/>
      <x v="156"/>
      <x v="26"/>
    </i>
    <i>
      <x v="167"/>
      <x v="16"/>
      <x/>
      <x v="156"/>
      <x/>
    </i>
    <i r="4">
      <x v="2"/>
    </i>
    <i r="4">
      <x v="3"/>
    </i>
    <i r="4">
      <x v="4"/>
    </i>
    <i r="4">
      <x v="5"/>
    </i>
    <i r="4">
      <x v="6"/>
    </i>
    <i r="4">
      <x v="7"/>
    </i>
    <i r="4">
      <x v="8"/>
    </i>
    <i r="4">
      <x v="9"/>
    </i>
    <i r="4">
      <x v="10"/>
    </i>
    <i r="4">
      <x v="11"/>
    </i>
    <i r="4">
      <x v="12"/>
    </i>
    <i r="4">
      <x v="13"/>
    </i>
    <i r="4">
      <x v="14"/>
    </i>
    <i r="4">
      <x v="15"/>
    </i>
    <i r="4">
      <x v="16"/>
    </i>
    <i r="4">
      <x v="17"/>
    </i>
    <i r="4">
      <x v="18"/>
    </i>
    <i r="4">
      <x v="19"/>
    </i>
    <i r="4">
      <x v="20"/>
    </i>
    <i r="4">
      <x v="21"/>
    </i>
    <i r="4">
      <x v="22"/>
    </i>
    <i r="4">
      <x v="26"/>
    </i>
    <i r="4">
      <x v="27"/>
    </i>
    <i r="4">
      <x v="30"/>
    </i>
    <i r="4">
      <x v="31"/>
    </i>
    <i r="4">
      <x v="33"/>
    </i>
    <i r="4">
      <x v="34"/>
    </i>
    <i r="4">
      <x v="37"/>
    </i>
    <i r="4">
      <x v="41"/>
    </i>
    <i r="4">
      <x v="42"/>
    </i>
    <i r="4">
      <x v="44"/>
    </i>
    <i r="4">
      <x v="45"/>
    </i>
    <i r="4">
      <x v="46"/>
    </i>
    <i r="4">
      <x v="47"/>
    </i>
    <i r="4">
      <x v="48"/>
    </i>
    <i r="4">
      <x v="49"/>
    </i>
    <i r="4">
      <x v="50"/>
    </i>
    <i r="4">
      <x v="51"/>
    </i>
    <i r="4">
      <x v="52"/>
    </i>
    <i r="4">
      <x v="53"/>
    </i>
    <i r="4">
      <x v="54"/>
    </i>
    <i r="4">
      <x v="55"/>
    </i>
    <i>
      <x v="168"/>
      <x v="104"/>
      <x/>
      <x v="34"/>
      <x/>
    </i>
    <i r="4">
      <x v="5"/>
    </i>
    <i r="4">
      <x v="11"/>
    </i>
    <i r="4">
      <x v="12"/>
    </i>
    <i r="4">
      <x v="13"/>
    </i>
    <i r="4">
      <x v="14"/>
    </i>
    <i r="4">
      <x v="15"/>
    </i>
    <i r="4">
      <x v="16"/>
    </i>
    <i r="4">
      <x v="17"/>
    </i>
    <i r="4">
      <x v="18"/>
    </i>
    <i r="4">
      <x v="22"/>
    </i>
    <i r="4">
      <x v="23"/>
    </i>
    <i r="4">
      <x v="26"/>
    </i>
    <i r="4">
      <x v="27"/>
    </i>
    <i r="4">
      <x v="30"/>
    </i>
    <i r="4">
      <x v="32"/>
    </i>
    <i r="4">
      <x v="37"/>
    </i>
    <i r="4">
      <x v="40"/>
    </i>
    <i r="4">
      <x v="41"/>
    </i>
    <i r="4">
      <x v="42"/>
    </i>
    <i r="4">
      <x v="43"/>
    </i>
    <i r="4">
      <x v="44"/>
    </i>
    <i r="4">
      <x v="45"/>
    </i>
    <i r="4">
      <x v="46"/>
    </i>
    <i r="4">
      <x v="48"/>
    </i>
    <i r="4">
      <x v="49"/>
    </i>
    <i r="4">
      <x v="56"/>
    </i>
    <i r="4">
      <x v="57"/>
    </i>
    <i r="4">
      <x v="59"/>
    </i>
    <i>
      <x v="169"/>
      <x v="68"/>
      <x/>
      <x v="124"/>
      <x v="12"/>
    </i>
    <i r="4">
      <x v="17"/>
    </i>
    <i r="4">
      <x v="18"/>
    </i>
    <i r="4">
      <x v="26"/>
    </i>
    <i r="4">
      <x v="37"/>
    </i>
    <i r="4">
      <x v="44"/>
    </i>
    <i r="4">
      <x v="45"/>
    </i>
    <i>
      <x v="170"/>
      <x v="319"/>
      <x/>
      <x v="111"/>
      <x/>
    </i>
    <i r="4">
      <x v="1"/>
    </i>
    <i r="4">
      <x v="2"/>
    </i>
    <i r="4">
      <x v="3"/>
    </i>
    <i r="4">
      <x v="4"/>
    </i>
    <i r="4">
      <x v="5"/>
    </i>
    <i r="4">
      <x v="6"/>
    </i>
    <i r="4">
      <x v="7"/>
    </i>
    <i r="4">
      <x v="8"/>
    </i>
    <i r="4">
      <x v="9"/>
    </i>
    <i r="4">
      <x v="11"/>
    </i>
    <i r="4">
      <x v="12"/>
    </i>
    <i r="4">
      <x v="13"/>
    </i>
    <i r="4">
      <x v="14"/>
    </i>
    <i r="4">
      <x v="15"/>
    </i>
    <i r="4">
      <x v="16"/>
    </i>
    <i r="4">
      <x v="17"/>
    </i>
    <i r="4">
      <x v="18"/>
    </i>
    <i r="4">
      <x v="20"/>
    </i>
    <i r="4">
      <x v="21"/>
    </i>
    <i r="4">
      <x v="22"/>
    </i>
    <i r="4">
      <x v="26"/>
    </i>
    <i r="4">
      <x v="27"/>
    </i>
    <i r="4">
      <x v="31"/>
    </i>
    <i r="4">
      <x v="33"/>
    </i>
    <i r="4">
      <x v="34"/>
    </i>
    <i r="4">
      <x v="37"/>
    </i>
    <i r="4">
      <x v="40"/>
    </i>
    <i r="4">
      <x v="41"/>
    </i>
    <i r="4">
      <x v="42"/>
    </i>
    <i r="4">
      <x v="44"/>
    </i>
    <i r="4">
      <x v="45"/>
    </i>
    <i r="4">
      <x v="46"/>
    </i>
    <i r="4">
      <x v="47"/>
    </i>
    <i r="4">
      <x v="48"/>
    </i>
    <i r="4">
      <x v="49"/>
    </i>
    <i r="4">
      <x v="51"/>
    </i>
    <i r="4">
      <x v="52"/>
    </i>
    <i r="4">
      <x v="53"/>
    </i>
    <i r="4">
      <x v="54"/>
    </i>
    <i r="4">
      <x v="55"/>
    </i>
    <i r="4">
      <x v="56"/>
    </i>
    <i r="4">
      <x v="57"/>
    </i>
    <i r="4">
      <x v="59"/>
    </i>
    <i r="4">
      <x v="60"/>
    </i>
    <i r="4">
      <x v="61"/>
    </i>
    <i>
      <x v="171"/>
      <x v="199"/>
      <x/>
      <x v="81"/>
      <x v="12"/>
    </i>
    <i r="4">
      <x v="46"/>
    </i>
    <i r="4">
      <x v="47"/>
    </i>
    <i r="4">
      <x v="48"/>
    </i>
    <i r="4">
      <x v="49"/>
    </i>
    <i r="4">
      <x v="50"/>
    </i>
    <i r="4">
      <x v="51"/>
    </i>
    <i r="4">
      <x v="52"/>
    </i>
    <i>
      <x v="172"/>
      <x v="36"/>
      <x/>
      <x v="156"/>
      <x v="12"/>
    </i>
    <i r="4">
      <x v="13"/>
    </i>
    <i r="4">
      <x v="14"/>
    </i>
    <i r="4">
      <x v="15"/>
    </i>
    <i r="4">
      <x v="17"/>
    </i>
    <i r="4">
      <x v="26"/>
    </i>
    <i r="4">
      <x v="39"/>
    </i>
    <i r="4">
      <x v="40"/>
    </i>
    <i r="4">
      <x v="48"/>
    </i>
    <i>
      <x v="173"/>
      <x v="84"/>
      <x v="1"/>
      <x v="46"/>
      <x v="11"/>
    </i>
    <i r="4">
      <x v="12"/>
    </i>
    <i r="4">
      <x v="15"/>
    </i>
    <i r="4">
      <x v="17"/>
    </i>
    <i r="4">
      <x v="18"/>
    </i>
    <i r="4">
      <x v="26"/>
    </i>
    <i r="4">
      <x v="45"/>
    </i>
    <i r="4">
      <x v="46"/>
    </i>
    <i r="4">
      <x v="47"/>
    </i>
    <i r="4">
      <x v="48"/>
    </i>
    <i r="4">
      <x v="49"/>
    </i>
    <i r="4">
      <x v="50"/>
    </i>
    <i r="4">
      <x v="51"/>
    </i>
    <i r="4">
      <x v="52"/>
    </i>
    <i>
      <x v="174"/>
      <x v="245"/>
      <x/>
      <x v="101"/>
      <x v="2"/>
    </i>
    <i r="4">
      <x v="4"/>
    </i>
    <i r="4">
      <x v="5"/>
    </i>
    <i r="4">
      <x v="6"/>
    </i>
    <i r="4">
      <x v="8"/>
    </i>
    <i r="4">
      <x v="9"/>
    </i>
    <i r="4">
      <x v="11"/>
    </i>
    <i r="4">
      <x v="12"/>
    </i>
    <i r="4">
      <x v="13"/>
    </i>
    <i r="4">
      <x v="14"/>
    </i>
    <i r="4">
      <x v="15"/>
    </i>
    <i r="4">
      <x v="16"/>
    </i>
    <i r="4">
      <x v="17"/>
    </i>
    <i r="4">
      <x v="18"/>
    </i>
    <i r="4">
      <x v="21"/>
    </i>
    <i r="4">
      <x v="22"/>
    </i>
    <i r="4">
      <x v="24"/>
    </i>
    <i r="4">
      <x v="26"/>
    </i>
    <i r="4">
      <x v="27"/>
    </i>
    <i r="4">
      <x v="30"/>
    </i>
    <i r="4">
      <x v="31"/>
    </i>
    <i r="4">
      <x v="33"/>
    </i>
    <i r="4">
      <x v="34"/>
    </i>
    <i r="4">
      <x v="37"/>
    </i>
    <i r="4">
      <x v="41"/>
    </i>
    <i r="4">
      <x v="42"/>
    </i>
    <i r="4">
      <x v="44"/>
    </i>
    <i r="4">
      <x v="45"/>
    </i>
    <i r="4">
      <x v="46"/>
    </i>
    <i r="4">
      <x v="47"/>
    </i>
    <i r="4">
      <x v="48"/>
    </i>
    <i r="4">
      <x v="49"/>
    </i>
    <i r="4">
      <x v="50"/>
    </i>
    <i r="4">
      <x v="51"/>
    </i>
    <i r="4">
      <x v="52"/>
    </i>
    <i r="4">
      <x v="53"/>
    </i>
    <i r="4">
      <x v="54"/>
    </i>
    <i r="4">
      <x v="55"/>
    </i>
    <i>
      <x v="175"/>
      <x v="263"/>
      <x/>
      <x v="29"/>
      <x v="12"/>
    </i>
    <i>
      <x v="176"/>
      <x v="262"/>
      <x v="1"/>
      <x v="95"/>
      <x v="26"/>
    </i>
    <i>
      <x v="177"/>
      <x v="405"/>
      <x/>
      <x v="55"/>
      <x v="12"/>
    </i>
    <i r="4">
      <x v="18"/>
    </i>
    <i r="4">
      <x v="26"/>
    </i>
    <i r="4">
      <x v="37"/>
    </i>
    <i r="4">
      <x v="40"/>
    </i>
    <i>
      <x v="178"/>
      <x v="26"/>
      <x/>
      <x v="11"/>
      <x v="11"/>
    </i>
    <i r="4">
      <x v="12"/>
    </i>
    <i r="4">
      <x v="14"/>
    </i>
    <i r="4">
      <x v="15"/>
    </i>
    <i r="4">
      <x v="16"/>
    </i>
    <i r="4">
      <x v="17"/>
    </i>
    <i r="4">
      <x v="18"/>
    </i>
    <i r="4">
      <x v="22"/>
    </i>
    <i r="4">
      <x v="26"/>
    </i>
    <i r="4">
      <x v="37"/>
    </i>
    <i r="4">
      <x v="40"/>
    </i>
    <i r="4">
      <x v="41"/>
    </i>
    <i r="4">
      <x v="42"/>
    </i>
    <i r="4">
      <x v="44"/>
    </i>
    <i r="4">
      <x v="45"/>
    </i>
    <i r="4">
      <x v="48"/>
    </i>
    <i r="4">
      <x v="49"/>
    </i>
    <i>
      <x v="179"/>
      <x v="6"/>
      <x v="1"/>
      <x v="90"/>
      <x v="12"/>
    </i>
    <i r="4">
      <x v="17"/>
    </i>
    <i r="4">
      <x v="18"/>
    </i>
    <i r="4">
      <x v="26"/>
    </i>
    <i r="4">
      <x v="42"/>
    </i>
    <i r="4">
      <x v="44"/>
    </i>
    <i r="4">
      <x v="45"/>
    </i>
    <i>
      <x v="180"/>
      <x v="261"/>
      <x/>
      <x v="120"/>
      <x v="12"/>
    </i>
    <i r="4">
      <x v="13"/>
    </i>
    <i r="4">
      <x v="14"/>
    </i>
    <i r="4">
      <x v="15"/>
    </i>
    <i r="4">
      <x v="26"/>
    </i>
    <i r="4">
      <x v="30"/>
    </i>
    <i r="4">
      <x v="45"/>
    </i>
    <i>
      <x v="181"/>
      <x v="72"/>
      <x v="1"/>
      <x v="57"/>
      <x v="5"/>
    </i>
    <i r="4">
      <x v="6"/>
    </i>
    <i r="4">
      <x v="11"/>
    </i>
    <i r="4">
      <x v="12"/>
    </i>
    <i r="4">
      <x v="16"/>
    </i>
    <i r="4">
      <x v="17"/>
    </i>
    <i r="4">
      <x v="18"/>
    </i>
    <i>
      <x v="182"/>
      <x v="27"/>
      <x/>
      <x v="78"/>
      <x v="30"/>
    </i>
    <i>
      <x v="183"/>
      <x v="302"/>
      <x/>
      <x v="14"/>
      <x v="8"/>
    </i>
    <i r="4">
      <x v="9"/>
    </i>
    <i>
      <x v="184"/>
      <x v="23"/>
      <x/>
      <x v="85"/>
      <x/>
    </i>
    <i r="4">
      <x v="2"/>
    </i>
    <i r="4">
      <x v="5"/>
    </i>
    <i r="4">
      <x v="6"/>
    </i>
    <i r="4">
      <x v="11"/>
    </i>
    <i r="4">
      <x v="12"/>
    </i>
    <i r="4">
      <x v="13"/>
    </i>
    <i r="4">
      <x v="14"/>
    </i>
    <i r="4">
      <x v="15"/>
    </i>
    <i r="4">
      <x v="16"/>
    </i>
    <i r="4">
      <x v="17"/>
    </i>
    <i r="4">
      <x v="18"/>
    </i>
    <i r="4">
      <x v="21"/>
    </i>
    <i r="4">
      <x v="22"/>
    </i>
    <i r="4">
      <x v="23"/>
    </i>
    <i r="4">
      <x v="26"/>
    </i>
    <i r="4">
      <x v="27"/>
    </i>
    <i r="4">
      <x v="31"/>
    </i>
    <i r="4">
      <x v="32"/>
    </i>
    <i r="4">
      <x v="34"/>
    </i>
    <i r="4">
      <x v="37"/>
    </i>
    <i r="4">
      <x v="40"/>
    </i>
    <i r="4">
      <x v="41"/>
    </i>
    <i r="4">
      <x v="42"/>
    </i>
    <i r="4">
      <x v="44"/>
    </i>
    <i r="4">
      <x v="45"/>
    </i>
    <i r="4">
      <x v="46"/>
    </i>
    <i r="4">
      <x v="47"/>
    </i>
    <i r="4">
      <x v="48"/>
    </i>
    <i r="4">
      <x v="49"/>
    </i>
    <i r="4">
      <x v="54"/>
    </i>
    <i>
      <x v="185"/>
      <x v="12"/>
      <x/>
      <x v="4"/>
      <x/>
    </i>
    <i r="4">
      <x v="5"/>
    </i>
    <i r="4">
      <x v="6"/>
    </i>
    <i r="4">
      <x v="11"/>
    </i>
    <i r="4">
      <x v="12"/>
    </i>
    <i r="4">
      <x v="13"/>
    </i>
    <i r="4">
      <x v="14"/>
    </i>
    <i r="4">
      <x v="15"/>
    </i>
    <i r="4">
      <x v="16"/>
    </i>
    <i r="4">
      <x v="17"/>
    </i>
    <i r="4">
      <x v="18"/>
    </i>
    <i r="4">
      <x v="21"/>
    </i>
    <i r="4">
      <x v="22"/>
    </i>
    <i r="4">
      <x v="26"/>
    </i>
    <i r="4">
      <x v="27"/>
    </i>
    <i r="4">
      <x v="30"/>
    </i>
    <i r="4">
      <x v="31"/>
    </i>
    <i r="4">
      <x v="34"/>
    </i>
    <i r="4">
      <x v="37"/>
    </i>
    <i r="4">
      <x v="40"/>
    </i>
    <i r="4">
      <x v="41"/>
    </i>
    <i r="4">
      <x v="42"/>
    </i>
    <i r="4">
      <x v="43"/>
    </i>
    <i r="4">
      <x v="44"/>
    </i>
    <i r="4">
      <x v="45"/>
    </i>
    <i r="4">
      <x v="46"/>
    </i>
    <i r="4">
      <x v="47"/>
    </i>
    <i r="4">
      <x v="48"/>
    </i>
    <i r="4">
      <x v="49"/>
    </i>
    <i r="4">
      <x v="51"/>
    </i>
    <i>
      <x v="186"/>
      <x v="88"/>
      <x v="1"/>
      <x v="75"/>
      <x v="38"/>
    </i>
    <i>
      <x v="187"/>
      <x v="149"/>
      <x/>
      <x v="131"/>
      <x v="5"/>
    </i>
    <i r="4">
      <x v="6"/>
    </i>
    <i r="4">
      <x v="28"/>
    </i>
    <i r="4">
      <x v="29"/>
    </i>
    <i r="4">
      <x v="30"/>
    </i>
    <i>
      <x v="188"/>
      <x v="114"/>
      <x/>
      <x v="45"/>
      <x v="8"/>
    </i>
    <i r="4">
      <x v="9"/>
    </i>
    <i r="4">
      <x v="10"/>
    </i>
    <i r="4">
      <x v="11"/>
    </i>
    <i r="4">
      <x v="12"/>
    </i>
    <i r="4">
      <x v="13"/>
    </i>
    <i r="4">
      <x v="14"/>
    </i>
    <i r="4">
      <x v="15"/>
    </i>
    <i r="4">
      <x v="16"/>
    </i>
    <i r="4">
      <x v="17"/>
    </i>
    <i r="4">
      <x v="18"/>
    </i>
    <i r="4">
      <x v="22"/>
    </i>
    <i r="4">
      <x v="24"/>
    </i>
    <i r="4">
      <x v="26"/>
    </i>
    <i r="4">
      <x v="37"/>
    </i>
    <i r="4">
      <x v="40"/>
    </i>
    <i r="4">
      <x v="41"/>
    </i>
    <i r="4">
      <x v="42"/>
    </i>
    <i r="4">
      <x v="44"/>
    </i>
    <i r="4">
      <x v="45"/>
    </i>
    <i r="4">
      <x v="48"/>
    </i>
    <i r="4">
      <x v="49"/>
    </i>
    <i>
      <x v="189"/>
      <x v="277"/>
      <x/>
      <x v="53"/>
      <x/>
    </i>
    <i r="4">
      <x v="2"/>
    </i>
    <i r="4">
      <x v="9"/>
    </i>
    <i r="4">
      <x v="11"/>
    </i>
    <i r="4">
      <x v="12"/>
    </i>
    <i r="4">
      <x v="13"/>
    </i>
    <i r="4">
      <x v="14"/>
    </i>
    <i r="4">
      <x v="15"/>
    </i>
    <i r="4">
      <x v="16"/>
    </i>
    <i r="4">
      <x v="17"/>
    </i>
    <i r="4">
      <x v="18"/>
    </i>
    <i r="4">
      <x v="22"/>
    </i>
    <i r="4">
      <x v="26"/>
    </i>
    <i r="4">
      <x v="37"/>
    </i>
    <i r="4">
      <x v="40"/>
    </i>
    <i r="4">
      <x v="41"/>
    </i>
    <i r="4">
      <x v="42"/>
    </i>
    <i r="4">
      <x v="44"/>
    </i>
    <i r="4">
      <x v="45"/>
    </i>
    <i r="4">
      <x v="46"/>
    </i>
    <i r="4">
      <x v="48"/>
    </i>
    <i r="4">
      <x v="49"/>
    </i>
    <i>
      <x v="190"/>
      <x v="43"/>
      <x v="1"/>
      <x v="127"/>
      <x v="26"/>
    </i>
    <i r="4">
      <x v="35"/>
    </i>
    <i r="4">
      <x v="36"/>
    </i>
    <i>
      <x v="191"/>
      <x v="255"/>
      <x v="1"/>
      <x v="78"/>
      <x v="34"/>
    </i>
    <i>
      <x v="192"/>
      <x v="50"/>
      <x/>
      <x v="97"/>
      <x v="2"/>
    </i>
    <i r="4">
      <x v="8"/>
    </i>
    <i r="4">
      <x v="9"/>
    </i>
    <i r="4">
      <x v="10"/>
    </i>
    <i r="4">
      <x v="11"/>
    </i>
    <i r="4">
      <x v="12"/>
    </i>
    <i r="4">
      <x v="13"/>
    </i>
    <i r="4">
      <x v="14"/>
    </i>
    <i r="4">
      <x v="15"/>
    </i>
    <i r="4">
      <x v="16"/>
    </i>
    <i r="4">
      <x v="17"/>
    </i>
    <i r="4">
      <x v="18"/>
    </i>
    <i r="4">
      <x v="21"/>
    </i>
    <i r="4">
      <x v="22"/>
    </i>
    <i r="4">
      <x v="26"/>
    </i>
    <i r="4">
      <x v="27"/>
    </i>
    <i r="4">
      <x v="30"/>
    </i>
    <i r="4">
      <x v="31"/>
    </i>
    <i r="4">
      <x v="37"/>
    </i>
    <i r="4">
      <x v="39"/>
    </i>
    <i r="4">
      <x v="40"/>
    </i>
    <i r="4">
      <x v="44"/>
    </i>
    <i r="4">
      <x v="45"/>
    </i>
    <i r="4">
      <x v="46"/>
    </i>
    <i r="4">
      <x v="48"/>
    </i>
    <i r="4">
      <x v="49"/>
    </i>
    <i>
      <x v="193"/>
      <x v="315"/>
      <x v="1"/>
      <x v="151"/>
      <x v="30"/>
    </i>
    <i>
      <x v="194"/>
      <x v="383"/>
      <x/>
      <x v="170"/>
      <x v="58"/>
    </i>
    <i>
      <x v="195"/>
      <x v="290"/>
      <x v="1"/>
      <x v="156"/>
      <x v="11"/>
    </i>
    <i r="4">
      <x v="12"/>
    </i>
    <i r="4">
      <x v="14"/>
    </i>
    <i r="4">
      <x v="15"/>
    </i>
    <i r="4">
      <x v="16"/>
    </i>
    <i r="4">
      <x v="17"/>
    </i>
    <i r="4">
      <x v="18"/>
    </i>
    <i r="4">
      <x v="22"/>
    </i>
    <i r="4">
      <x v="26"/>
    </i>
    <i r="4">
      <x v="37"/>
    </i>
    <i r="4">
      <x v="41"/>
    </i>
    <i r="4">
      <x v="42"/>
    </i>
    <i r="4">
      <x v="44"/>
    </i>
    <i r="4">
      <x v="45"/>
    </i>
    <i r="4">
      <x v="46"/>
    </i>
    <i r="4">
      <x v="48"/>
    </i>
    <i r="4">
      <x v="49"/>
    </i>
    <i>
      <x v="196"/>
      <x v="191"/>
      <x v="1"/>
      <x v="99"/>
      <x v="27"/>
    </i>
    <i>
      <x v="197"/>
      <x v="278"/>
      <x v="1"/>
      <x v="64"/>
      <x v="12"/>
    </i>
    <i r="4">
      <x v="22"/>
    </i>
    <i r="4">
      <x v="26"/>
    </i>
    <i r="4">
      <x v="30"/>
    </i>
    <i r="4">
      <x v="40"/>
    </i>
    <i r="4">
      <x v="42"/>
    </i>
    <i r="4">
      <x v="44"/>
    </i>
    <i r="4">
      <x v="48"/>
    </i>
    <i>
      <x v="198"/>
      <x v="67"/>
      <x v="1"/>
      <x v="9"/>
      <x/>
    </i>
    <i r="4">
      <x v="8"/>
    </i>
    <i r="4">
      <x v="9"/>
    </i>
    <i r="4">
      <x v="10"/>
    </i>
    <i r="4">
      <x v="26"/>
    </i>
    <i r="4">
      <x v="35"/>
    </i>
    <i r="4">
      <x v="36"/>
    </i>
    <i>
      <x v="199"/>
      <x v="39"/>
      <x/>
      <x v="141"/>
      <x v="22"/>
    </i>
    <i r="4">
      <x v="41"/>
    </i>
    <i r="4">
      <x v="42"/>
    </i>
    <i r="4">
      <x v="43"/>
    </i>
    <i r="4">
      <x v="44"/>
    </i>
    <i>
      <x v="200"/>
      <x v="243"/>
      <x/>
      <x v="77"/>
      <x v="26"/>
    </i>
    <i r="4">
      <x v="27"/>
    </i>
    <i r="4">
      <x v="37"/>
    </i>
    <i>
      <x v="201"/>
      <x v="362"/>
      <x/>
      <x v="156"/>
      <x v="1"/>
    </i>
    <i r="4">
      <x v="2"/>
    </i>
    <i r="4">
      <x v="3"/>
    </i>
    <i r="4">
      <x v="4"/>
    </i>
    <i r="4">
      <x v="5"/>
    </i>
    <i r="4">
      <x v="6"/>
    </i>
    <i r="4">
      <x v="7"/>
    </i>
    <i r="4">
      <x v="8"/>
    </i>
    <i r="4">
      <x v="9"/>
    </i>
    <i r="4">
      <x v="11"/>
    </i>
    <i r="4">
      <x v="12"/>
    </i>
    <i r="4">
      <x v="13"/>
    </i>
    <i r="4">
      <x v="14"/>
    </i>
    <i r="4">
      <x v="15"/>
    </i>
    <i r="4">
      <x v="16"/>
    </i>
    <i r="4">
      <x v="17"/>
    </i>
    <i r="4">
      <x v="18"/>
    </i>
    <i r="4">
      <x v="19"/>
    </i>
    <i r="4">
      <x v="20"/>
    </i>
    <i r="4">
      <x v="21"/>
    </i>
    <i r="4">
      <x v="22"/>
    </i>
    <i r="4">
      <x v="26"/>
    </i>
    <i r="4">
      <x v="27"/>
    </i>
    <i r="4">
      <x v="30"/>
    </i>
    <i r="4">
      <x v="31"/>
    </i>
    <i r="4">
      <x v="34"/>
    </i>
    <i r="4">
      <x v="37"/>
    </i>
    <i r="4">
      <x v="41"/>
    </i>
    <i r="4">
      <x v="42"/>
    </i>
    <i r="4">
      <x v="43"/>
    </i>
    <i r="4">
      <x v="44"/>
    </i>
    <i r="4">
      <x v="45"/>
    </i>
    <i r="4">
      <x v="46"/>
    </i>
    <i r="4">
      <x v="47"/>
    </i>
    <i r="4">
      <x v="48"/>
    </i>
    <i r="4">
      <x v="49"/>
    </i>
    <i r="4">
      <x v="50"/>
    </i>
    <i r="4">
      <x v="51"/>
    </i>
    <i r="4">
      <x v="52"/>
    </i>
    <i r="4">
      <x v="53"/>
    </i>
    <i r="4">
      <x v="54"/>
    </i>
    <i r="4">
      <x v="55"/>
    </i>
    <i>
      <x v="202"/>
      <x v="256"/>
      <x v="1"/>
      <x v="156"/>
      <x v="30"/>
    </i>
    <i>
      <x v="203"/>
      <x v="35"/>
      <x/>
      <x v="49"/>
      <x v="11"/>
    </i>
    <i r="4">
      <x v="12"/>
    </i>
    <i r="4">
      <x v="18"/>
    </i>
    <i r="4">
      <x v="46"/>
    </i>
    <i r="4">
      <x v="47"/>
    </i>
    <i r="4">
      <x v="48"/>
    </i>
    <i r="4">
      <x v="49"/>
    </i>
    <i r="4">
      <x v="51"/>
    </i>
    <i r="4">
      <x v="52"/>
    </i>
    <i>
      <x v="204"/>
      <x v="384"/>
      <x/>
      <x v="171"/>
      <x v="56"/>
    </i>
    <i r="4">
      <x v="57"/>
    </i>
    <i>
      <x v="205"/>
      <x v="388"/>
      <x v="1"/>
      <x v="156"/>
      <x v="24"/>
    </i>
    <i>
      <x v="206"/>
      <x v="350"/>
      <x/>
      <x v="156"/>
      <x v="56"/>
    </i>
    <i>
      <x v="207"/>
      <x v="170"/>
      <x v="1"/>
      <x v="156"/>
      <x v="24"/>
    </i>
    <i>
      <x v="208"/>
      <x v="332"/>
      <x/>
      <x v="59"/>
      <x v="40"/>
    </i>
    <i>
      <x v="209"/>
      <x v="64"/>
      <x/>
      <x v="47"/>
      <x v="17"/>
    </i>
    <i r="4">
      <x v="18"/>
    </i>
    <i r="4">
      <x v="41"/>
    </i>
    <i>
      <x v="210"/>
      <x v="117"/>
      <x v="1"/>
      <x v="156"/>
      <x v="30"/>
    </i>
    <i>
      <x v="211"/>
      <x v="189"/>
      <x/>
      <x v="43"/>
      <x v="12"/>
    </i>
    <i r="4">
      <x v="13"/>
    </i>
    <i r="4">
      <x v="14"/>
    </i>
    <i r="4">
      <x v="15"/>
    </i>
    <i r="4">
      <x v="16"/>
    </i>
    <i r="4">
      <x v="17"/>
    </i>
    <i r="4">
      <x v="18"/>
    </i>
    <i r="4">
      <x v="22"/>
    </i>
    <i r="4">
      <x v="26"/>
    </i>
    <i r="4">
      <x v="33"/>
    </i>
    <i r="4">
      <x v="37"/>
    </i>
    <i r="4">
      <x v="40"/>
    </i>
    <i r="4">
      <x v="41"/>
    </i>
    <i r="4">
      <x v="42"/>
    </i>
    <i r="4">
      <x v="44"/>
    </i>
    <i r="4">
      <x v="45"/>
    </i>
    <i r="4">
      <x v="48"/>
    </i>
    <i r="4">
      <x v="49"/>
    </i>
    <i>
      <x v="212"/>
      <x v="139"/>
      <x v="1"/>
      <x v="27"/>
      <x v="18"/>
    </i>
    <i r="4">
      <x v="26"/>
    </i>
    <i>
      <x v="213"/>
      <x v="123"/>
      <x v="1"/>
      <x v="4"/>
      <x v="12"/>
    </i>
    <i r="4">
      <x v="37"/>
    </i>
    <i>
      <x v="214"/>
      <x v="18"/>
      <x v="1"/>
      <x v="129"/>
      <x v="8"/>
    </i>
    <i>
      <x v="215"/>
      <x v="80"/>
      <x v="1"/>
      <x v="5"/>
      <x v="5"/>
    </i>
    <i r="4">
      <x v="6"/>
    </i>
    <i r="4">
      <x v="8"/>
    </i>
    <i r="4">
      <x v="9"/>
    </i>
    <i r="4">
      <x v="10"/>
    </i>
    <i r="4">
      <x v="11"/>
    </i>
    <i r="4">
      <x v="12"/>
    </i>
    <i r="4">
      <x v="14"/>
    </i>
    <i r="4">
      <x v="15"/>
    </i>
    <i r="4">
      <x v="16"/>
    </i>
    <i r="4">
      <x v="17"/>
    </i>
    <i r="4">
      <x v="18"/>
    </i>
    <i r="4">
      <x v="22"/>
    </i>
    <i r="4">
      <x v="26"/>
    </i>
    <i r="4">
      <x v="34"/>
    </i>
    <i r="4">
      <x v="41"/>
    </i>
    <i r="4">
      <x v="42"/>
    </i>
    <i r="4">
      <x v="44"/>
    </i>
    <i r="4">
      <x v="45"/>
    </i>
    <i r="4">
      <x v="48"/>
    </i>
    <i r="4">
      <x v="49"/>
    </i>
    <i r="4">
      <x v="59"/>
    </i>
    <i>
      <x v="216"/>
      <x v="347"/>
      <x v="1"/>
      <x v="156"/>
      <x v="27"/>
    </i>
    <i>
      <x v="217"/>
      <x v="176"/>
      <x/>
      <x v="101"/>
      <x v="22"/>
    </i>
    <i r="4">
      <x v="42"/>
    </i>
    <i>
      <x v="218"/>
      <x v="220"/>
      <x/>
      <x v="121"/>
      <x/>
    </i>
    <i r="4">
      <x v="1"/>
    </i>
    <i r="4">
      <x v="2"/>
    </i>
    <i r="4">
      <x v="3"/>
    </i>
    <i r="4">
      <x v="4"/>
    </i>
    <i r="4">
      <x v="11"/>
    </i>
    <i r="4">
      <x v="12"/>
    </i>
    <i r="4">
      <x v="14"/>
    </i>
    <i r="4">
      <x v="15"/>
    </i>
    <i r="4">
      <x v="16"/>
    </i>
    <i r="4">
      <x v="17"/>
    </i>
    <i r="4">
      <x v="18"/>
    </i>
    <i r="4">
      <x v="20"/>
    </i>
    <i r="4">
      <x v="22"/>
    </i>
    <i r="4">
      <x v="26"/>
    </i>
    <i r="4">
      <x v="27"/>
    </i>
    <i r="4">
      <x v="30"/>
    </i>
    <i r="4">
      <x v="34"/>
    </i>
    <i r="4">
      <x v="41"/>
    </i>
    <i r="4">
      <x v="42"/>
    </i>
    <i r="4">
      <x v="43"/>
    </i>
    <i r="4">
      <x v="44"/>
    </i>
    <i r="4">
      <x v="45"/>
    </i>
    <i r="4">
      <x v="46"/>
    </i>
    <i r="4">
      <x v="47"/>
    </i>
    <i r="4">
      <x v="48"/>
    </i>
    <i r="4">
      <x v="49"/>
    </i>
    <i r="4">
      <x v="51"/>
    </i>
    <i r="4">
      <x v="53"/>
    </i>
    <i>
      <x v="219"/>
      <x v="329"/>
      <x/>
      <x v="96"/>
      <x v="8"/>
    </i>
    <i r="4">
      <x v="9"/>
    </i>
    <i r="4">
      <x v="10"/>
    </i>
    <i r="4">
      <x v="11"/>
    </i>
    <i r="4">
      <x v="12"/>
    </i>
    <i r="4">
      <x v="13"/>
    </i>
    <i r="4">
      <x v="14"/>
    </i>
    <i r="4">
      <x v="15"/>
    </i>
    <i r="4">
      <x v="17"/>
    </i>
    <i r="4">
      <x v="18"/>
    </i>
    <i r="4">
      <x v="21"/>
    </i>
    <i r="4">
      <x v="22"/>
    </i>
    <i r="4">
      <x v="24"/>
    </i>
    <i r="4">
      <x v="25"/>
    </i>
    <i r="4">
      <x v="26"/>
    </i>
    <i r="4">
      <x v="27"/>
    </i>
    <i r="4">
      <x v="30"/>
    </i>
    <i r="4">
      <x v="31"/>
    </i>
    <i r="4">
      <x v="37"/>
    </i>
    <i r="4">
      <x v="40"/>
    </i>
    <i r="4">
      <x v="44"/>
    </i>
    <i r="4">
      <x v="45"/>
    </i>
    <i r="4">
      <x v="48"/>
    </i>
    <i r="4">
      <x v="49"/>
    </i>
    <i r="4">
      <x v="61"/>
    </i>
    <i>
      <x v="220"/>
      <x v="226"/>
      <x/>
      <x v="156"/>
      <x v="46"/>
    </i>
    <i r="4">
      <x v="47"/>
    </i>
    <i r="4">
      <x v="48"/>
    </i>
    <i r="4">
      <x v="49"/>
    </i>
    <i r="4">
      <x v="52"/>
    </i>
    <i>
      <x v="221"/>
      <x v="125"/>
      <x/>
      <x v="93"/>
      <x v="38"/>
    </i>
    <i>
      <x v="222"/>
      <x v="175"/>
      <x/>
      <x v="111"/>
      <x v="12"/>
    </i>
    <i r="4">
      <x v="18"/>
    </i>
    <i r="4">
      <x v="26"/>
    </i>
    <i r="4">
      <x v="40"/>
    </i>
    <i r="4">
      <x v="48"/>
    </i>
    <i r="4">
      <x v="49"/>
    </i>
    <i>
      <x v="223"/>
      <x v="221"/>
      <x v="1"/>
      <x v="156"/>
      <x v="26"/>
    </i>
    <i r="4">
      <x v="54"/>
    </i>
    <i>
      <x v="224"/>
      <x v="126"/>
      <x v="1"/>
      <x v="122"/>
      <x v="11"/>
    </i>
    <i r="4">
      <x v="12"/>
    </i>
    <i r="4">
      <x v="22"/>
    </i>
    <i r="4">
      <x v="42"/>
    </i>
    <i r="4">
      <x v="44"/>
    </i>
    <i>
      <x v="225"/>
      <x v="373"/>
      <x/>
      <x v="156"/>
      <x v="4"/>
    </i>
    <i>
      <x v="226"/>
      <x v="308"/>
      <x/>
      <x v="97"/>
      <x v="24"/>
    </i>
    <i>
      <x v="227"/>
      <x v="116"/>
      <x/>
      <x v="78"/>
      <x v="12"/>
    </i>
    <i r="4">
      <x v="26"/>
    </i>
    <i>
      <x v="228"/>
      <x v="269"/>
      <x/>
      <x v="139"/>
      <x v="24"/>
    </i>
    <i>
      <x v="229"/>
      <x v="78"/>
      <x v="1"/>
      <x v="125"/>
      <x v="9"/>
    </i>
    <i r="4">
      <x v="11"/>
    </i>
    <i r="4">
      <x v="12"/>
    </i>
    <i r="4">
      <x v="14"/>
    </i>
    <i r="4">
      <x v="15"/>
    </i>
    <i r="4">
      <x v="17"/>
    </i>
    <i r="4">
      <x v="18"/>
    </i>
    <i r="4">
      <x v="22"/>
    </i>
    <i r="4">
      <x v="26"/>
    </i>
    <i r="4">
      <x v="40"/>
    </i>
    <i r="4">
      <x v="41"/>
    </i>
    <i r="4">
      <x v="42"/>
    </i>
    <i r="4">
      <x v="44"/>
    </i>
    <i r="4">
      <x v="45"/>
    </i>
    <i r="4">
      <x v="46"/>
    </i>
    <i r="4">
      <x v="48"/>
    </i>
    <i r="4">
      <x v="49"/>
    </i>
    <i r="4">
      <x v="51"/>
    </i>
    <i>
      <x v="230"/>
      <x v="55"/>
      <x/>
      <x v="156"/>
      <x v="3"/>
    </i>
    <i r="4">
      <x v="11"/>
    </i>
    <i r="4">
      <x v="12"/>
    </i>
    <i r="4">
      <x v="13"/>
    </i>
    <i r="4">
      <x v="14"/>
    </i>
    <i r="4">
      <x v="15"/>
    </i>
    <i r="4">
      <x v="16"/>
    </i>
    <i r="4">
      <x v="17"/>
    </i>
    <i r="4">
      <x v="18"/>
    </i>
    <i r="4">
      <x v="22"/>
    </i>
    <i r="4">
      <x v="24"/>
    </i>
    <i r="4">
      <x v="26"/>
    </i>
    <i r="4">
      <x v="27"/>
    </i>
    <i r="4">
      <x v="30"/>
    </i>
    <i r="4">
      <x v="31"/>
    </i>
    <i r="4">
      <x v="33"/>
    </i>
    <i r="4">
      <x v="41"/>
    </i>
    <i r="4">
      <x v="42"/>
    </i>
    <i r="4">
      <x v="43"/>
    </i>
    <i r="4">
      <x v="44"/>
    </i>
    <i r="4">
      <x v="45"/>
    </i>
    <i r="4">
      <x v="46"/>
    </i>
    <i r="4">
      <x v="47"/>
    </i>
    <i r="4">
      <x v="48"/>
    </i>
    <i r="4">
      <x v="49"/>
    </i>
    <i r="4">
      <x v="50"/>
    </i>
    <i r="4">
      <x v="51"/>
    </i>
    <i r="4">
      <x v="52"/>
    </i>
    <i r="4">
      <x v="53"/>
    </i>
    <i r="4">
      <x v="54"/>
    </i>
    <i r="4">
      <x v="55"/>
    </i>
    <i>
      <x v="231"/>
      <x v="400"/>
      <x/>
      <x v="32"/>
      <x v="5"/>
    </i>
    <i r="4">
      <x v="6"/>
    </i>
    <i r="4">
      <x v="11"/>
    </i>
    <i r="4">
      <x v="12"/>
    </i>
    <i r="4">
      <x v="14"/>
    </i>
    <i r="4">
      <x v="15"/>
    </i>
    <i r="4">
      <x v="16"/>
    </i>
    <i r="4">
      <x v="17"/>
    </i>
    <i r="4">
      <x v="18"/>
    </i>
    <i r="4">
      <x v="22"/>
    </i>
    <i r="4">
      <x v="26"/>
    </i>
    <i r="4">
      <x v="30"/>
    </i>
    <i r="4">
      <x v="34"/>
    </i>
    <i r="4">
      <x v="37"/>
    </i>
    <i r="4">
      <x v="40"/>
    </i>
    <i r="4">
      <x v="41"/>
    </i>
    <i r="4">
      <x v="42"/>
    </i>
    <i r="4">
      <x v="43"/>
    </i>
    <i r="4">
      <x v="44"/>
    </i>
    <i r="4">
      <x v="45"/>
    </i>
    <i r="4">
      <x v="46"/>
    </i>
    <i r="4">
      <x v="48"/>
    </i>
    <i r="4">
      <x v="49"/>
    </i>
    <i>
      <x v="232"/>
      <x v="194"/>
      <x/>
      <x v="156"/>
      <x v="11"/>
    </i>
    <i r="4">
      <x v="12"/>
    </i>
    <i r="4">
      <x v="14"/>
    </i>
    <i r="4">
      <x v="15"/>
    </i>
    <i r="4">
      <x v="16"/>
    </i>
    <i r="4">
      <x v="17"/>
    </i>
    <i r="4">
      <x v="18"/>
    </i>
    <i r="4">
      <x v="20"/>
    </i>
    <i r="4">
      <x v="22"/>
    </i>
    <i r="4">
      <x v="26"/>
    </i>
    <i r="4">
      <x v="33"/>
    </i>
    <i r="4">
      <x v="34"/>
    </i>
    <i r="4">
      <x v="41"/>
    </i>
    <i r="4">
      <x v="42"/>
    </i>
    <i r="4">
      <x v="44"/>
    </i>
    <i r="4">
      <x v="45"/>
    </i>
    <i r="4">
      <x v="46"/>
    </i>
    <i r="4">
      <x v="47"/>
    </i>
    <i r="4">
      <x v="48"/>
    </i>
    <i r="4">
      <x v="49"/>
    </i>
    <i r="4">
      <x v="50"/>
    </i>
    <i r="4">
      <x v="51"/>
    </i>
    <i r="4">
      <x v="52"/>
    </i>
    <i r="4">
      <x v="53"/>
    </i>
    <i r="4">
      <x v="54"/>
    </i>
    <i r="4">
      <x v="55"/>
    </i>
    <i r="4">
      <x v="61"/>
    </i>
    <i>
      <x v="233"/>
      <x v="412"/>
      <x/>
      <x v="156"/>
      <x v="38"/>
    </i>
    <i>
      <x v="234"/>
      <x v="167"/>
      <x v="1"/>
      <x v="52"/>
      <x v="12"/>
    </i>
    <i r="4">
      <x v="14"/>
    </i>
    <i r="4">
      <x v="15"/>
    </i>
    <i r="4">
      <x v="17"/>
    </i>
    <i r="4">
      <x v="18"/>
    </i>
    <i r="4">
      <x v="45"/>
    </i>
    <i>
      <x v="235"/>
      <x v="159"/>
      <x/>
      <x v="10"/>
      <x v="12"/>
    </i>
    <i r="4">
      <x v="40"/>
    </i>
    <i r="4">
      <x v="45"/>
    </i>
    <i>
      <x v="236"/>
      <x v="150"/>
      <x v="1"/>
      <x v="103"/>
      <x v="12"/>
    </i>
    <i r="4">
      <x v="13"/>
    </i>
    <i r="4">
      <x v="14"/>
    </i>
    <i r="4">
      <x v="15"/>
    </i>
    <i r="4">
      <x v="26"/>
    </i>
    <i r="4">
      <x v="37"/>
    </i>
    <i r="4">
      <x v="45"/>
    </i>
    <i>
      <x v="237"/>
      <x v="157"/>
      <x/>
      <x v="101"/>
      <x v="12"/>
    </i>
    <i r="4">
      <x v="13"/>
    </i>
    <i r="4">
      <x v="14"/>
    </i>
    <i r="4">
      <x v="15"/>
    </i>
    <i r="4">
      <x v="17"/>
    </i>
    <i r="4">
      <x v="18"/>
    </i>
    <i r="4">
      <x v="26"/>
    </i>
    <i r="4">
      <x v="37"/>
    </i>
    <i r="4">
      <x v="40"/>
    </i>
    <i r="4">
      <x v="41"/>
    </i>
    <i r="4">
      <x v="45"/>
    </i>
    <i>
      <x v="238"/>
      <x v="363"/>
      <x/>
      <x v="63"/>
      <x v="12"/>
    </i>
    <i r="4">
      <x v="40"/>
    </i>
    <i>
      <x v="239"/>
      <x v="196"/>
      <x/>
      <x v="100"/>
      <x v="40"/>
    </i>
    <i>
      <x v="240"/>
      <x v="389"/>
      <x/>
      <x v="174"/>
      <x v="48"/>
    </i>
    <i r="4">
      <x v="49"/>
    </i>
    <i>
      <x v="241"/>
      <x v="237"/>
      <x v="1"/>
      <x v="1"/>
      <x v="4"/>
    </i>
    <i>
      <x v="242"/>
      <x v="195"/>
      <x/>
      <x v="111"/>
      <x v="12"/>
    </i>
    <i r="4">
      <x v="26"/>
    </i>
    <i r="4">
      <x v="40"/>
    </i>
    <i r="4">
      <x v="44"/>
    </i>
    <i r="4">
      <x v="45"/>
    </i>
    <i>
      <x v="243"/>
      <x v="385"/>
      <x/>
      <x v="172"/>
      <x v="40"/>
    </i>
    <i>
      <x v="244"/>
      <x v="210"/>
      <x/>
      <x v="89"/>
      <x v="12"/>
    </i>
    <i r="4">
      <x v="22"/>
    </i>
    <i r="4">
      <x v="26"/>
    </i>
    <i r="4">
      <x v="40"/>
    </i>
    <i>
      <x v="245"/>
      <x v="250"/>
      <x/>
      <x v="103"/>
      <x v="12"/>
    </i>
    <i r="4">
      <x v="37"/>
    </i>
    <i r="4">
      <x v="40"/>
    </i>
    <i r="4">
      <x v="45"/>
    </i>
    <i>
      <x v="246"/>
      <x v="2"/>
      <x/>
      <x v="111"/>
      <x v="30"/>
    </i>
    <i>
      <x v="247"/>
      <x v="44"/>
      <x v="1"/>
      <x v="156"/>
      <x/>
    </i>
    <i r="4">
      <x v="8"/>
    </i>
    <i r="4">
      <x v="35"/>
    </i>
    <i r="4">
      <x v="36"/>
    </i>
    <i>
      <x v="248"/>
      <x v="247"/>
      <x v="1"/>
      <x v="35"/>
      <x v="26"/>
    </i>
    <i r="4">
      <x v="35"/>
    </i>
    <i r="4">
      <x v="36"/>
    </i>
    <i>
      <x v="249"/>
      <x v="97"/>
      <x/>
      <x v="91"/>
      <x v="9"/>
    </i>
    <i r="4">
      <x v="11"/>
    </i>
    <i r="4">
      <x v="12"/>
    </i>
    <i r="4">
      <x v="13"/>
    </i>
    <i r="4">
      <x v="14"/>
    </i>
    <i r="4">
      <x v="15"/>
    </i>
    <i r="4">
      <x v="17"/>
    </i>
    <i r="4">
      <x v="18"/>
    </i>
    <i r="4">
      <x v="26"/>
    </i>
    <i r="4">
      <x v="37"/>
    </i>
    <i r="4">
      <x v="40"/>
    </i>
    <i r="4">
      <x v="41"/>
    </i>
    <i r="4">
      <x v="42"/>
    </i>
    <i r="4">
      <x v="44"/>
    </i>
    <i r="4">
      <x v="45"/>
    </i>
    <i r="4">
      <x v="48"/>
    </i>
    <i r="4">
      <x v="49"/>
    </i>
    <i>
      <x v="250"/>
      <x v="275"/>
      <x/>
      <x v="142"/>
      <x/>
    </i>
    <i r="4">
      <x v="2"/>
    </i>
    <i r="4">
      <x v="4"/>
    </i>
    <i>
      <x v="251"/>
      <x v="260"/>
      <x/>
      <x v="80"/>
      <x v="12"/>
    </i>
    <i r="4">
      <x v="22"/>
    </i>
    <i r="4">
      <x v="37"/>
    </i>
    <i r="4">
      <x v="42"/>
    </i>
    <i r="4">
      <x v="44"/>
    </i>
    <i r="4">
      <x v="45"/>
    </i>
    <i>
      <x v="252"/>
      <x v="188"/>
      <x/>
      <x v="72"/>
      <x/>
    </i>
    <i r="4">
      <x v="1"/>
    </i>
    <i r="4">
      <x v="2"/>
    </i>
    <i r="4">
      <x v="3"/>
    </i>
    <i r="4">
      <x v="4"/>
    </i>
    <i r="4">
      <x v="5"/>
    </i>
    <i r="4">
      <x v="6"/>
    </i>
    <i r="4">
      <x v="11"/>
    </i>
    <i r="4">
      <x v="12"/>
    </i>
    <i r="4">
      <x v="18"/>
    </i>
    <i r="4">
      <x v="22"/>
    </i>
    <i r="4">
      <x v="24"/>
    </i>
    <i r="4">
      <x v="26"/>
    </i>
    <i r="4">
      <x v="27"/>
    </i>
    <i r="4">
      <x v="34"/>
    </i>
    <i r="4">
      <x v="37"/>
    </i>
    <i r="4">
      <x v="42"/>
    </i>
    <i r="4">
      <x v="43"/>
    </i>
    <i r="4">
      <x v="44"/>
    </i>
    <i r="4">
      <x v="48"/>
    </i>
    <i r="4">
      <x v="49"/>
    </i>
    <i>
      <x v="253"/>
      <x v="172"/>
      <x/>
      <x v="94"/>
      <x v="12"/>
    </i>
    <i r="4">
      <x v="37"/>
    </i>
    <i r="4">
      <x v="40"/>
    </i>
    <i r="4">
      <x v="48"/>
    </i>
    <i>
      <x v="254"/>
      <x v="240"/>
      <x v="1"/>
      <x v="27"/>
      <x v="34"/>
    </i>
    <i>
      <x v="255"/>
      <x v="113"/>
      <x/>
      <x v="156"/>
      <x v="5"/>
    </i>
    <i r="4">
      <x v="6"/>
    </i>
    <i r="4">
      <x v="8"/>
    </i>
    <i r="4">
      <x v="9"/>
    </i>
    <i r="4">
      <x v="10"/>
    </i>
    <i r="4">
      <x v="11"/>
    </i>
    <i r="4">
      <x v="12"/>
    </i>
    <i r="4">
      <x v="13"/>
    </i>
    <i r="4">
      <x v="14"/>
    </i>
    <i r="4">
      <x v="15"/>
    </i>
    <i r="4">
      <x v="16"/>
    </i>
    <i r="4">
      <x v="17"/>
    </i>
    <i r="4">
      <x v="18"/>
    </i>
    <i r="4">
      <x v="20"/>
    </i>
    <i r="4">
      <x v="21"/>
    </i>
    <i r="4">
      <x v="22"/>
    </i>
    <i r="4">
      <x v="26"/>
    </i>
    <i r="4">
      <x v="27"/>
    </i>
    <i r="4">
      <x v="31"/>
    </i>
    <i r="4">
      <x v="34"/>
    </i>
    <i r="4">
      <x v="41"/>
    </i>
    <i r="4">
      <x v="42"/>
    </i>
    <i r="4">
      <x v="43"/>
    </i>
    <i r="4">
      <x v="44"/>
    </i>
    <i r="4">
      <x v="45"/>
    </i>
    <i r="4">
      <x v="46"/>
    </i>
    <i r="4">
      <x v="47"/>
    </i>
    <i r="4">
      <x v="48"/>
    </i>
    <i r="4">
      <x v="49"/>
    </i>
    <i r="4">
      <x v="50"/>
    </i>
    <i r="4">
      <x v="51"/>
    </i>
    <i r="4">
      <x v="52"/>
    </i>
    <i r="4">
      <x v="53"/>
    </i>
    <i r="4">
      <x v="54"/>
    </i>
    <i r="4">
      <x v="55"/>
    </i>
    <i>
      <x v="256"/>
      <x v="316"/>
      <x/>
      <x v="107"/>
      <x v="8"/>
    </i>
    <i r="4">
      <x v="9"/>
    </i>
    <i r="4">
      <x v="35"/>
    </i>
    <i r="4">
      <x v="36"/>
    </i>
    <i>
      <x v="257"/>
      <x v="303"/>
      <x/>
      <x v="17"/>
      <x v="8"/>
    </i>
    <i r="4">
      <x v="9"/>
    </i>
    <i>
      <x v="258"/>
      <x v="62"/>
      <x/>
      <x v="30"/>
      <x v="11"/>
    </i>
    <i r="4">
      <x v="12"/>
    </i>
    <i r="4">
      <x v="13"/>
    </i>
    <i r="4">
      <x v="15"/>
    </i>
    <i r="4">
      <x v="16"/>
    </i>
    <i r="4">
      <x v="17"/>
    </i>
    <i r="4">
      <x v="18"/>
    </i>
    <i r="4">
      <x v="22"/>
    </i>
    <i r="4">
      <x v="26"/>
    </i>
    <i r="4">
      <x v="27"/>
    </i>
    <i r="4">
      <x v="30"/>
    </i>
    <i r="4">
      <x v="37"/>
    </i>
    <i r="4">
      <x v="40"/>
    </i>
    <i r="4">
      <x v="41"/>
    </i>
    <i r="4">
      <x v="42"/>
    </i>
    <i r="4">
      <x v="44"/>
    </i>
    <i r="4">
      <x v="45"/>
    </i>
    <i r="4">
      <x v="48"/>
    </i>
    <i r="4">
      <x v="49"/>
    </i>
    <i>
      <x v="259"/>
      <x v="60"/>
      <x/>
      <x v="33"/>
      <x v="12"/>
    </i>
    <i r="4">
      <x v="22"/>
    </i>
    <i r="4">
      <x v="26"/>
    </i>
    <i r="4">
      <x v="40"/>
    </i>
    <i r="4">
      <x v="44"/>
    </i>
    <i>
      <x v="260"/>
      <x v="353"/>
      <x/>
      <x v="156"/>
      <x v="3"/>
    </i>
    <i r="4">
      <x v="11"/>
    </i>
    <i r="4">
      <x v="12"/>
    </i>
    <i r="4">
      <x v="14"/>
    </i>
    <i r="4">
      <x v="15"/>
    </i>
    <i r="4">
      <x v="17"/>
    </i>
    <i r="4">
      <x v="18"/>
    </i>
    <i r="4">
      <x v="21"/>
    </i>
    <i r="4">
      <x v="24"/>
    </i>
    <i r="4">
      <x v="26"/>
    </i>
    <i r="4">
      <x v="27"/>
    </i>
    <i r="4">
      <x v="31"/>
    </i>
    <i r="4">
      <x v="33"/>
    </i>
    <i r="4">
      <x v="37"/>
    </i>
    <i r="4">
      <x v="41"/>
    </i>
    <i r="4">
      <x v="42"/>
    </i>
    <i r="4">
      <x v="44"/>
    </i>
    <i r="4">
      <x v="45"/>
    </i>
    <i r="4">
      <x v="48"/>
    </i>
    <i r="4">
      <x v="49"/>
    </i>
    <i r="4">
      <x v="50"/>
    </i>
    <i>
      <x v="261"/>
      <x v="252"/>
      <x v="1"/>
      <x v="76"/>
      <x v="8"/>
    </i>
    <i r="4">
      <x v="9"/>
    </i>
    <i r="4">
      <x v="10"/>
    </i>
    <i r="4">
      <x v="11"/>
    </i>
    <i r="4">
      <x v="12"/>
    </i>
    <i r="4">
      <x v="13"/>
    </i>
    <i r="4">
      <x v="14"/>
    </i>
    <i r="4">
      <x v="15"/>
    </i>
    <i r="4">
      <x v="18"/>
    </i>
    <i r="4">
      <x v="22"/>
    </i>
    <i r="4">
      <x v="26"/>
    </i>
    <i r="4">
      <x v="35"/>
    </i>
    <i r="4">
      <x v="36"/>
    </i>
    <i r="4">
      <x v="37"/>
    </i>
    <i r="4">
      <x v="40"/>
    </i>
    <i r="4">
      <x v="42"/>
    </i>
    <i r="4">
      <x v="44"/>
    </i>
    <i r="4">
      <x v="45"/>
    </i>
    <i>
      <x v="262"/>
      <x v="69"/>
      <x/>
      <x v="32"/>
      <x v="11"/>
    </i>
    <i r="4">
      <x v="12"/>
    </i>
    <i r="4">
      <x v="15"/>
    </i>
    <i r="4">
      <x v="16"/>
    </i>
    <i r="4">
      <x v="17"/>
    </i>
    <i r="4">
      <x v="18"/>
    </i>
    <i r="4">
      <x v="19"/>
    </i>
    <i r="4">
      <x v="20"/>
    </i>
    <i r="4">
      <x v="27"/>
    </i>
    <i r="4">
      <x v="31"/>
    </i>
    <i r="4">
      <x v="46"/>
    </i>
    <i r="4">
      <x v="47"/>
    </i>
    <i r="4">
      <x v="48"/>
    </i>
    <i r="4">
      <x v="49"/>
    </i>
    <i r="4">
      <x v="50"/>
    </i>
    <i r="4">
      <x v="51"/>
    </i>
    <i r="4">
      <x v="52"/>
    </i>
    <i>
      <x v="263"/>
      <x v="390"/>
      <x/>
      <x v="91"/>
      <x v="12"/>
    </i>
    <i r="4">
      <x v="40"/>
    </i>
    <i>
      <x v="264"/>
      <x v="391"/>
      <x/>
      <x v="101"/>
      <x v="34"/>
    </i>
    <i>
      <x v="265"/>
      <x v="276"/>
      <x/>
      <x v="65"/>
      <x v="12"/>
    </i>
    <i r="4">
      <x v="22"/>
    </i>
    <i r="4">
      <x v="26"/>
    </i>
    <i r="4">
      <x v="40"/>
    </i>
    <i r="4">
      <x v="44"/>
    </i>
    <i>
      <x v="266"/>
      <x v="397"/>
      <x/>
      <x v="156"/>
      <x v="7"/>
    </i>
    <i r="4">
      <x v="8"/>
    </i>
    <i r="4">
      <x v="9"/>
    </i>
    <i r="4">
      <x v="11"/>
    </i>
    <i r="4">
      <x v="12"/>
    </i>
    <i r="4">
      <x v="14"/>
    </i>
    <i r="4">
      <x v="15"/>
    </i>
    <i r="4">
      <x v="16"/>
    </i>
    <i r="4">
      <x v="17"/>
    </i>
    <i r="4">
      <x v="18"/>
    </i>
    <i r="4">
      <x v="22"/>
    </i>
    <i r="4">
      <x v="26"/>
    </i>
    <i r="4">
      <x v="33"/>
    </i>
    <i r="4">
      <x v="37"/>
    </i>
    <i r="4">
      <x v="41"/>
    </i>
    <i r="4">
      <x v="42"/>
    </i>
    <i r="4">
      <x v="44"/>
    </i>
    <i r="4">
      <x v="45"/>
    </i>
    <i r="4">
      <x v="46"/>
    </i>
    <i r="4">
      <x v="48"/>
    </i>
    <i r="4">
      <x v="49"/>
    </i>
    <i r="4">
      <x v="51"/>
    </i>
    <i r="4">
      <x v="53"/>
    </i>
    <i r="4">
      <x v="54"/>
    </i>
    <i r="4">
      <x v="55"/>
    </i>
    <i>
      <x v="267"/>
      <x v="133"/>
      <x/>
      <x v="68"/>
      <x v="12"/>
    </i>
    <i r="4">
      <x v="17"/>
    </i>
    <i r="4">
      <x v="18"/>
    </i>
    <i r="4">
      <x v="22"/>
    </i>
    <i r="4">
      <x v="44"/>
    </i>
    <i>
      <x v="268"/>
      <x v="374"/>
      <x/>
      <x v="68"/>
      <x v="12"/>
    </i>
    <i>
      <x v="269"/>
      <x v="49"/>
      <x v="1"/>
      <x v="156"/>
      <x v="24"/>
    </i>
    <i>
      <x v="270"/>
      <x v="51"/>
      <x v="1"/>
      <x v="156"/>
      <x v="34"/>
    </i>
    <i>
      <x v="271"/>
      <x v="258"/>
      <x v="1"/>
      <x v="95"/>
      <x v="8"/>
    </i>
    <i r="4">
      <x v="9"/>
    </i>
    <i r="4">
      <x v="10"/>
    </i>
    <i r="4">
      <x v="26"/>
    </i>
    <i r="4">
      <x v="35"/>
    </i>
    <i r="4">
      <x v="36"/>
    </i>
    <i>
      <x v="272"/>
      <x v="382"/>
      <x/>
      <x v="169"/>
      <x v="34"/>
    </i>
    <i>
      <x v="273"/>
      <x v="244"/>
      <x/>
      <x v="128"/>
      <x v="12"/>
    </i>
    <i r="4">
      <x v="26"/>
    </i>
    <i>
      <x v="274"/>
      <x v="212"/>
      <x/>
      <x v="106"/>
      <x v="23"/>
    </i>
    <i r="4">
      <x v="32"/>
    </i>
    <i>
      <x v="275"/>
      <x v="33"/>
      <x/>
      <x v="20"/>
      <x v="11"/>
    </i>
    <i r="4">
      <x v="12"/>
    </i>
    <i r="4">
      <x v="14"/>
    </i>
    <i r="4">
      <x v="15"/>
    </i>
    <i r="4">
      <x v="16"/>
    </i>
    <i r="4">
      <x v="17"/>
    </i>
    <i r="4">
      <x v="18"/>
    </i>
    <i r="4">
      <x v="22"/>
    </i>
    <i r="4">
      <x v="26"/>
    </i>
    <i r="4">
      <x v="40"/>
    </i>
    <i r="4">
      <x v="41"/>
    </i>
    <i r="4">
      <x v="42"/>
    </i>
    <i r="4">
      <x v="44"/>
    </i>
    <i r="4">
      <x v="45"/>
    </i>
    <i r="4">
      <x v="46"/>
    </i>
    <i r="4">
      <x v="48"/>
    </i>
    <i r="4">
      <x v="49"/>
    </i>
    <i>
      <x v="276"/>
      <x v="320"/>
      <x/>
      <x v="156"/>
      <x v="30"/>
    </i>
    <i>
      <x v="277"/>
      <x v="413"/>
      <x v="1"/>
      <x v="73"/>
      <x v="5"/>
    </i>
    <i r="4">
      <x v="18"/>
    </i>
    <i r="4">
      <x v="26"/>
    </i>
    <i r="4">
      <x v="40"/>
    </i>
    <i>
      <x v="278"/>
      <x v="279"/>
      <x v="1"/>
      <x v="156"/>
      <x v="24"/>
    </i>
    <i r="4">
      <x v="26"/>
    </i>
    <i r="4">
      <x v="33"/>
    </i>
    <i>
      <x v="279"/>
      <x v="355"/>
      <x/>
      <x v="28"/>
      <x v="12"/>
    </i>
    <i r="4">
      <x v="15"/>
    </i>
    <i r="4">
      <x v="18"/>
    </i>
    <i r="4">
      <x v="26"/>
    </i>
    <i r="4">
      <x v="37"/>
    </i>
    <i r="4">
      <x v="40"/>
    </i>
    <i r="4">
      <x v="45"/>
    </i>
    <i r="4">
      <x v="48"/>
    </i>
    <i r="4">
      <x v="49"/>
    </i>
    <i>
      <x v="280"/>
      <x v="42"/>
      <x/>
      <x v="156"/>
      <x v="11"/>
    </i>
    <i r="4">
      <x v="12"/>
    </i>
    <i r="4">
      <x v="26"/>
    </i>
    <i r="4">
      <x v="42"/>
    </i>
    <i r="4">
      <x v="44"/>
    </i>
    <i r="4">
      <x v="46"/>
    </i>
    <i r="4">
      <x v="48"/>
    </i>
    <i r="4">
      <x v="49"/>
    </i>
    <i r="4">
      <x v="50"/>
    </i>
    <i>
      <x v="281"/>
      <x v="1"/>
      <x v="1"/>
      <x v="126"/>
      <x v="11"/>
    </i>
    <i r="4">
      <x v="12"/>
    </i>
    <i r="4">
      <x v="17"/>
    </i>
    <i r="4">
      <x v="18"/>
    </i>
    <i r="4">
      <x v="26"/>
    </i>
    <i r="4">
      <x v="41"/>
    </i>
    <i r="4">
      <x v="42"/>
    </i>
    <i r="4">
      <x v="44"/>
    </i>
    <i>
      <x v="282"/>
      <x v="370"/>
      <x/>
      <x v="168"/>
      <x v="5"/>
    </i>
    <i r="4">
      <x v="6"/>
    </i>
    <i r="4">
      <x v="11"/>
    </i>
    <i r="4">
      <x v="12"/>
    </i>
    <i r="4">
      <x v="16"/>
    </i>
    <i r="4">
      <x v="17"/>
    </i>
    <i r="4">
      <x v="18"/>
    </i>
    <i r="4">
      <x v="33"/>
    </i>
    <i r="4">
      <x v="34"/>
    </i>
    <i r="4">
      <x v="41"/>
    </i>
    <i r="4">
      <x v="42"/>
    </i>
    <i r="4">
      <x v="44"/>
    </i>
    <i>
      <x v="283"/>
      <x v="11"/>
      <x/>
      <x v="156"/>
      <x v="5"/>
    </i>
    <i r="4">
      <x v="6"/>
    </i>
    <i r="4">
      <x v="11"/>
    </i>
    <i r="4">
      <x v="12"/>
    </i>
    <i r="4">
      <x v="13"/>
    </i>
    <i r="4">
      <x v="14"/>
    </i>
    <i r="4">
      <x v="15"/>
    </i>
    <i r="4">
      <x v="16"/>
    </i>
    <i r="4">
      <x v="17"/>
    </i>
    <i r="4">
      <x v="18"/>
    </i>
    <i r="4">
      <x v="22"/>
    </i>
    <i r="4">
      <x v="27"/>
    </i>
    <i r="4">
      <x v="31"/>
    </i>
    <i r="4">
      <x v="34"/>
    </i>
    <i r="4">
      <x v="41"/>
    </i>
    <i r="4">
      <x v="42"/>
    </i>
    <i r="4">
      <x v="43"/>
    </i>
    <i r="4">
      <x v="44"/>
    </i>
    <i r="4">
      <x v="45"/>
    </i>
    <i r="4">
      <x v="46"/>
    </i>
    <i r="4">
      <x v="47"/>
    </i>
    <i r="4">
      <x v="48"/>
    </i>
    <i r="4">
      <x v="49"/>
    </i>
    <i r="4">
      <x v="50"/>
    </i>
    <i r="4">
      <x v="51"/>
    </i>
    <i r="4">
      <x v="52"/>
    </i>
    <i r="4">
      <x v="53"/>
    </i>
    <i r="4">
      <x v="54"/>
    </i>
    <i r="4">
      <x v="55"/>
    </i>
    <i>
      <x v="284"/>
      <x v="392"/>
      <x/>
      <x v="65"/>
      <x v="5"/>
    </i>
    <i r="4">
      <x v="11"/>
    </i>
    <i r="4">
      <x v="12"/>
    </i>
    <i r="4">
      <x v="13"/>
    </i>
    <i r="4">
      <x v="14"/>
    </i>
    <i r="4">
      <x v="15"/>
    </i>
    <i r="4">
      <x v="16"/>
    </i>
    <i r="4">
      <x v="17"/>
    </i>
    <i r="4">
      <x v="18"/>
    </i>
    <i r="4">
      <x v="22"/>
    </i>
    <i r="4">
      <x v="26"/>
    </i>
    <i r="4">
      <x v="33"/>
    </i>
    <i r="4">
      <x v="34"/>
    </i>
    <i r="4">
      <x v="37"/>
    </i>
    <i r="4">
      <x v="39"/>
    </i>
    <i r="4">
      <x v="40"/>
    </i>
    <i r="4">
      <x v="41"/>
    </i>
    <i r="4">
      <x v="42"/>
    </i>
    <i r="4">
      <x v="44"/>
    </i>
    <i r="4">
      <x v="45"/>
    </i>
    <i r="4">
      <x v="46"/>
    </i>
    <i r="4">
      <x v="47"/>
    </i>
    <i r="4">
      <x v="48"/>
    </i>
    <i r="4">
      <x v="49"/>
    </i>
    <i r="4">
      <x v="51"/>
    </i>
    <i r="4">
      <x v="53"/>
    </i>
    <i r="4">
      <x v="54"/>
    </i>
    <i r="4">
      <x v="55"/>
    </i>
    <i>
      <x v="285"/>
      <x v="136"/>
      <x v="1"/>
      <x v="42"/>
      <x v="26"/>
    </i>
    <i>
      <x v="286"/>
      <x v="336"/>
      <x v="1"/>
      <x v="2"/>
      <x v="11"/>
    </i>
    <i r="4">
      <x v="12"/>
    </i>
    <i r="4">
      <x v="15"/>
    </i>
    <i r="4">
      <x v="16"/>
    </i>
    <i r="4">
      <x v="17"/>
    </i>
    <i r="4">
      <x v="18"/>
    </i>
    <i r="4">
      <x v="22"/>
    </i>
    <i r="4">
      <x v="26"/>
    </i>
    <i r="4">
      <x v="34"/>
    </i>
    <i r="4">
      <x v="41"/>
    </i>
    <i r="4">
      <x v="42"/>
    </i>
    <i r="4">
      <x v="44"/>
    </i>
    <i r="4">
      <x v="45"/>
    </i>
    <i r="4">
      <x v="54"/>
    </i>
    <i>
      <x v="287"/>
      <x v="184"/>
      <x/>
      <x v="143"/>
      <x v="12"/>
    </i>
    <i r="4">
      <x v="26"/>
    </i>
    <i r="4">
      <x v="37"/>
    </i>
    <i r="4">
      <x v="40"/>
    </i>
    <i>
      <x v="288"/>
      <x v="162"/>
      <x v="1"/>
      <x v="156"/>
      <x v="11"/>
    </i>
    <i r="4">
      <x v="12"/>
    </i>
    <i r="4">
      <x v="18"/>
    </i>
    <i r="4">
      <x v="26"/>
    </i>
    <i r="4">
      <x v="34"/>
    </i>
    <i r="4">
      <x v="44"/>
    </i>
    <i r="4">
      <x v="45"/>
    </i>
    <i>
      <x v="289"/>
      <x v="375"/>
      <x v="1"/>
      <x v="7"/>
      <x v="38"/>
    </i>
    <i r="4">
      <x v="56"/>
    </i>
    <i r="4">
      <x v="57"/>
    </i>
    <i r="4">
      <x v="59"/>
    </i>
    <i>
      <x v="290"/>
      <x v="299"/>
      <x v="1"/>
      <x v="96"/>
      <x v="12"/>
    </i>
    <i r="4">
      <x v="15"/>
    </i>
    <i r="4">
      <x v="17"/>
    </i>
    <i r="4">
      <x v="18"/>
    </i>
    <i r="4">
      <x v="37"/>
    </i>
    <i r="4">
      <x v="48"/>
    </i>
    <i r="4">
      <x v="49"/>
    </i>
    <i>
      <x v="291"/>
      <x v="321"/>
      <x/>
      <x v="153"/>
      <x v="38"/>
    </i>
    <i>
      <x v="292"/>
      <x v="29"/>
      <x/>
      <x v="51"/>
      <x v="26"/>
    </i>
    <i>
      <x v="293"/>
      <x v="213"/>
      <x/>
      <x v="16"/>
      <x v="37"/>
    </i>
    <i>
      <x v="294"/>
      <x v="141"/>
      <x v="1"/>
      <x v="21"/>
      <x/>
    </i>
    <i r="4">
      <x v="2"/>
    </i>
    <i r="4">
      <x v="11"/>
    </i>
    <i r="4">
      <x v="12"/>
    </i>
    <i r="4">
      <x v="14"/>
    </i>
    <i r="4">
      <x v="15"/>
    </i>
    <i r="4">
      <x v="16"/>
    </i>
    <i r="4">
      <x v="17"/>
    </i>
    <i r="4">
      <x v="18"/>
    </i>
    <i r="4">
      <x v="23"/>
    </i>
    <i r="4">
      <x v="26"/>
    </i>
    <i r="4">
      <x v="27"/>
    </i>
    <i r="4">
      <x v="31"/>
    </i>
    <i r="4">
      <x v="32"/>
    </i>
    <i r="4">
      <x v="37"/>
    </i>
    <i r="4">
      <x v="39"/>
    </i>
    <i r="4">
      <x v="40"/>
    </i>
    <i r="4">
      <x v="42"/>
    </i>
    <i r="4">
      <x v="44"/>
    </i>
    <i r="4">
      <x v="45"/>
    </i>
    <i r="4">
      <x v="48"/>
    </i>
    <i r="4">
      <x v="49"/>
    </i>
    <i>
      <x v="295"/>
      <x v="74"/>
      <x/>
      <x v="156"/>
      <x/>
    </i>
    <i r="4">
      <x v="1"/>
    </i>
    <i r="4">
      <x v="2"/>
    </i>
    <i r="4">
      <x v="3"/>
    </i>
    <i r="4">
      <x v="4"/>
    </i>
    <i r="4">
      <x v="11"/>
    </i>
    <i r="4">
      <x v="12"/>
    </i>
    <i r="4">
      <x v="14"/>
    </i>
    <i r="4">
      <x v="15"/>
    </i>
    <i r="4">
      <x v="16"/>
    </i>
    <i r="4">
      <x v="17"/>
    </i>
    <i r="4">
      <x v="18"/>
    </i>
    <i r="4">
      <x v="24"/>
    </i>
    <i r="4">
      <x v="26"/>
    </i>
    <i r="4">
      <x v="31"/>
    </i>
    <i r="4">
      <x v="34"/>
    </i>
    <i r="4">
      <x v="37"/>
    </i>
    <i r="4">
      <x v="41"/>
    </i>
    <i r="4">
      <x v="42"/>
    </i>
    <i r="4">
      <x v="44"/>
    </i>
    <i r="4">
      <x v="45"/>
    </i>
    <i r="4">
      <x v="46"/>
    </i>
    <i r="4">
      <x v="47"/>
    </i>
    <i r="4">
      <x v="48"/>
    </i>
    <i r="4">
      <x v="49"/>
    </i>
    <i r="4">
      <x v="50"/>
    </i>
    <i r="4">
      <x v="51"/>
    </i>
    <i>
      <x v="296"/>
      <x v="246"/>
      <x v="1"/>
      <x v="156"/>
      <x v="26"/>
    </i>
    <i r="4">
      <x v="35"/>
    </i>
    <i r="4">
      <x v="36"/>
    </i>
    <i>
      <x v="297"/>
      <x v="222"/>
      <x v="1"/>
      <x v="58"/>
      <x v="26"/>
    </i>
    <i r="4">
      <x v="33"/>
    </i>
    <i>
      <x v="298"/>
      <x v="364"/>
      <x v="1"/>
      <x v="156"/>
      <x v="34"/>
    </i>
    <i>
      <x v="299"/>
      <x v="376"/>
      <x v="1"/>
      <x v="148"/>
      <x v="12"/>
    </i>
    <i r="4">
      <x v="33"/>
    </i>
    <i>
      <x v="300"/>
      <x v="52"/>
      <x/>
      <x v="156"/>
      <x v="5"/>
    </i>
    <i r="4">
      <x v="11"/>
    </i>
    <i r="4">
      <x v="12"/>
    </i>
    <i r="4">
      <x v="16"/>
    </i>
    <i r="4">
      <x v="17"/>
    </i>
    <i r="4">
      <x v="18"/>
    </i>
    <i r="4">
      <x v="22"/>
    </i>
    <i r="4">
      <x v="26"/>
    </i>
    <i r="4">
      <x v="44"/>
    </i>
    <i r="4">
      <x v="48"/>
    </i>
    <i r="4">
      <x v="49"/>
    </i>
    <i r="4">
      <x v="51"/>
    </i>
    <i r="4">
      <x v="53"/>
    </i>
    <i r="4">
      <x v="54"/>
    </i>
    <i r="4">
      <x v="55"/>
    </i>
    <i>
      <x v="301"/>
      <x v="144"/>
      <x v="1"/>
      <x v="111"/>
      <x v="4"/>
    </i>
    <i r="4">
      <x v="5"/>
    </i>
    <i r="4">
      <x v="6"/>
    </i>
    <i r="4">
      <x v="11"/>
    </i>
    <i r="4">
      <x v="12"/>
    </i>
    <i r="4">
      <x v="13"/>
    </i>
    <i r="4">
      <x v="15"/>
    </i>
    <i r="4">
      <x v="16"/>
    </i>
    <i r="4">
      <x v="17"/>
    </i>
    <i r="4">
      <x v="18"/>
    </i>
    <i r="4">
      <x v="22"/>
    </i>
    <i r="4">
      <x v="26"/>
    </i>
    <i r="4">
      <x v="40"/>
    </i>
    <i r="4">
      <x v="41"/>
    </i>
    <i r="4">
      <x v="42"/>
    </i>
    <i r="4">
      <x v="44"/>
    </i>
    <i r="4">
      <x v="45"/>
    </i>
    <i r="4">
      <x v="46"/>
    </i>
    <i r="4">
      <x v="47"/>
    </i>
    <i r="4">
      <x v="48"/>
    </i>
    <i r="4">
      <x v="49"/>
    </i>
    <i>
      <x v="302"/>
      <x v="214"/>
      <x v="1"/>
      <x v="84"/>
      <x v="12"/>
    </i>
    <i r="4">
      <x v="17"/>
    </i>
    <i r="4">
      <x v="26"/>
    </i>
    <i>
      <x v="303"/>
      <x v="305"/>
      <x/>
      <x v="149"/>
      <x v="33"/>
    </i>
    <i r="4">
      <x v="49"/>
    </i>
    <i r="4">
      <x v="51"/>
    </i>
    <i r="4">
      <x v="54"/>
    </i>
    <i r="4">
      <x v="55"/>
    </i>
    <i>
      <x v="304"/>
      <x v="102"/>
      <x v="1"/>
      <x v="156"/>
      <x v="26"/>
    </i>
    <i>
      <x v="305"/>
      <x v="208"/>
      <x/>
      <x v="86"/>
      <x v="40"/>
    </i>
    <i>
      <x v="306"/>
      <x v="351"/>
      <x/>
      <x v="163"/>
      <x v="38"/>
    </i>
    <i>
      <x v="307"/>
      <x v="198"/>
      <x/>
      <x v="136"/>
      <x v="38"/>
    </i>
    <i>
      <x v="308"/>
      <x v="179"/>
      <x/>
      <x v="27"/>
      <x v="12"/>
    </i>
    <i r="4">
      <x v="37"/>
    </i>
    <i r="4">
      <x v="45"/>
    </i>
    <i>
      <x v="309"/>
      <x v="266"/>
      <x/>
      <x v="38"/>
      <x v="12"/>
    </i>
    <i r="4">
      <x v="17"/>
    </i>
    <i r="4">
      <x v="18"/>
    </i>
    <i r="4">
      <x v="22"/>
    </i>
    <i r="4">
      <x v="26"/>
    </i>
    <i r="4">
      <x v="40"/>
    </i>
    <i r="4">
      <x v="41"/>
    </i>
    <i r="4">
      <x v="42"/>
    </i>
    <i r="4">
      <x v="44"/>
    </i>
    <i>
      <x v="310"/>
      <x v="92"/>
      <x/>
      <x v="112"/>
      <x/>
    </i>
    <i r="4">
      <x v="1"/>
    </i>
    <i r="4">
      <x v="2"/>
    </i>
    <i r="4">
      <x v="3"/>
    </i>
    <i r="4">
      <x v="4"/>
    </i>
    <i r="4">
      <x v="5"/>
    </i>
    <i r="4">
      <x v="6"/>
    </i>
    <i r="4">
      <x v="11"/>
    </i>
    <i r="4">
      <x v="12"/>
    </i>
    <i r="4">
      <x v="14"/>
    </i>
    <i r="4">
      <x v="15"/>
    </i>
    <i r="4">
      <x v="16"/>
    </i>
    <i r="4">
      <x v="17"/>
    </i>
    <i r="4">
      <x v="18"/>
    </i>
    <i r="4">
      <x v="20"/>
    </i>
    <i r="4">
      <x v="22"/>
    </i>
    <i r="4">
      <x v="26"/>
    </i>
    <i r="4">
      <x v="27"/>
    </i>
    <i r="4">
      <x v="33"/>
    </i>
    <i r="4">
      <x v="34"/>
    </i>
    <i r="4">
      <x v="37"/>
    </i>
    <i r="4">
      <x v="41"/>
    </i>
    <i r="4">
      <x v="42"/>
    </i>
    <i r="4">
      <x v="43"/>
    </i>
    <i r="4">
      <x v="44"/>
    </i>
    <i r="4">
      <x v="45"/>
    </i>
    <i r="4">
      <x v="46"/>
    </i>
    <i r="4">
      <x v="47"/>
    </i>
    <i r="4">
      <x v="48"/>
    </i>
    <i r="4">
      <x v="49"/>
    </i>
    <i r="4">
      <x v="51"/>
    </i>
    <i r="4">
      <x v="52"/>
    </i>
    <i r="4">
      <x v="61"/>
    </i>
    <i>
      <x v="311"/>
      <x v="154"/>
      <x/>
      <x v="105"/>
      <x v="12"/>
    </i>
    <i r="4">
      <x v="20"/>
    </i>
    <i r="4">
      <x v="31"/>
    </i>
    <i>
      <x v="312"/>
      <x v="165"/>
      <x v="1"/>
      <x v="34"/>
      <x v="8"/>
    </i>
    <i r="4">
      <x v="9"/>
    </i>
    <i r="4">
      <x v="10"/>
    </i>
    <i r="4">
      <x v="35"/>
    </i>
    <i r="4">
      <x v="36"/>
    </i>
    <i>
      <x v="313"/>
      <x v="280"/>
      <x v="1"/>
      <x v="156"/>
      <x v="11"/>
    </i>
    <i r="4">
      <x v="12"/>
    </i>
    <i r="4">
      <x v="17"/>
    </i>
    <i r="4">
      <x v="18"/>
    </i>
    <i r="4">
      <x v="22"/>
    </i>
    <i r="4">
      <x v="24"/>
    </i>
    <i r="4">
      <x v="30"/>
    </i>
    <i r="4">
      <x v="44"/>
    </i>
    <i r="4">
      <x v="46"/>
    </i>
    <i r="4">
      <x v="48"/>
    </i>
    <i r="4">
      <x v="49"/>
    </i>
    <i r="4">
      <x v="51"/>
    </i>
    <i>
      <x v="314"/>
      <x v="377"/>
      <x v="1"/>
      <x v="113"/>
      <x v="40"/>
    </i>
    <i>
      <x v="315"/>
      <x v="406"/>
      <x/>
      <x v="78"/>
      <x v="59"/>
    </i>
    <i>
      <x v="316"/>
      <x v="294"/>
      <x/>
      <x v="156"/>
      <x v="12"/>
    </i>
    <i r="4">
      <x v="22"/>
    </i>
    <i r="4">
      <x v="42"/>
    </i>
    <i r="4">
      <x v="43"/>
    </i>
    <i r="4">
      <x v="44"/>
    </i>
    <i>
      <x v="317"/>
      <x v="378"/>
      <x v="1"/>
      <x v="35"/>
      <x v="23"/>
    </i>
    <i r="4">
      <x v="32"/>
    </i>
    <i r="4">
      <x v="39"/>
    </i>
    <i r="4">
      <x v="40"/>
    </i>
    <i>
      <x v="318"/>
      <x v="340"/>
      <x v="1"/>
      <x v="159"/>
      <x v="59"/>
    </i>
    <i>
      <x v="319"/>
      <x v="313"/>
      <x/>
      <x v="78"/>
      <x v="24"/>
    </i>
    <i>
      <x v="320"/>
      <x v="211"/>
      <x/>
      <x v="85"/>
      <x v="7"/>
    </i>
    <i r="4">
      <x v="8"/>
    </i>
    <i r="4">
      <x v="9"/>
    </i>
    <i r="4">
      <x v="10"/>
    </i>
    <i r="4">
      <x v="25"/>
    </i>
    <i r="4">
      <x v="26"/>
    </i>
    <i>
      <x v="321"/>
      <x v="53"/>
      <x v="1"/>
      <x v="156"/>
      <x v="2"/>
    </i>
    <i r="4">
      <x v="11"/>
    </i>
    <i r="4">
      <x v="12"/>
    </i>
    <i r="4">
      <x v="17"/>
    </i>
    <i r="4">
      <x v="18"/>
    </i>
    <i r="4">
      <x v="22"/>
    </i>
    <i r="4">
      <x v="26"/>
    </i>
    <i r="4">
      <x v="30"/>
    </i>
    <i r="4">
      <x v="44"/>
    </i>
    <i r="4">
      <x v="45"/>
    </i>
    <i r="4">
      <x v="46"/>
    </i>
    <i r="4">
      <x v="48"/>
    </i>
    <i r="4">
      <x v="49"/>
    </i>
    <i>
      <x v="322"/>
      <x v="105"/>
      <x v="1"/>
      <x v="65"/>
      <x v="11"/>
    </i>
    <i r="4">
      <x v="12"/>
    </i>
    <i r="4">
      <x v="17"/>
    </i>
    <i r="4">
      <x v="18"/>
    </i>
    <i r="4">
      <x v="22"/>
    </i>
    <i r="4">
      <x v="26"/>
    </i>
    <i r="4">
      <x v="42"/>
    </i>
    <i r="4">
      <x v="44"/>
    </i>
    <i r="4">
      <x v="45"/>
    </i>
    <i r="4">
      <x v="48"/>
    </i>
    <i r="4">
      <x v="49"/>
    </i>
    <i>
      <x v="323"/>
      <x v="328"/>
      <x/>
      <x v="156"/>
      <x v="7"/>
    </i>
    <i r="4">
      <x v="8"/>
    </i>
    <i r="4">
      <x v="9"/>
    </i>
    <i r="4">
      <x v="10"/>
    </i>
    <i>
      <x v="324"/>
      <x v="20"/>
      <x/>
      <x v="119"/>
      <x v="40"/>
    </i>
    <i>
      <x v="325"/>
      <x v="21"/>
      <x/>
      <x/>
      <x v="12"/>
    </i>
    <i r="4">
      <x v="15"/>
    </i>
    <i r="4">
      <x v="17"/>
    </i>
    <i r="4">
      <x v="18"/>
    </i>
    <i r="4">
      <x v="22"/>
    </i>
    <i r="4">
      <x v="26"/>
    </i>
    <i r="4">
      <x v="37"/>
    </i>
    <i r="4">
      <x v="40"/>
    </i>
    <i r="4">
      <x v="44"/>
    </i>
    <i r="4">
      <x v="45"/>
    </i>
    <i r="4">
      <x v="59"/>
    </i>
    <i>
      <x v="326"/>
      <x v="325"/>
      <x v="1"/>
      <x v="32"/>
      <x v="40"/>
    </i>
    <i>
      <x v="327"/>
      <x v="344"/>
      <x/>
      <x v="132"/>
      <x v="12"/>
    </i>
    <i r="4">
      <x v="15"/>
    </i>
    <i r="4">
      <x v="18"/>
    </i>
    <i r="4">
      <x v="22"/>
    </i>
    <i r="4">
      <x v="30"/>
    </i>
    <i r="4">
      <x v="37"/>
    </i>
    <i r="4">
      <x v="40"/>
    </i>
    <i r="4">
      <x v="44"/>
    </i>
    <i r="4">
      <x v="45"/>
    </i>
    <i r="4">
      <x v="48"/>
    </i>
    <i>
      <x v="328"/>
      <x v="414"/>
      <x/>
      <x v="177"/>
      <x v="38"/>
    </i>
    <i>
      <x v="329"/>
      <x v="59"/>
      <x/>
      <x v="68"/>
      <x v="11"/>
    </i>
    <i r="4">
      <x v="12"/>
    </i>
    <i r="4">
      <x v="22"/>
    </i>
    <i r="4">
      <x v="43"/>
    </i>
    <i r="4">
      <x v="44"/>
    </i>
    <i>
      <x v="330"/>
      <x v="185"/>
      <x/>
      <x v="156"/>
      <x v="7"/>
    </i>
    <i r="4">
      <x v="8"/>
    </i>
    <i r="4">
      <x v="9"/>
    </i>
    <i r="4">
      <x v="48"/>
    </i>
    <i r="4">
      <x v="49"/>
    </i>
    <i r="4">
      <x v="51"/>
    </i>
    <i>
      <x v="331"/>
      <x v="86"/>
      <x v="1"/>
      <x v="156"/>
      <x v="11"/>
    </i>
    <i r="4">
      <x v="12"/>
    </i>
    <i r="4">
      <x v="14"/>
    </i>
    <i r="4">
      <x v="15"/>
    </i>
    <i r="4">
      <x v="18"/>
    </i>
    <i r="4">
      <x v="19"/>
    </i>
    <i r="4">
      <x v="20"/>
    </i>
    <i r="4">
      <x v="22"/>
    </i>
    <i r="4">
      <x v="26"/>
    </i>
    <i r="4">
      <x v="27"/>
    </i>
    <i r="4">
      <x v="31"/>
    </i>
    <i r="4">
      <x v="41"/>
    </i>
    <i r="4">
      <x v="42"/>
    </i>
    <i r="4">
      <x v="44"/>
    </i>
    <i r="4">
      <x v="45"/>
    </i>
    <i>
      <x v="332"/>
      <x v="348"/>
      <x v="1"/>
      <x v="156"/>
      <x v="30"/>
    </i>
    <i>
      <x v="333"/>
      <x v="407"/>
      <x/>
      <x v="105"/>
      <x v="26"/>
    </i>
    <i>
      <x v="334"/>
      <x v="4"/>
      <x/>
      <x v="25"/>
      <x v="12"/>
    </i>
    <i r="4">
      <x v="40"/>
    </i>
    <i>
      <x v="335"/>
      <x v="408"/>
      <x/>
      <x v="156"/>
      <x v="30"/>
    </i>
    <i r="4">
      <x v="45"/>
    </i>
    <i>
      <x v="336"/>
      <x v="249"/>
      <x/>
      <x v="2"/>
      <x v="8"/>
    </i>
    <i r="4">
      <x v="9"/>
    </i>
    <i r="4">
      <x v="10"/>
    </i>
    <i r="4">
      <x v="35"/>
    </i>
    <i r="4">
      <x v="36"/>
    </i>
    <i>
      <x v="337"/>
      <x v="236"/>
      <x/>
      <x v="156"/>
      <x v="12"/>
    </i>
    <i r="4">
      <x v="15"/>
    </i>
    <i r="4">
      <x v="18"/>
    </i>
    <i r="4">
      <x v="20"/>
    </i>
    <i r="4">
      <x v="22"/>
    </i>
    <i r="4">
      <x v="26"/>
    </i>
    <i r="4">
      <x v="27"/>
    </i>
    <i r="4">
      <x v="37"/>
    </i>
    <i r="4">
      <x v="41"/>
    </i>
    <i r="4">
      <x v="44"/>
    </i>
    <i r="4">
      <x v="45"/>
    </i>
    <i>
      <x v="338"/>
      <x v="216"/>
      <x/>
      <x v="101"/>
      <x v="12"/>
    </i>
    <i r="4">
      <x v="26"/>
    </i>
    <i r="4">
      <x v="40"/>
    </i>
    <i>
      <x v="339"/>
      <x v="3"/>
      <x v="1"/>
      <x v="156"/>
      <x v="26"/>
    </i>
    <i r="4">
      <x v="33"/>
    </i>
    <i>
      <x v="340"/>
      <x v="152"/>
      <x/>
      <x v="74"/>
      <x v="11"/>
    </i>
    <i r="4">
      <x v="19"/>
    </i>
    <i r="4">
      <x v="20"/>
    </i>
    <i r="4">
      <x v="22"/>
    </i>
    <i r="4">
      <x v="27"/>
    </i>
    <i r="4">
      <x v="42"/>
    </i>
    <i r="4">
      <x v="43"/>
    </i>
    <i r="4">
      <x v="44"/>
    </i>
    <i r="4">
      <x v="53"/>
    </i>
    <i>
      <x v="341"/>
      <x v="357"/>
      <x/>
      <x v="156"/>
      <x v="5"/>
    </i>
    <i r="4">
      <x v="6"/>
    </i>
    <i r="4">
      <x v="11"/>
    </i>
    <i r="4">
      <x v="12"/>
    </i>
    <i r="4">
      <x v="13"/>
    </i>
    <i r="4">
      <x v="16"/>
    </i>
    <i r="4">
      <x v="17"/>
    </i>
    <i r="4">
      <x v="18"/>
    </i>
    <i r="4">
      <x v="19"/>
    </i>
    <i r="4">
      <x v="20"/>
    </i>
    <i r="4">
      <x v="22"/>
    </i>
    <i r="4">
      <x v="26"/>
    </i>
    <i r="4">
      <x v="34"/>
    </i>
    <i r="4">
      <x v="37"/>
    </i>
    <i r="4">
      <x v="41"/>
    </i>
    <i r="4">
      <x v="42"/>
    </i>
    <i r="4">
      <x v="44"/>
    </i>
    <i r="4">
      <x v="45"/>
    </i>
    <i r="4">
      <x v="46"/>
    </i>
    <i r="4">
      <x v="47"/>
    </i>
    <i r="4">
      <x v="48"/>
    </i>
    <i r="4">
      <x v="49"/>
    </i>
    <i>
      <x v="342"/>
      <x v="283"/>
      <x/>
      <x v="156"/>
      <x v="24"/>
    </i>
    <i>
      <x v="343"/>
      <x v="312"/>
      <x/>
      <x v="156"/>
      <x v="5"/>
    </i>
    <i r="4">
      <x v="6"/>
    </i>
    <i r="4">
      <x v="7"/>
    </i>
    <i r="4">
      <x v="8"/>
    </i>
    <i r="4">
      <x v="9"/>
    </i>
    <i r="4">
      <x v="10"/>
    </i>
    <i r="4">
      <x v="11"/>
    </i>
    <i r="4">
      <x v="12"/>
    </i>
    <i r="4">
      <x v="14"/>
    </i>
    <i r="4">
      <x v="15"/>
    </i>
    <i r="4">
      <x v="16"/>
    </i>
    <i r="4">
      <x v="17"/>
    </i>
    <i r="4">
      <x v="18"/>
    </i>
    <i r="4">
      <x v="21"/>
    </i>
    <i r="4">
      <x v="22"/>
    </i>
    <i r="4">
      <x v="26"/>
    </i>
    <i r="4">
      <x v="27"/>
    </i>
    <i r="4">
      <x v="29"/>
    </i>
    <i r="4">
      <x v="30"/>
    </i>
    <i r="4">
      <x v="31"/>
    </i>
    <i r="4">
      <x v="33"/>
    </i>
    <i r="4">
      <x v="41"/>
    </i>
    <i r="4">
      <x v="42"/>
    </i>
    <i r="4">
      <x v="43"/>
    </i>
    <i r="4">
      <x v="44"/>
    </i>
    <i r="4">
      <x v="45"/>
    </i>
    <i r="4">
      <x v="46"/>
    </i>
    <i r="4">
      <x v="47"/>
    </i>
    <i r="4">
      <x v="48"/>
    </i>
    <i r="4">
      <x v="49"/>
    </i>
    <i r="4">
      <x v="50"/>
    </i>
    <i r="4">
      <x v="51"/>
    </i>
    <i r="4">
      <x v="52"/>
    </i>
    <i r="4">
      <x v="53"/>
    </i>
    <i r="4">
      <x v="54"/>
    </i>
    <i>
      <x v="344"/>
      <x v="94"/>
      <x/>
      <x v="29"/>
      <x v="35"/>
    </i>
    <i r="4">
      <x v="36"/>
    </i>
    <i>
      <x v="345"/>
      <x v="209"/>
      <x v="1"/>
      <x v="156"/>
      <x v="11"/>
    </i>
    <i r="4">
      <x v="12"/>
    </i>
    <i r="4">
      <x v="18"/>
    </i>
    <i r="4">
      <x v="19"/>
    </i>
    <i r="4">
      <x v="20"/>
    </i>
    <i r="4">
      <x v="22"/>
    </i>
    <i r="4">
      <x v="26"/>
    </i>
    <i r="4">
      <x v="27"/>
    </i>
    <i r="4">
      <x v="39"/>
    </i>
    <i r="4">
      <x v="40"/>
    </i>
    <i r="4">
      <x v="42"/>
    </i>
    <i r="4">
      <x v="44"/>
    </i>
    <i r="4">
      <x v="45"/>
    </i>
    <i r="4">
      <x v="46"/>
    </i>
    <i r="4">
      <x v="47"/>
    </i>
    <i r="4">
      <x v="48"/>
    </i>
    <i r="4">
      <x v="49"/>
    </i>
    <i r="4">
      <x v="50"/>
    </i>
    <i r="4">
      <x v="51"/>
    </i>
    <i>
      <x v="346"/>
      <x v="326"/>
      <x/>
      <x v="155"/>
      <x v="11"/>
    </i>
    <i r="4">
      <x v="12"/>
    </i>
    <i r="4">
      <x v="13"/>
    </i>
    <i r="4">
      <x v="14"/>
    </i>
    <i r="4">
      <x v="15"/>
    </i>
    <i r="4">
      <x v="16"/>
    </i>
    <i r="4">
      <x v="17"/>
    </i>
    <i r="4">
      <x v="18"/>
    </i>
    <i r="4">
      <x v="19"/>
    </i>
    <i r="4">
      <x v="20"/>
    </i>
    <i r="4">
      <x v="21"/>
    </i>
    <i r="4">
      <x v="22"/>
    </i>
    <i r="4">
      <x v="26"/>
    </i>
    <i r="4">
      <x v="27"/>
    </i>
    <i r="4">
      <x v="31"/>
    </i>
    <i r="4">
      <x v="34"/>
    </i>
    <i r="4">
      <x v="37"/>
    </i>
    <i r="4">
      <x v="41"/>
    </i>
    <i r="4">
      <x v="42"/>
    </i>
    <i r="4">
      <x v="44"/>
    </i>
    <i r="4">
      <x v="45"/>
    </i>
    <i r="4">
      <x v="46"/>
    </i>
    <i r="4">
      <x v="47"/>
    </i>
    <i r="4">
      <x v="48"/>
    </i>
    <i r="4">
      <x v="49"/>
    </i>
    <i>
      <x v="347"/>
      <x v="379"/>
      <x v="1"/>
      <x v="88"/>
      <x v="10"/>
    </i>
    <i>
      <x v="348"/>
      <x v="131"/>
      <x/>
      <x v="61"/>
      <x v="38"/>
    </i>
    <i>
      <x v="349"/>
      <x v="19"/>
      <x/>
      <x v="156"/>
      <x v="24"/>
    </i>
    <i>
      <x v="350"/>
      <x v="286"/>
      <x/>
      <x v="156"/>
      <x/>
    </i>
    <i r="4">
      <x v="5"/>
    </i>
    <i r="4">
      <x v="6"/>
    </i>
    <i r="4">
      <x v="8"/>
    </i>
    <i r="4">
      <x v="9"/>
    </i>
    <i r="4">
      <x v="11"/>
    </i>
    <i r="4">
      <x v="12"/>
    </i>
    <i r="4">
      <x v="14"/>
    </i>
    <i r="4">
      <x v="15"/>
    </i>
    <i r="4">
      <x v="16"/>
    </i>
    <i r="4">
      <x v="17"/>
    </i>
    <i r="4">
      <x v="18"/>
    </i>
    <i r="4">
      <x v="22"/>
    </i>
    <i r="4">
      <x v="26"/>
    </i>
    <i r="4">
      <x v="27"/>
    </i>
    <i r="4">
      <x v="30"/>
    </i>
    <i r="4">
      <x v="31"/>
    </i>
    <i r="4">
      <x v="33"/>
    </i>
    <i r="4">
      <x v="41"/>
    </i>
    <i r="4">
      <x v="42"/>
    </i>
    <i r="4">
      <x v="44"/>
    </i>
    <i r="4">
      <x v="45"/>
    </i>
    <i r="4">
      <x v="46"/>
    </i>
    <i r="4">
      <x v="47"/>
    </i>
    <i r="4">
      <x v="48"/>
    </i>
    <i r="4">
      <x v="49"/>
    </i>
    <i r="4">
      <x v="50"/>
    </i>
    <i r="4">
      <x v="51"/>
    </i>
    <i r="4">
      <x v="52"/>
    </i>
    <i r="4">
      <x v="53"/>
    </i>
    <i r="4">
      <x v="54"/>
    </i>
    <i r="4">
      <x v="55"/>
    </i>
    <i>
      <x v="351"/>
      <x v="24"/>
      <x/>
      <x v="113"/>
      <x v="23"/>
    </i>
    <i r="4">
      <x v="32"/>
    </i>
    <i r="4">
      <x v="39"/>
    </i>
    <i r="4">
      <x v="40"/>
    </i>
    <i>
      <x v="352"/>
      <x v="241"/>
      <x v="1"/>
      <x v="78"/>
      <x v="12"/>
    </i>
    <i r="4">
      <x v="26"/>
    </i>
    <i r="4">
      <x v="33"/>
    </i>
    <i r="4">
      <x v="45"/>
    </i>
    <i>
      <x v="353"/>
      <x v="358"/>
      <x v="1"/>
      <x v="165"/>
      <x v="59"/>
    </i>
    <i>
      <x v="354"/>
      <x v="270"/>
      <x v="1"/>
      <x v="156"/>
      <x v="26"/>
    </i>
    <i r="4">
      <x v="33"/>
    </i>
    <i>
      <x v="355"/>
      <x v="166"/>
      <x v="1"/>
      <x v="48"/>
      <x v="12"/>
    </i>
    <i>
      <x v="356"/>
      <x v="163"/>
      <x/>
      <x v="3"/>
      <x v="39"/>
    </i>
    <i>
      <x v="357"/>
      <x v="129"/>
      <x v="1"/>
      <x v="156"/>
      <x v="39"/>
    </i>
    <i>
      <x v="358"/>
      <x v="148"/>
      <x v="1"/>
      <x v="105"/>
      <x v="12"/>
    </i>
    <i r="4">
      <x v="26"/>
    </i>
    <i r="4">
      <x v="40"/>
    </i>
    <i>
      <x v="359"/>
      <x v="95"/>
      <x/>
      <x v="156"/>
      <x v="11"/>
    </i>
    <i r="4">
      <x v="12"/>
    </i>
    <i r="4">
      <x v="14"/>
    </i>
    <i r="4">
      <x v="15"/>
    </i>
    <i r="4">
      <x v="16"/>
    </i>
    <i r="4">
      <x v="17"/>
    </i>
    <i r="4">
      <x v="18"/>
    </i>
    <i r="4">
      <x v="22"/>
    </i>
    <i r="4">
      <x v="26"/>
    </i>
    <i r="4">
      <x v="27"/>
    </i>
    <i r="4">
      <x v="30"/>
    </i>
    <i r="4">
      <x v="37"/>
    </i>
    <i r="4">
      <x v="40"/>
    </i>
    <i r="4">
      <x v="41"/>
    </i>
    <i r="4">
      <x v="42"/>
    </i>
    <i r="4">
      <x v="43"/>
    </i>
    <i r="4">
      <x v="44"/>
    </i>
    <i r="4">
      <x v="45"/>
    </i>
    <i r="4">
      <x v="46"/>
    </i>
    <i r="4">
      <x v="48"/>
    </i>
    <i r="4">
      <x v="49"/>
    </i>
    <i>
      <x v="360"/>
      <x v="140"/>
      <x/>
      <x v="41"/>
      <x v="5"/>
    </i>
    <i r="4">
      <x v="7"/>
    </i>
    <i r="4">
      <x v="8"/>
    </i>
    <i r="4">
      <x v="9"/>
    </i>
    <i r="4">
      <x v="10"/>
    </i>
    <i r="4">
      <x v="25"/>
    </i>
    <i r="4">
      <x v="28"/>
    </i>
    <i r="4">
      <x v="29"/>
    </i>
    <i>
      <x v="361"/>
      <x v="239"/>
      <x/>
      <x v="37"/>
      <x v="30"/>
    </i>
    <i>
      <x v="362"/>
      <x v="106"/>
      <x/>
      <x v="15"/>
      <x v="8"/>
    </i>
    <i r="4">
      <x v="9"/>
    </i>
    <i>
      <x v="363"/>
      <x v="137"/>
      <x v="1"/>
      <x v="39"/>
      <x v="4"/>
    </i>
    <i>
      <x v="364"/>
      <x v="228"/>
      <x v="1"/>
      <x v="105"/>
      <x v="11"/>
    </i>
    <i r="4">
      <x v="12"/>
    </i>
    <i r="4">
      <x v="17"/>
    </i>
    <i r="4">
      <x v="18"/>
    </i>
    <i r="4">
      <x v="21"/>
    </i>
    <i r="4">
      <x v="24"/>
    </i>
    <i r="4">
      <x v="26"/>
    </i>
    <i r="4">
      <x v="27"/>
    </i>
    <i r="4">
      <x v="31"/>
    </i>
    <i r="4">
      <x v="37"/>
    </i>
    <i r="4">
      <x v="44"/>
    </i>
    <i r="4">
      <x v="45"/>
    </i>
    <i r="4">
      <x v="48"/>
    </i>
    <i r="4">
      <x v="54"/>
    </i>
    <i>
      <x v="365"/>
      <x v="183"/>
      <x/>
      <x v="156"/>
      <x v="30"/>
    </i>
    <i>
      <x v="366"/>
      <x v="203"/>
      <x v="1"/>
      <x v="156"/>
      <x/>
    </i>
    <i r="4">
      <x v="11"/>
    </i>
    <i r="4">
      <x v="12"/>
    </i>
    <i r="4">
      <x v="17"/>
    </i>
    <i r="4">
      <x v="18"/>
    </i>
    <i r="4">
      <x v="22"/>
    </i>
    <i r="4">
      <x v="26"/>
    </i>
    <i r="4">
      <x v="33"/>
    </i>
    <i r="4">
      <x v="37"/>
    </i>
    <i r="4">
      <x v="39"/>
    </i>
    <i r="4">
      <x v="40"/>
    </i>
    <i r="4">
      <x v="44"/>
    </i>
    <i r="4">
      <x v="45"/>
    </i>
    <i r="4">
      <x v="46"/>
    </i>
    <i r="4">
      <x v="48"/>
    </i>
    <i r="4">
      <x v="49"/>
    </i>
    <i r="4">
      <x v="51"/>
    </i>
    <i r="4">
      <x v="55"/>
    </i>
    <i>
      <x v="367"/>
      <x v="365"/>
      <x/>
      <x v="48"/>
      <x v="12"/>
    </i>
    <i r="4">
      <x v="40"/>
    </i>
    <i r="4">
      <x v="45"/>
    </i>
    <i>
      <x v="368"/>
      <x v="309"/>
      <x/>
      <x v="114"/>
      <x v="38"/>
    </i>
    <i>
      <x v="369"/>
      <x v="254"/>
      <x/>
      <x v="83"/>
      <x v="11"/>
    </i>
    <i r="4">
      <x v="12"/>
    </i>
    <i r="4">
      <x v="14"/>
    </i>
    <i r="4">
      <x v="15"/>
    </i>
    <i r="4">
      <x v="16"/>
    </i>
    <i r="4">
      <x v="17"/>
    </i>
    <i r="4">
      <x v="18"/>
    </i>
    <i r="4">
      <x v="22"/>
    </i>
    <i r="4">
      <x v="26"/>
    </i>
    <i r="4">
      <x v="37"/>
    </i>
    <i r="4">
      <x v="40"/>
    </i>
    <i r="4">
      <x v="41"/>
    </i>
    <i r="4">
      <x v="42"/>
    </i>
    <i r="4">
      <x v="44"/>
    </i>
    <i r="4">
      <x v="45"/>
    </i>
    <i>
      <x v="370"/>
      <x v="143"/>
      <x v="1"/>
      <x v="5"/>
      <x v="12"/>
    </i>
    <i r="4">
      <x v="26"/>
    </i>
    <i>
      <x v="371"/>
      <x v="66"/>
      <x/>
      <x v="101"/>
      <x v="40"/>
    </i>
    <i>
      <x v="372"/>
      <x v="206"/>
      <x/>
      <x v="115"/>
      <x v="11"/>
    </i>
    <i r="4">
      <x v="12"/>
    </i>
    <i r="4">
      <x v="13"/>
    </i>
    <i r="4">
      <x v="14"/>
    </i>
    <i r="4">
      <x v="15"/>
    </i>
    <i r="4">
      <x v="16"/>
    </i>
    <i r="4">
      <x v="17"/>
    </i>
    <i r="4">
      <x v="18"/>
    </i>
    <i r="4">
      <x v="22"/>
    </i>
    <i r="4">
      <x v="23"/>
    </i>
    <i r="4">
      <x v="26"/>
    </i>
    <i r="4">
      <x v="31"/>
    </i>
    <i r="4">
      <x v="32"/>
    </i>
    <i r="4">
      <x v="37"/>
    </i>
    <i r="4">
      <x v="40"/>
    </i>
    <i r="4">
      <x v="41"/>
    </i>
    <i r="4">
      <x v="42"/>
    </i>
    <i r="4">
      <x v="44"/>
    </i>
    <i r="4">
      <x v="45"/>
    </i>
    <i r="4">
      <x v="46"/>
    </i>
    <i r="4">
      <x v="48"/>
    </i>
    <i r="4">
      <x v="49"/>
    </i>
    <i r="4">
      <x v="51"/>
    </i>
    <i r="4">
      <x v="61"/>
    </i>
    <i>
      <x v="373"/>
      <x v="153"/>
      <x/>
      <x v="104"/>
      <x v="11"/>
    </i>
    <i r="4">
      <x v="12"/>
    </i>
    <i r="4">
      <x v="15"/>
    </i>
    <i r="4">
      <x v="45"/>
    </i>
    <i r="4">
      <x v="48"/>
    </i>
    <i r="4">
      <x v="49"/>
    </i>
    <i r="4">
      <x v="51"/>
    </i>
    <i r="4">
      <x v="54"/>
    </i>
    <i>
      <x v="374"/>
      <x v="366"/>
      <x/>
      <x v="166"/>
      <x v="12"/>
    </i>
    <i r="4">
      <x v="41"/>
    </i>
    <i r="4">
      <x v="42"/>
    </i>
    <i r="4">
      <x v="44"/>
    </i>
    <i>
      <x v="375"/>
      <x v="192"/>
      <x v="1"/>
      <x v="156"/>
      <x v="12"/>
    </i>
    <i r="4">
      <x v="26"/>
    </i>
    <i>
      <x v="376"/>
      <x v="264"/>
      <x v="1"/>
      <x v="65"/>
      <x v="12"/>
    </i>
    <i r="4">
      <x v="18"/>
    </i>
    <i r="4">
      <x v="26"/>
    </i>
    <i>
      <x v="377"/>
      <x v="47"/>
      <x/>
      <x v="156"/>
      <x v="11"/>
    </i>
    <i r="4">
      <x v="12"/>
    </i>
    <i r="4">
      <x v="15"/>
    </i>
    <i r="4">
      <x v="17"/>
    </i>
    <i r="4">
      <x v="18"/>
    </i>
    <i r="4">
      <x v="19"/>
    </i>
    <i r="4">
      <x v="20"/>
    </i>
    <i r="4">
      <x v="22"/>
    </i>
    <i r="4">
      <x v="26"/>
    </i>
    <i r="4">
      <x v="27"/>
    </i>
    <i r="4">
      <x v="41"/>
    </i>
    <i r="4">
      <x v="42"/>
    </i>
    <i r="4">
      <x v="43"/>
    </i>
    <i r="4">
      <x v="44"/>
    </i>
    <i r="4">
      <x v="45"/>
    </i>
    <i r="4">
      <x v="48"/>
    </i>
    <i r="4">
      <x v="49"/>
    </i>
    <i r="4">
      <x v="51"/>
    </i>
    <i r="4">
      <x v="53"/>
    </i>
    <i>
      <x v="378"/>
      <x v="330"/>
      <x/>
      <x v="105"/>
      <x v="5"/>
    </i>
    <i r="4">
      <x v="6"/>
    </i>
    <i r="4">
      <x v="11"/>
    </i>
    <i r="4">
      <x v="12"/>
    </i>
    <i r="4">
      <x v="13"/>
    </i>
    <i r="4">
      <x v="14"/>
    </i>
    <i r="4">
      <x v="15"/>
    </i>
    <i r="4">
      <x v="16"/>
    </i>
    <i r="4">
      <x v="17"/>
    </i>
    <i r="4">
      <x v="18"/>
    </i>
    <i r="4">
      <x v="20"/>
    </i>
    <i r="4">
      <x v="22"/>
    </i>
    <i r="4">
      <x v="24"/>
    </i>
    <i r="4">
      <x v="26"/>
    </i>
    <i r="4">
      <x v="27"/>
    </i>
    <i r="4">
      <x v="30"/>
    </i>
    <i r="4">
      <x v="31"/>
    </i>
    <i r="4">
      <x v="33"/>
    </i>
    <i r="4">
      <x v="34"/>
    </i>
    <i r="4">
      <x v="40"/>
    </i>
    <i r="4">
      <x v="41"/>
    </i>
    <i r="4">
      <x v="42"/>
    </i>
    <i r="4">
      <x v="43"/>
    </i>
    <i r="4">
      <x v="44"/>
    </i>
    <i r="4">
      <x v="45"/>
    </i>
    <i r="4">
      <x v="46"/>
    </i>
    <i r="4">
      <x v="47"/>
    </i>
    <i r="4">
      <x v="48"/>
    </i>
    <i r="4">
      <x v="49"/>
    </i>
    <i r="4">
      <x v="50"/>
    </i>
    <i r="4">
      <x v="51"/>
    </i>
    <i r="4">
      <x v="52"/>
    </i>
    <i r="4">
      <x v="53"/>
    </i>
    <i r="4">
      <x v="54"/>
    </i>
    <i r="4">
      <x v="55"/>
    </i>
    <i>
      <x v="379"/>
      <x v="132"/>
      <x v="1"/>
      <x v="57"/>
      <x v="11"/>
    </i>
    <i r="4">
      <x v="12"/>
    </i>
    <i r="4">
      <x v="14"/>
    </i>
    <i r="4">
      <x v="15"/>
    </i>
    <i r="4">
      <x v="17"/>
    </i>
    <i r="4">
      <x v="18"/>
    </i>
    <i r="4">
      <x v="22"/>
    </i>
    <i r="4">
      <x v="37"/>
    </i>
    <i r="4">
      <x v="42"/>
    </i>
    <i r="4">
      <x v="44"/>
    </i>
    <i r="4">
      <x v="45"/>
    </i>
    <i>
      <x v="380"/>
      <x v="401"/>
      <x v="1"/>
      <x v="164"/>
      <x v="26"/>
    </i>
    <i>
      <x v="381"/>
      <x v="331"/>
      <x v="1"/>
      <x v="27"/>
      <x v="38"/>
    </i>
    <i>
      <x v="382"/>
      <x v="219"/>
      <x/>
      <x v="102"/>
      <x v="12"/>
    </i>
    <i r="4">
      <x v="15"/>
    </i>
    <i r="4">
      <x v="18"/>
    </i>
    <i r="4">
      <x v="26"/>
    </i>
    <i r="4">
      <x v="44"/>
    </i>
    <i r="4">
      <x v="45"/>
    </i>
    <i>
      <x v="383"/>
      <x v="173"/>
      <x/>
      <x v="78"/>
      <x v="29"/>
    </i>
    <i>
      <x v="384"/>
      <x v="409"/>
      <x/>
      <x v="179"/>
      <x v="40"/>
    </i>
    <i>
      <x v="385"/>
      <x v="135"/>
      <x/>
      <x v="71"/>
      <x v="7"/>
    </i>
    <i r="4">
      <x v="8"/>
    </i>
    <i r="4">
      <x v="9"/>
    </i>
    <i r="4">
      <x v="10"/>
    </i>
    <i r="4">
      <x v="25"/>
    </i>
    <i r="4">
      <x v="26"/>
    </i>
    <i r="4">
      <x v="39"/>
    </i>
    <i>
      <x v="386"/>
      <x v="61"/>
      <x/>
      <x v="70"/>
      <x v="11"/>
    </i>
    <i r="4">
      <x v="12"/>
    </i>
    <i r="4">
      <x v="15"/>
    </i>
    <i r="4">
      <x v="16"/>
    </i>
    <i r="4">
      <x v="17"/>
    </i>
    <i r="4">
      <x v="18"/>
    </i>
    <i r="4">
      <x v="22"/>
    </i>
    <i r="4">
      <x v="26"/>
    </i>
    <i r="4">
      <x v="37"/>
    </i>
    <i r="4">
      <x v="40"/>
    </i>
    <i r="4">
      <x v="41"/>
    </i>
    <i r="4">
      <x v="42"/>
    </i>
    <i r="4">
      <x v="44"/>
    </i>
    <i r="4">
      <x v="48"/>
    </i>
    <i r="4">
      <x v="49"/>
    </i>
    <i>
      <x v="387"/>
      <x v="168"/>
      <x/>
      <x v="95"/>
      <x v="30"/>
    </i>
    <i>
      <x v="388"/>
      <x v="342"/>
      <x v="1"/>
      <x v="113"/>
      <x v="38"/>
    </i>
    <i r="4">
      <x v="59"/>
    </i>
    <i>
      <x v="389"/>
      <x v="138"/>
      <x/>
      <x v="129"/>
      <x v="11"/>
    </i>
    <i r="4">
      <x v="12"/>
    </i>
    <i r="4">
      <x v="13"/>
    </i>
    <i r="4">
      <x v="14"/>
    </i>
    <i r="4">
      <x v="15"/>
    </i>
    <i r="4">
      <x v="16"/>
    </i>
    <i r="4">
      <x v="17"/>
    </i>
    <i r="4">
      <x v="18"/>
    </i>
    <i r="4">
      <x v="20"/>
    </i>
    <i r="4">
      <x v="22"/>
    </i>
    <i r="4">
      <x v="23"/>
    </i>
    <i r="4">
      <x v="26"/>
    </i>
    <i r="4">
      <x v="29"/>
    </i>
    <i r="4">
      <x v="30"/>
    </i>
    <i r="4">
      <x v="34"/>
    </i>
    <i r="4">
      <x v="37"/>
    </i>
    <i r="4">
      <x v="40"/>
    </i>
    <i r="4">
      <x v="41"/>
    </i>
    <i r="4">
      <x v="42"/>
    </i>
    <i r="4">
      <x v="44"/>
    </i>
    <i r="4">
      <x v="45"/>
    </i>
    <i r="4">
      <x v="46"/>
    </i>
    <i r="4">
      <x v="47"/>
    </i>
    <i r="4">
      <x v="48"/>
    </i>
    <i r="4">
      <x v="49"/>
    </i>
    <i r="4">
      <x v="50"/>
    </i>
    <i r="4">
      <x v="51"/>
    </i>
    <i r="4">
      <x v="54"/>
    </i>
    <i>
      <x v="390"/>
      <x v="28"/>
      <x/>
      <x v="66"/>
      <x v="12"/>
    </i>
    <i r="4">
      <x v="26"/>
    </i>
    <i r="4">
      <x v="27"/>
    </i>
    <i r="4">
      <x v="33"/>
    </i>
    <i r="4">
      <x v="40"/>
    </i>
    <i>
      <x v="391"/>
      <x v="349"/>
      <x/>
      <x v="162"/>
      <x v="56"/>
    </i>
    <i>
      <x v="392"/>
      <x v="298"/>
      <x/>
      <x v="130"/>
      <x v="40"/>
    </i>
    <i>
      <x v="393"/>
      <x v="161"/>
      <x/>
      <x v="111"/>
      <x v="11"/>
    </i>
    <i r="4">
      <x v="12"/>
    </i>
    <i r="4">
      <x v="14"/>
    </i>
    <i r="4">
      <x v="15"/>
    </i>
    <i r="4">
      <x v="17"/>
    </i>
    <i r="4">
      <x v="18"/>
    </i>
    <i r="4">
      <x v="22"/>
    </i>
    <i r="4">
      <x v="27"/>
    </i>
    <i r="4">
      <x v="40"/>
    </i>
    <i r="4">
      <x v="42"/>
    </i>
    <i r="4">
      <x v="44"/>
    </i>
    <i r="4">
      <x v="45"/>
    </i>
    <i r="4">
      <x v="46"/>
    </i>
    <i r="4">
      <x v="48"/>
    </i>
    <i r="4">
      <x v="49"/>
    </i>
    <i>
      <x v="394"/>
      <x v="295"/>
      <x v="1"/>
      <x v="145"/>
      <x v="38"/>
    </i>
    <i>
      <x v="395"/>
      <x v="93"/>
      <x/>
      <x v="20"/>
      <x v="5"/>
    </i>
    <i r="4">
      <x v="6"/>
    </i>
    <i r="4">
      <x v="11"/>
    </i>
    <i r="4">
      <x v="12"/>
    </i>
    <i r="4">
      <x v="14"/>
    </i>
    <i r="4">
      <x v="15"/>
    </i>
    <i r="4">
      <x v="16"/>
    </i>
    <i r="4">
      <x v="17"/>
    </i>
    <i r="4">
      <x v="18"/>
    </i>
    <i r="4">
      <x v="19"/>
    </i>
    <i r="4">
      <x v="20"/>
    </i>
    <i r="4">
      <x v="22"/>
    </i>
    <i r="4">
      <x v="23"/>
    </i>
    <i r="4">
      <x v="26"/>
    </i>
    <i r="4">
      <x v="32"/>
    </i>
    <i r="4">
      <x v="34"/>
    </i>
    <i r="4">
      <x v="40"/>
    </i>
    <i r="4">
      <x v="41"/>
    </i>
    <i r="4">
      <x v="42"/>
    </i>
    <i r="4">
      <x v="44"/>
    </i>
    <i r="4">
      <x v="45"/>
    </i>
    <i r="4">
      <x v="46"/>
    </i>
    <i r="4">
      <x v="47"/>
    </i>
    <i r="4">
      <x v="48"/>
    </i>
    <i r="4">
      <x v="49"/>
    </i>
    <i>
      <x v="396"/>
      <x v="334"/>
      <x/>
      <x v="66"/>
      <x v="7"/>
    </i>
    <i r="4">
      <x v="8"/>
    </i>
    <i r="4">
      <x v="9"/>
    </i>
    <i r="4">
      <x v="10"/>
    </i>
    <i>
      <x v="397"/>
      <x v="41"/>
      <x v="1"/>
      <x v="156"/>
      <x v="11"/>
    </i>
    <i r="4">
      <x v="12"/>
    </i>
    <i r="4">
      <x v="17"/>
    </i>
    <i r="4">
      <x v="18"/>
    </i>
    <i r="4">
      <x v="19"/>
    </i>
    <i r="4">
      <x v="20"/>
    </i>
    <i r="4">
      <x v="22"/>
    </i>
    <i r="4">
      <x v="26"/>
    </i>
    <i r="4">
      <x v="27"/>
    </i>
    <i r="4">
      <x v="33"/>
    </i>
    <i r="4">
      <x v="44"/>
    </i>
    <i>
      <x v="398"/>
      <x v="359"/>
      <x v="1"/>
      <x v="112"/>
      <x v="11"/>
    </i>
    <i r="4">
      <x v="12"/>
    </i>
    <i r="4">
      <x v="14"/>
    </i>
    <i r="4">
      <x v="15"/>
    </i>
    <i r="4">
      <x v="16"/>
    </i>
    <i r="4">
      <x v="17"/>
    </i>
    <i r="4">
      <x v="18"/>
    </i>
    <i r="4">
      <x v="22"/>
    </i>
    <i r="4">
      <x v="26"/>
    </i>
    <i r="4">
      <x v="41"/>
    </i>
    <i r="4">
      <x v="42"/>
    </i>
    <i r="4">
      <x v="44"/>
    </i>
    <i r="4">
      <x v="45"/>
    </i>
    <i r="4">
      <x v="46"/>
    </i>
    <i r="4">
      <x v="48"/>
    </i>
    <i r="4">
      <x v="49"/>
    </i>
    <i r="4">
      <x v="51"/>
    </i>
    <i>
      <x v="399"/>
      <x v="402"/>
      <x/>
      <x v="117"/>
      <x v="56"/>
    </i>
    <i r="4">
      <x v="57"/>
    </i>
    <i>
      <x v="400"/>
      <x v="322"/>
      <x v="1"/>
      <x v="156"/>
      <x v="30"/>
    </i>
    <i>
      <x v="401"/>
      <x v="147"/>
      <x/>
      <x v="36"/>
      <x v="12"/>
    </i>
    <i>
      <x v="402"/>
      <x v="9"/>
      <x/>
      <x v="109"/>
      <x v="46"/>
    </i>
    <i r="4">
      <x v="48"/>
    </i>
    <i r="4">
      <x v="49"/>
    </i>
    <i r="4">
      <x v="51"/>
    </i>
    <i>
      <x v="403"/>
      <x v="13"/>
      <x/>
      <x v="63"/>
      <x v="28"/>
    </i>
    <i r="4">
      <x v="29"/>
    </i>
    <i>
      <x v="404"/>
      <x v="45"/>
      <x/>
      <x v="60"/>
      <x v="12"/>
    </i>
    <i>
      <x v="405"/>
      <x v="230"/>
      <x/>
      <x v="123"/>
      <x v="23"/>
    </i>
    <i r="4">
      <x v="32"/>
    </i>
    <i r="4">
      <x v="39"/>
    </i>
    <i>
      <x v="406"/>
      <x v="395"/>
      <x/>
      <x v="175"/>
      <x v="55"/>
    </i>
    <i>
      <x v="407"/>
      <x v="235"/>
      <x/>
      <x v="110"/>
      <x v="9"/>
    </i>
    <i r="4">
      <x v="11"/>
    </i>
    <i r="4">
      <x v="12"/>
    </i>
    <i r="4">
      <x v="13"/>
    </i>
    <i r="4">
      <x v="14"/>
    </i>
    <i r="4">
      <x v="15"/>
    </i>
    <i r="4">
      <x v="16"/>
    </i>
    <i r="4">
      <x v="17"/>
    </i>
    <i r="4">
      <x v="18"/>
    </i>
    <i r="4">
      <x v="22"/>
    </i>
    <i r="4">
      <x v="26"/>
    </i>
    <i r="4">
      <x v="37"/>
    </i>
    <i r="4">
      <x v="40"/>
    </i>
    <i r="4">
      <x v="41"/>
    </i>
    <i r="4">
      <x v="42"/>
    </i>
    <i r="4">
      <x v="44"/>
    </i>
    <i r="4">
      <x v="45"/>
    </i>
    <i r="4">
      <x v="46"/>
    </i>
    <i r="4">
      <x v="47"/>
    </i>
    <i r="4">
      <x v="48"/>
    </i>
    <i r="4">
      <x v="49"/>
    </i>
    <i r="4">
      <x v="61"/>
    </i>
    <i>
      <x v="408"/>
      <x v="111"/>
      <x/>
      <x v="108"/>
      <x v="19"/>
    </i>
    <i r="4">
      <x v="20"/>
    </i>
    <i r="4">
      <x v="27"/>
    </i>
    <i r="4">
      <x v="31"/>
    </i>
    <i>
      <x v="409"/>
      <x v="171"/>
      <x/>
      <x v="23"/>
      <x v="5"/>
    </i>
    <i r="4">
      <x v="11"/>
    </i>
    <i r="4">
      <x v="12"/>
    </i>
    <i r="4">
      <x v="14"/>
    </i>
    <i r="4">
      <x v="15"/>
    </i>
    <i r="4">
      <x v="16"/>
    </i>
    <i r="4">
      <x v="17"/>
    </i>
    <i r="4">
      <x v="18"/>
    </i>
    <i r="4">
      <x v="22"/>
    </i>
    <i r="4">
      <x v="26"/>
    </i>
    <i r="4">
      <x v="30"/>
    </i>
    <i r="4">
      <x v="34"/>
    </i>
    <i r="4">
      <x v="41"/>
    </i>
    <i r="4">
      <x v="42"/>
    </i>
    <i r="4">
      <x v="44"/>
    </i>
    <i r="4">
      <x v="45"/>
    </i>
    <i r="4">
      <x v="48"/>
    </i>
    <i r="4">
      <x v="53"/>
    </i>
    <i>
      <x v="410"/>
    </i>
    <i>
      <x v="411"/>
      <x v="108"/>
      <x/>
      <x v="82"/>
      <x v="12"/>
    </i>
    <i r="4">
      <x v="27"/>
    </i>
    <i r="4">
      <x v="31"/>
    </i>
    <i r="4">
      <x v="46"/>
    </i>
    <i r="4">
      <x v="47"/>
    </i>
    <i r="4">
      <x v="48"/>
    </i>
    <i r="4">
      <x v="49"/>
    </i>
    <i r="4">
      <x v="50"/>
    </i>
    <i r="4">
      <x v="51"/>
    </i>
    <i r="4">
      <x v="52"/>
    </i>
    <i>
      <x v="412"/>
      <x v="287"/>
      <x/>
      <x v="24"/>
      <x v="4"/>
    </i>
    <i r="4">
      <x v="12"/>
    </i>
    <i r="4">
      <x v="23"/>
    </i>
    <i r="4">
      <x v="27"/>
    </i>
    <i r="4">
      <x v="39"/>
    </i>
    <i r="4">
      <x v="40"/>
    </i>
    <i>
      <x v="413"/>
      <x v="393"/>
      <x/>
      <x v="91"/>
      <x v="8"/>
    </i>
    <i r="4">
      <x v="9"/>
    </i>
    <i r="4">
      <x v="25"/>
    </i>
    <i r="4">
      <x v="28"/>
    </i>
    <i r="4">
      <x v="29"/>
    </i>
    <i r="4">
      <x v="37"/>
    </i>
    <i>
      <x v="414"/>
      <x v="288"/>
      <x/>
      <x v="156"/>
      <x/>
    </i>
    <i r="4">
      <x v="1"/>
    </i>
    <i r="4">
      <x v="2"/>
    </i>
    <i r="4">
      <x v="3"/>
    </i>
    <i r="4">
      <x v="4"/>
    </i>
    <i r="4">
      <x v="5"/>
    </i>
    <i r="4">
      <x v="6"/>
    </i>
    <i r="4">
      <x v="7"/>
    </i>
    <i r="4">
      <x v="8"/>
    </i>
    <i r="4">
      <x v="9"/>
    </i>
    <i r="4">
      <x v="10"/>
    </i>
    <i r="4">
      <x v="11"/>
    </i>
    <i r="4">
      <x v="12"/>
    </i>
    <i r="4">
      <x v="13"/>
    </i>
    <i r="4">
      <x v="14"/>
    </i>
    <i r="4">
      <x v="15"/>
    </i>
    <i r="4">
      <x v="16"/>
    </i>
    <i r="4">
      <x v="17"/>
    </i>
    <i r="4">
      <x v="18"/>
    </i>
    <i r="4">
      <x v="20"/>
    </i>
    <i r="4">
      <x v="21"/>
    </i>
    <i r="4">
      <x v="22"/>
    </i>
    <i r="4">
      <x v="24"/>
    </i>
    <i r="4">
      <x v="26"/>
    </i>
    <i r="4">
      <x v="27"/>
    </i>
    <i r="4">
      <x v="28"/>
    </i>
    <i r="4">
      <x v="29"/>
    </i>
    <i r="4">
      <x v="30"/>
    </i>
    <i r="4">
      <x v="31"/>
    </i>
    <i r="4">
      <x v="33"/>
    </i>
    <i r="4">
      <x v="34"/>
    </i>
    <i r="4">
      <x v="37"/>
    </i>
    <i r="4">
      <x v="41"/>
    </i>
    <i r="4">
      <x v="42"/>
    </i>
    <i r="4">
      <x v="43"/>
    </i>
    <i r="4">
      <x v="44"/>
    </i>
    <i r="4">
      <x v="45"/>
    </i>
    <i r="4">
      <x v="46"/>
    </i>
    <i r="4">
      <x v="47"/>
    </i>
    <i r="4">
      <x v="48"/>
    </i>
    <i r="4">
      <x v="49"/>
    </i>
    <i r="4">
      <x v="50"/>
    </i>
    <i r="4">
      <x v="51"/>
    </i>
    <i r="4">
      <x v="52"/>
    </i>
    <i r="4">
      <x v="53"/>
    </i>
    <i r="4">
      <x v="54"/>
    </i>
    <i r="4">
      <x v="55"/>
    </i>
  </rowItems>
  <colItems count="1">
    <i/>
  </colItem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43DD8-21D0-419A-9525-868BEC1B5E8F}"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J3:J158" firstHeaderRow="1" firstDataRow="1" firstDataCol="1" rowPageCount="1" colPageCount="1"/>
  <pivotFields count="7">
    <pivotField axis="axisRow" showAll="0" defaultSubtotal="0">
      <items count="415">
        <item x="3"/>
        <item x="4"/>
        <item x="5"/>
        <item x="6"/>
        <item x="7"/>
        <item x="9"/>
        <item x="13"/>
        <item x="14"/>
        <item x="16"/>
        <item x="17"/>
        <item x="18"/>
        <item x="19"/>
        <item x="22"/>
        <item x="23"/>
        <item x="24"/>
        <item x="25"/>
        <item x="26"/>
        <item x="29"/>
        <item x="30"/>
        <item x="31"/>
        <item x="32"/>
        <item x="33"/>
        <item x="34"/>
        <item x="35"/>
        <item x="36"/>
        <item x="40"/>
        <item x="42"/>
        <item x="43"/>
        <item x="44"/>
        <item x="45"/>
        <item x="46"/>
        <item x="50"/>
        <item x="52"/>
        <item x="53"/>
        <item x="54"/>
        <item x="55"/>
        <item x="57"/>
        <item x="58"/>
        <item x="60"/>
        <item x="61"/>
        <item x="64"/>
        <item x="65"/>
        <item x="66"/>
        <item x="68"/>
        <item x="70"/>
        <item x="71"/>
        <item x="72"/>
        <item x="73"/>
        <item x="74"/>
        <item x="75"/>
        <item x="76"/>
        <item x="77"/>
        <item x="78"/>
        <item x="79"/>
        <item x="82"/>
        <item x="83"/>
        <item x="84"/>
        <item x="85"/>
        <item x="86"/>
        <item x="87"/>
        <item x="88"/>
        <item x="89"/>
        <item x="90"/>
        <item x="92"/>
        <item x="94"/>
        <item x="96"/>
        <item x="97"/>
        <item x="98"/>
        <item x="100"/>
        <item x="103"/>
        <item x="105"/>
        <item x="109"/>
        <item x="101"/>
        <item x="111"/>
        <item x="112"/>
        <item x="113"/>
        <item x="115"/>
        <item x="116"/>
        <item x="117"/>
        <item x="118"/>
        <item x="119"/>
        <item x="121"/>
        <item x="122"/>
        <item x="125"/>
        <item x="126"/>
        <item x="127"/>
        <item x="128"/>
        <item x="129"/>
        <item x="130"/>
        <item x="132"/>
        <item x="134"/>
        <item x="135"/>
        <item x="136"/>
        <item x="137"/>
        <item x="138"/>
        <item x="139"/>
        <item x="141"/>
        <item x="142"/>
        <item x="144"/>
        <item x="145"/>
        <item x="147"/>
        <item x="148"/>
        <item x="149"/>
        <item x="150"/>
        <item x="151"/>
        <item x="154"/>
        <item x="156"/>
        <item x="158"/>
        <item x="159"/>
        <item x="160"/>
        <item x="163"/>
        <item x="165"/>
        <item x="167"/>
        <item x="168"/>
        <item x="169"/>
        <item x="170"/>
        <item x="171"/>
        <item x="172"/>
        <item x="173"/>
        <item x="174"/>
        <item x="175"/>
        <item x="176"/>
        <item x="177"/>
        <item x="178"/>
        <item x="179"/>
        <item x="180"/>
        <item x="181"/>
        <item x="182"/>
        <item x="183"/>
        <item x="184"/>
        <item x="185"/>
        <item x="186"/>
        <item x="188"/>
        <item x="189"/>
        <item x="190"/>
        <item x="191"/>
        <item x="195"/>
        <item x="196"/>
        <item x="198"/>
        <item x="199"/>
        <item x="200"/>
        <item x="201"/>
        <item x="203"/>
        <item x="207"/>
        <item x="208"/>
        <item x="209"/>
        <item x="210"/>
        <item x="211"/>
        <item x="213"/>
        <item x="215"/>
        <item x="216"/>
        <item x="217"/>
        <item x="218"/>
        <item x="219"/>
        <item x="220"/>
        <item x="221"/>
        <item x="222"/>
        <item x="223"/>
        <item x="224"/>
        <item x="227"/>
        <item x="228"/>
        <item x="229"/>
        <item x="230"/>
        <item x="231"/>
        <item x="232"/>
        <item x="234"/>
        <item x="235"/>
        <item x="236"/>
        <item x="237"/>
        <item x="239"/>
        <item x="241"/>
        <item x="242"/>
        <item x="245"/>
        <item x="246"/>
        <item x="247"/>
        <item x="248"/>
        <item x="249"/>
        <item x="251"/>
        <item x="252"/>
        <item x="253"/>
        <item x="254"/>
        <item x="255"/>
        <item x="256"/>
        <item x="257"/>
        <item x="258"/>
        <item x="259"/>
        <item x="261"/>
        <item x="262"/>
        <item x="266"/>
        <item x="267"/>
        <item x="268"/>
        <item x="269"/>
        <item x="270"/>
        <item x="271"/>
        <item x="273"/>
        <item x="275"/>
        <item x="280"/>
        <item x="281"/>
        <item x="283"/>
        <item x="284"/>
        <item x="285"/>
        <item x="286"/>
        <item x="287"/>
        <item x="288"/>
        <item x="292"/>
        <item x="294"/>
        <item x="295"/>
        <item x="296"/>
        <item x="297"/>
        <item x="299"/>
        <item x="300"/>
        <item x="301"/>
        <item x="302"/>
        <item x="304"/>
        <item x="305"/>
        <item x="308"/>
        <item x="309"/>
        <item x="310"/>
        <item x="311"/>
        <item x="312"/>
        <item x="313"/>
        <item x="316"/>
        <item x="317"/>
        <item x="320"/>
        <item x="322"/>
        <item x="323"/>
        <item x="324"/>
        <item x="325"/>
        <item x="327"/>
        <item x="330"/>
        <item x="331"/>
        <item x="334"/>
        <item x="335"/>
        <item x="336"/>
        <item x="337"/>
        <item x="338"/>
        <item x="339"/>
        <item x="340"/>
        <item x="343"/>
        <item x="344"/>
        <item x="345"/>
        <item x="346"/>
        <item x="348"/>
        <item x="349"/>
        <item x="350"/>
        <item x="351"/>
        <item x="352"/>
        <item x="355"/>
        <item x="356"/>
        <item x="357"/>
        <item x="358"/>
        <item x="359"/>
        <item x="360"/>
        <item x="361"/>
        <item x="362"/>
        <item x="363"/>
        <item x="364"/>
        <item x="365"/>
        <item x="369"/>
        <item x="370"/>
        <item x="371"/>
        <item x="372"/>
        <item x="373"/>
        <item x="375"/>
        <item x="376"/>
        <item x="378"/>
        <item x="379"/>
        <item x="382"/>
        <item x="383"/>
        <item x="386"/>
        <item x="387"/>
        <item x="389"/>
        <item x="392"/>
        <item x="393"/>
        <item x="395"/>
        <item x="396"/>
        <item x="397"/>
        <item x="398"/>
        <item x="401"/>
        <item x="402"/>
        <item x="403"/>
        <item x="404"/>
        <item x="405"/>
        <item x="407"/>
        <item x="409"/>
        <item x="410"/>
        <item x="408"/>
        <item x="411"/>
        <item x="412"/>
        <item x="414"/>
        <item x="265"/>
        <item x="47"/>
        <item x="187"/>
        <item x="212"/>
        <item x="341"/>
        <item x="152"/>
        <item x="274"/>
        <item x="329"/>
        <item x="38"/>
        <item x="15"/>
        <item x="321"/>
        <item x="214"/>
        <item x="244"/>
        <item x="28"/>
        <item x="48"/>
        <item x="107"/>
        <item x="202"/>
        <item x="279"/>
        <item x="307"/>
        <item x="390"/>
        <item x="67"/>
        <item x="366"/>
        <item x="8"/>
        <item x="99"/>
        <item x="354"/>
        <item x="20"/>
        <item x="27"/>
        <item x="11"/>
        <item x="264"/>
        <item x="166"/>
        <item x="250"/>
        <item x="377"/>
        <item x="197"/>
        <item x="278"/>
        <item x="342"/>
        <item x="39"/>
        <item x="120"/>
        <item x="164"/>
        <item x="80"/>
        <item x="394"/>
        <item x="192"/>
        <item x="290"/>
        <item x="1"/>
        <item x="59"/>
        <item x="293"/>
        <item x="413"/>
        <item x="114"/>
        <item x="131"/>
        <item x="108"/>
        <item x="226"/>
        <item x="368"/>
        <item x="95"/>
        <item x="319"/>
        <item x="326"/>
        <item x="162"/>
        <item x="193"/>
        <item x="303"/>
        <item x="91"/>
        <item x="276"/>
        <item x="291"/>
        <item x="400"/>
        <item x="146"/>
        <item x="56"/>
        <item x="381"/>
        <item x="62"/>
        <item x="157"/>
        <item x="133"/>
        <item x="0"/>
        <item x="2"/>
        <item x="102"/>
        <item x="104"/>
        <item x="318"/>
        <item x="110"/>
        <item x="388"/>
        <item x="12"/>
        <item x="69"/>
        <item x="332"/>
        <item x="391"/>
        <item x="206"/>
        <item x="306"/>
        <item x="21"/>
        <item x="260"/>
        <item x="140"/>
        <item x="385"/>
        <item x="353"/>
        <item x="63"/>
        <item x="238"/>
        <item x="298"/>
        <item x="367"/>
        <item x="374"/>
        <item x="81"/>
        <item x="123"/>
        <item x="124"/>
        <item x="282"/>
        <item x="106"/>
        <item x="225"/>
        <item x="289"/>
        <item x="314"/>
        <item x="347"/>
        <item x="143"/>
        <item x="272"/>
        <item x="194"/>
        <item x="204"/>
        <item x="243"/>
        <item x="41"/>
        <item x="161"/>
        <item x="205"/>
        <item x="240"/>
        <item x="263"/>
        <item x="406"/>
        <item x="153"/>
        <item x="10"/>
        <item x="37"/>
        <item x="51"/>
        <item x="380"/>
        <item x="399"/>
        <item x="93"/>
        <item x="315"/>
        <item x="333"/>
        <item x="384"/>
        <item x="49"/>
        <item x="155"/>
        <item x="233"/>
        <item x="277"/>
        <item x="328"/>
      </items>
    </pivotField>
    <pivotField axis="axisPage" multipleItemSelectionAllowed="1" showAll="0">
      <items count="3">
        <item h="1" x="0"/>
        <item x="1"/>
        <item t="default"/>
      </items>
    </pivotField>
    <pivotField showAll="0"/>
    <pivotField showAll="0"/>
    <pivotField showAll="0"/>
    <pivotField showAll="0"/>
    <pivotField showAll="0"/>
  </pivotFields>
  <rowFields count="1">
    <field x="0"/>
  </rowFields>
  <rowItems count="155">
    <i>
      <x/>
    </i>
    <i>
      <x v="1"/>
    </i>
    <i>
      <x v="2"/>
    </i>
    <i>
      <x v="3"/>
    </i>
    <i>
      <x v="4"/>
    </i>
    <i>
      <x v="5"/>
    </i>
    <i>
      <x v="8"/>
    </i>
    <i>
      <x v="9"/>
    </i>
    <i>
      <x v="12"/>
    </i>
    <i>
      <x v="14"/>
    </i>
    <i>
      <x v="15"/>
    </i>
    <i>
      <x v="18"/>
    </i>
    <i>
      <x v="22"/>
    </i>
    <i>
      <x v="24"/>
    </i>
    <i>
      <x v="25"/>
    </i>
    <i>
      <x v="29"/>
    </i>
    <i>
      <x v="35"/>
    </i>
    <i>
      <x v="42"/>
    </i>
    <i>
      <x v="48"/>
    </i>
    <i>
      <x v="49"/>
    </i>
    <i>
      <x v="51"/>
    </i>
    <i>
      <x v="55"/>
    </i>
    <i>
      <x v="58"/>
    </i>
    <i>
      <x v="60"/>
    </i>
    <i>
      <x v="61"/>
    </i>
    <i>
      <x v="65"/>
    </i>
    <i>
      <x v="67"/>
    </i>
    <i>
      <x v="68"/>
    </i>
    <i>
      <x v="69"/>
    </i>
    <i>
      <x v="70"/>
    </i>
    <i>
      <x v="71"/>
    </i>
    <i>
      <x v="72"/>
    </i>
    <i>
      <x v="73"/>
    </i>
    <i>
      <x v="78"/>
    </i>
    <i>
      <x v="80"/>
    </i>
    <i>
      <x v="82"/>
    </i>
    <i>
      <x v="83"/>
    </i>
    <i>
      <x v="86"/>
    </i>
    <i>
      <x v="87"/>
    </i>
    <i>
      <x v="91"/>
    </i>
    <i>
      <x v="94"/>
    </i>
    <i>
      <x v="95"/>
    </i>
    <i>
      <x v="96"/>
    </i>
    <i>
      <x v="97"/>
    </i>
    <i>
      <x v="98"/>
    </i>
    <i>
      <x v="99"/>
    </i>
    <i>
      <x v="101"/>
    </i>
    <i>
      <x v="109"/>
    </i>
    <i>
      <x v="110"/>
    </i>
    <i>
      <x v="111"/>
    </i>
    <i>
      <x v="118"/>
    </i>
    <i>
      <x v="121"/>
    </i>
    <i>
      <x v="124"/>
    </i>
    <i>
      <x v="126"/>
    </i>
    <i>
      <x v="131"/>
    </i>
    <i>
      <x v="134"/>
    </i>
    <i>
      <x v="135"/>
    </i>
    <i>
      <x v="136"/>
    </i>
    <i>
      <x v="137"/>
    </i>
    <i>
      <x v="138"/>
    </i>
    <i>
      <x v="143"/>
    </i>
    <i>
      <x v="146"/>
    </i>
    <i>
      <x v="148"/>
    </i>
    <i>
      <x v="149"/>
    </i>
    <i>
      <x v="150"/>
    </i>
    <i>
      <x v="157"/>
    </i>
    <i>
      <x v="158"/>
    </i>
    <i>
      <x v="161"/>
    </i>
    <i>
      <x v="165"/>
    </i>
    <i>
      <x v="167"/>
    </i>
    <i>
      <x v="170"/>
    </i>
    <i>
      <x v="174"/>
    </i>
    <i>
      <x v="175"/>
    </i>
    <i>
      <x v="180"/>
    </i>
    <i>
      <x v="186"/>
    </i>
    <i>
      <x v="191"/>
    </i>
    <i>
      <x v="192"/>
    </i>
    <i>
      <x v="193"/>
    </i>
    <i>
      <x v="197"/>
    </i>
    <i>
      <x v="200"/>
    </i>
    <i>
      <x v="201"/>
    </i>
    <i>
      <x v="203"/>
    </i>
    <i>
      <x v="205"/>
    </i>
    <i>
      <x v="207"/>
    </i>
    <i>
      <x v="208"/>
    </i>
    <i>
      <x v="209"/>
    </i>
    <i>
      <x v="211"/>
    </i>
    <i>
      <x v="212"/>
    </i>
    <i>
      <x v="213"/>
    </i>
    <i>
      <x v="219"/>
    </i>
    <i>
      <x v="220"/>
    </i>
    <i>
      <x v="222"/>
    </i>
    <i>
      <x v="224"/>
    </i>
    <i>
      <x v="230"/>
    </i>
    <i>
      <x v="236"/>
    </i>
    <i>
      <x v="240"/>
    </i>
    <i>
      <x v="246"/>
    </i>
    <i>
      <x v="247"/>
    </i>
    <i>
      <x v="249"/>
    </i>
    <i>
      <x v="250"/>
    </i>
    <i>
      <x v="255"/>
    </i>
    <i>
      <x v="256"/>
    </i>
    <i>
      <x v="259"/>
    </i>
    <i>
      <x v="263"/>
    </i>
    <i>
      <x v="264"/>
    </i>
    <i>
      <x v="266"/>
    </i>
    <i>
      <x v="276"/>
    </i>
    <i>
      <x v="277"/>
    </i>
    <i>
      <x v="293"/>
    </i>
    <i>
      <x v="298"/>
    </i>
    <i>
      <x v="299"/>
    </i>
    <i>
      <x v="300"/>
    </i>
    <i>
      <x v="301"/>
    </i>
    <i>
      <x v="304"/>
    </i>
    <i>
      <x v="306"/>
    </i>
    <i>
      <x v="311"/>
    </i>
    <i>
      <x v="312"/>
    </i>
    <i>
      <x v="313"/>
    </i>
    <i>
      <x v="314"/>
    </i>
    <i>
      <x v="315"/>
    </i>
    <i>
      <x v="317"/>
    </i>
    <i>
      <x v="319"/>
    </i>
    <i>
      <x v="322"/>
    </i>
    <i>
      <x v="323"/>
    </i>
    <i>
      <x v="328"/>
    </i>
    <i>
      <x v="329"/>
    </i>
    <i>
      <x v="331"/>
    </i>
    <i>
      <x v="332"/>
    </i>
    <i>
      <x v="336"/>
    </i>
    <i>
      <x v="338"/>
    </i>
    <i>
      <x v="341"/>
    </i>
    <i>
      <x v="343"/>
    </i>
    <i>
      <x v="344"/>
    </i>
    <i>
      <x v="345"/>
    </i>
    <i>
      <x v="350"/>
    </i>
    <i>
      <x v="353"/>
    </i>
    <i>
      <x v="355"/>
    </i>
    <i>
      <x v="356"/>
    </i>
    <i>
      <x v="358"/>
    </i>
    <i>
      <x v="359"/>
    </i>
    <i>
      <x v="361"/>
    </i>
    <i>
      <x v="363"/>
    </i>
    <i>
      <x v="366"/>
    </i>
    <i>
      <x v="372"/>
    </i>
    <i>
      <x v="374"/>
    </i>
    <i>
      <x v="377"/>
    </i>
    <i>
      <x v="386"/>
    </i>
    <i>
      <x v="387"/>
    </i>
    <i>
      <x v="388"/>
    </i>
    <i>
      <x v="396"/>
    </i>
    <i>
      <x v="400"/>
    </i>
    <i>
      <x v="401"/>
    </i>
    <i>
      <x v="404"/>
    </i>
    <i>
      <x v="410"/>
    </i>
    <i>
      <x v="413"/>
    </i>
  </rowItems>
  <colItems count="1">
    <i/>
  </colItem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DBE" xr10:uid="{25B18517-F16B-4875-B889-DD48A8CD2D30}" sourceName="IS DBE">
  <pivotTables>
    <pivotTable tabId="2" name="PivotTable1"/>
  </pivotTables>
  <data>
    <tabular pivotCacheId="687067259">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_QUAL_CATEGORIES" xr10:uid="{83D0AE7C-B31E-4575-92FE-9742868D8843}" sourceName="PRE-QUAL CATEGORIES">
  <pivotTables>
    <pivotTable tabId="2" name="PivotTable1"/>
  </pivotTables>
  <data>
    <tabular pivotCacheId="687067259" showMissing="0">
      <items count="62">
        <i x="33" s="1"/>
        <i x="61" s="1"/>
        <i x="34" s="1"/>
        <i x="37" s="1"/>
        <i x="38" s="1"/>
        <i x="39" s="1"/>
        <i x="40" s="1"/>
        <i x="59" s="1"/>
        <i x="41" s="1"/>
        <i x="42" s="1"/>
        <i x="43" s="1"/>
        <i x="7" s="1"/>
        <i x="8" s="1"/>
        <i x="9" s="1"/>
        <i x="10" s="1"/>
        <i x="60" s="1"/>
        <i x="11" s="1"/>
        <i x="24" s="1"/>
        <i x="25" s="1"/>
        <i x="12" s="1"/>
        <i x="26" s="1"/>
        <i x="21" s="1"/>
        <i x="44" s="1"/>
        <i x="27" s="1"/>
        <i x="56" s="1"/>
        <i x="52" s="1"/>
        <i x="55" s="1"/>
        <i x="13" s="1"/>
        <i x="22" s="1"/>
        <i x="54" s="1"/>
        <i x="20" s="1"/>
        <i x="14" s="1"/>
        <i x="23" s="1"/>
        <i x="53" s="1"/>
        <i x="15" s="1"/>
        <i x="36" s="1"/>
        <i x="57" s="1"/>
        <i x="58" s="1"/>
        <i x="16" s="1"/>
        <i x="0" s="1"/>
        <i x="28" s="1"/>
        <i x="29" s="1"/>
        <i x="35" s="1"/>
        <i x="45" s="1"/>
        <i x="17" s="1"/>
        <i x="46" s="1"/>
        <i x="18" s="1"/>
        <i x="19" s="1"/>
        <i x="1" s="1"/>
        <i x="30" s="1"/>
        <i x="31" s="1"/>
        <i x="2" s="1"/>
        <i x="3" s="1"/>
        <i x="47" s="1"/>
        <i x="4" s="1"/>
        <i x="5" s="1"/>
        <i x="48" s="1"/>
        <i x="6" s="1"/>
        <i x="49" s="1"/>
        <i x="50" s="1"/>
        <i x="32" s="1"/>
        <i x="5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DBE" xr10:uid="{4D83DD41-3F7E-4ECD-AF6B-B4E07D6CFA5C}" cache="Slicer_IS_DBE" caption="IS DBE" style="SlicerStyleOther1" rowHeight="241300"/>
  <slicer name="PRE-QUAL CATEGORIES" xr10:uid="{39D08BD1-FA85-4E71-84F7-4352AF1AB56A}" cache="Slicer_PRE_QUAL_CATEGORIES" caption="PRE-QUAL CATEGORIES"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BC61F0-B53A-4189-A4BA-D8801EA0829F}" name="Prequal" displayName="Prequal" ref="B3:H3531" totalsRowShown="0" dataDxfId="11">
  <autoFilter ref="B3:H3531" xr:uid="{B3BC61F0-B53A-4189-A4BA-D8801EA0829F}"/>
  <sortState xmlns:xlrd2="http://schemas.microsoft.com/office/spreadsheetml/2017/richdata2" ref="B4:H3407">
    <sortCondition ref="B3:B3407"/>
  </sortState>
  <tableColumns count="7">
    <tableColumn id="1" xr3:uid="{14FBC893-B1F3-4B2D-8F78-4682FB93F18D}" name="FIRM" dataDxfId="10"/>
    <tableColumn id="2" xr3:uid="{CD7D5647-0297-453B-952A-C028FFBB4068}" name="IS DBE" dataDxfId="9"/>
    <tableColumn id="4" xr3:uid="{0D16F939-1069-4128-93BA-B06BE0BB1FF2}" name="PRE-QUAL CATEGORIES" dataDxfId="8"/>
    <tableColumn id="3" xr3:uid="{C5C66D84-4AE2-4903-8417-346D7692CA22}" name="CITY" dataDxfId="7"/>
    <tableColumn id="5" xr3:uid="{2F41234C-BE22-4D94-8060-753BD72BBF07}" name="STATE" dataDxfId="6"/>
    <tableColumn id="9" xr3:uid="{A21BAF3F-6B56-4A0F-BFAB-DB6DEE7B0621}" name="EMAIL" dataDxfId="5"/>
    <tableColumn id="6" xr3:uid="{E0D322AC-A525-40C5-BFFB-8EF3EC643859}" name="CONCATE" dataDxfId="4">
      <calculatedColumnFormula>CONCATENATE(Prequal[[#This Row],[CITY]], ", ",Prequal[[#This Row],[STATE]])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0E6EA3-5F5F-4126-9537-3F852B942D9F}" name="Table2" displayName="Table2" ref="Q3:T59" totalsRowShown="0">
  <autoFilter ref="Q3:T59" xr:uid="{5D0E6EA3-5F5F-4126-9537-3F852B942D9F}"/>
  <sortState xmlns:xlrd2="http://schemas.microsoft.com/office/spreadsheetml/2017/richdata2" ref="Q4:T59">
    <sortCondition descending="1" ref="R3:R59"/>
  </sortState>
  <tableColumns count="4">
    <tableColumn id="1" xr3:uid="{9500B640-B2C2-4096-9E79-1B594749A563}" name="PRE-QUAL CATEGORIES"/>
    <tableColumn id="2" xr3:uid="{0D978472-07BB-44BB-8A8F-710B7A56B7AE}" name="#" dataDxfId="3">
      <calculatedColumnFormula>COUNTIFS(Prequal[PRE-QUAL CATEGORIES],Table2[[#This Row],[PRE-QUAL CATEGORIES]])</calculatedColumnFormula>
    </tableColumn>
    <tableColumn id="3" xr3:uid="{28CE7509-EDFF-4A3E-9247-6516C92E661F}" name="DBE" dataDxfId="2">
      <calculatedColumnFormula>COUNTIFS(Prequal[PRE-QUAL CATEGORIES],Table2[[#This Row],[PRE-QUAL CATEGORIES]],Prequal[IS DBE],TRUE)</calculatedColumnFormula>
    </tableColumn>
    <tableColumn id="4" xr3:uid="{EB676324-167C-4897-8A67-99CF351B2F5A}" name="NON DBE" dataDxfId="1">
      <calculatedColumnFormula>Table2[[#This Row],['#]]-Table2[[#This Row],[DBE]]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3" dT="2023-08-04T18:57:12.89" personId="{28F25C40-DD9D-4378-85A8-8396EA2C8547}" id="{CA4F5604-F0FF-4D0A-B3CE-39726DB6BF7E}">
    <text>Get this from another list.</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49031-22CE-4991-B6FB-56C77092E4F9}">
  <sheetPr codeName="Sheet1">
    <pageSetUpPr fitToPage="1"/>
  </sheetPr>
  <dimension ref="A1:O3531"/>
  <sheetViews>
    <sheetView tabSelected="1" zoomScaleNormal="100" workbookViewId="0">
      <pane ySplit="3" topLeftCell="A4" activePane="bottomLeft" state="frozen"/>
      <selection pane="bottomLeft" activeCell="F3515" sqref="B3:F3515"/>
    </sheetView>
  </sheetViews>
  <sheetFormatPr baseColWidth="10" defaultColWidth="9.1640625" defaultRowHeight="15" x14ac:dyDescent="0.2"/>
  <cols>
    <col min="1" max="1" width="3.5" style="5" customWidth="1"/>
    <col min="2" max="2" width="41.1640625" style="26" customWidth="1"/>
    <col min="3" max="3" width="33.6640625" style="5" customWidth="1"/>
    <col min="4" max="4" width="8.6640625" style="5" bestFit="1" customWidth="1"/>
    <col min="5" max="5" width="23.1640625" style="5" bestFit="1" customWidth="1"/>
    <col min="6" max="6" width="60.6640625" style="5" bestFit="1" customWidth="1"/>
    <col min="7" max="13" width="9.1640625" style="5"/>
    <col min="14" max="14" width="10.6640625" style="5" bestFit="1" customWidth="1"/>
    <col min="15" max="16384" width="9.1640625" style="5"/>
  </cols>
  <sheetData>
    <row r="1" spans="1:15" s="10" customFormat="1" ht="33" customHeight="1" x14ac:dyDescent="0.2">
      <c r="A1" s="16"/>
      <c r="B1" s="22"/>
      <c r="G1" s="54" t="s">
        <v>354</v>
      </c>
      <c r="H1" s="54"/>
      <c r="I1" s="54"/>
    </row>
    <row r="2" spans="1:15" ht="23" x14ac:dyDescent="0.25">
      <c r="A2" s="16"/>
      <c r="B2" s="23" t="s">
        <v>353</v>
      </c>
      <c r="C2" s="8">
        <f>COUNTA($B$4:$B$3571)</f>
        <v>415</v>
      </c>
      <c r="D2" s="9">
        <f>IF(C2=I2, "", C2/NumPrequal)</f>
        <v>1.000000000000022</v>
      </c>
      <c r="E2" s="9"/>
      <c r="F2" s="9"/>
      <c r="G2" s="11"/>
      <c r="H2" s="12" t="s">
        <v>351</v>
      </c>
      <c r="I2" s="13">
        <f>NumPrequal</f>
        <v>414.99999999999085</v>
      </c>
    </row>
    <row r="3" spans="1:15" s="6" customFormat="1" ht="16" x14ac:dyDescent="0.2">
      <c r="B3" s="3" t="s">
        <v>0</v>
      </c>
      <c r="C3" s="3" t="s">
        <v>544</v>
      </c>
      <c r="D3" s="3" t="s">
        <v>1</v>
      </c>
      <c r="E3" s="3" t="s">
        <v>511</v>
      </c>
      <c r="F3" s="3" t="s">
        <v>2</v>
      </c>
      <c r="G3" s="11"/>
      <c r="H3" s="14" t="s">
        <v>352</v>
      </c>
      <c r="I3" s="15">
        <f>NumDBE</f>
        <v>155</v>
      </c>
      <c r="J3" s="19">
        <f>I3/I2</f>
        <v>0.37349397590362271</v>
      </c>
      <c r="L3" s="17"/>
      <c r="M3" s="18" t="s">
        <v>355</v>
      </c>
      <c r="N3" s="53">
        <f>dataasof</f>
        <v>45828</v>
      </c>
      <c r="O3" s="53"/>
    </row>
    <row r="4" spans="1:15" x14ac:dyDescent="0.2">
      <c r="B4" t="s">
        <v>946</v>
      </c>
      <c r="C4" t="s">
        <v>948</v>
      </c>
      <c r="D4" t="s">
        <v>969</v>
      </c>
      <c r="E4" t="s">
        <v>965</v>
      </c>
      <c r="F4" t="s">
        <v>70</v>
      </c>
    </row>
    <row r="5" spans="1:15" x14ac:dyDescent="0.2">
      <c r="B5"/>
      <c r="C5"/>
      <c r="D5"/>
      <c r="E5"/>
      <c r="F5" t="s">
        <v>976</v>
      </c>
    </row>
    <row r="6" spans="1:15" x14ac:dyDescent="0.2">
      <c r="B6"/>
      <c r="C6"/>
      <c r="D6"/>
      <c r="E6"/>
      <c r="F6" t="s">
        <v>978</v>
      </c>
    </row>
    <row r="7" spans="1:15" x14ac:dyDescent="0.2">
      <c r="B7" t="s">
        <v>877</v>
      </c>
      <c r="C7" t="s">
        <v>878</v>
      </c>
      <c r="D7" t="s">
        <v>970</v>
      </c>
      <c r="E7" t="s">
        <v>965</v>
      </c>
      <c r="F7" t="s">
        <v>30</v>
      </c>
    </row>
    <row r="8" spans="1:15" x14ac:dyDescent="0.2">
      <c r="B8"/>
      <c r="C8"/>
      <c r="D8"/>
      <c r="E8"/>
      <c r="F8" t="s">
        <v>31</v>
      </c>
    </row>
    <row r="9" spans="1:15" x14ac:dyDescent="0.2">
      <c r="B9"/>
      <c r="C9"/>
      <c r="D9"/>
      <c r="E9"/>
      <c r="F9" t="s">
        <v>32</v>
      </c>
    </row>
    <row r="10" spans="1:15" x14ac:dyDescent="0.2">
      <c r="B10"/>
      <c r="C10"/>
      <c r="D10"/>
      <c r="E10"/>
      <c r="F10" t="s">
        <v>38</v>
      </c>
    </row>
    <row r="11" spans="1:15" x14ac:dyDescent="0.2">
      <c r="B11" t="s">
        <v>949</v>
      </c>
      <c r="C11" t="s">
        <v>950</v>
      </c>
      <c r="D11" t="s">
        <v>970</v>
      </c>
      <c r="E11" t="s">
        <v>965</v>
      </c>
      <c r="F11" t="s">
        <v>70</v>
      </c>
    </row>
    <row r="12" spans="1:15" x14ac:dyDescent="0.2">
      <c r="B12"/>
      <c r="C12"/>
      <c r="D12"/>
      <c r="E12"/>
      <c r="F12" t="s">
        <v>976</v>
      </c>
    </row>
    <row r="13" spans="1:15" x14ac:dyDescent="0.2">
      <c r="B13"/>
      <c r="C13"/>
      <c r="D13"/>
      <c r="E13"/>
      <c r="F13" t="s">
        <v>978</v>
      </c>
    </row>
    <row r="14" spans="1:15" x14ac:dyDescent="0.2">
      <c r="B14" t="s">
        <v>3</v>
      </c>
      <c r="C14" t="s">
        <v>545</v>
      </c>
      <c r="D14" t="s">
        <v>970</v>
      </c>
      <c r="E14" t="s">
        <v>965</v>
      </c>
      <c r="F14" t="s">
        <v>4</v>
      </c>
    </row>
    <row r="15" spans="1:15" x14ac:dyDescent="0.2">
      <c r="B15"/>
      <c r="C15"/>
      <c r="D15"/>
      <c r="E15"/>
      <c r="F15" t="s">
        <v>5</v>
      </c>
    </row>
    <row r="16" spans="1:15" x14ac:dyDescent="0.2">
      <c r="B16"/>
      <c r="C16"/>
      <c r="D16"/>
      <c r="E16"/>
      <c r="F16" t="s">
        <v>6</v>
      </c>
    </row>
    <row r="17" spans="2:6" x14ac:dyDescent="0.2">
      <c r="B17"/>
      <c r="C17"/>
      <c r="D17"/>
      <c r="E17"/>
      <c r="F17" t="s">
        <v>7</v>
      </c>
    </row>
    <row r="18" spans="2:6" x14ac:dyDescent="0.2">
      <c r="B18"/>
      <c r="C18"/>
      <c r="D18"/>
      <c r="E18"/>
      <c r="F18" t="s">
        <v>8</v>
      </c>
    </row>
    <row r="19" spans="2:6" x14ac:dyDescent="0.2">
      <c r="B19"/>
      <c r="C19"/>
      <c r="D19"/>
      <c r="E19"/>
      <c r="F19" t="s">
        <v>9</v>
      </c>
    </row>
    <row r="20" spans="2:6" x14ac:dyDescent="0.2">
      <c r="B20"/>
      <c r="C20"/>
      <c r="D20"/>
      <c r="E20"/>
      <c r="F20" t="s">
        <v>10</v>
      </c>
    </row>
    <row r="21" spans="2:6" x14ac:dyDescent="0.2">
      <c r="B21"/>
      <c r="C21"/>
      <c r="D21"/>
      <c r="E21"/>
      <c r="F21" t="s">
        <v>11</v>
      </c>
    </row>
    <row r="22" spans="2:6" x14ac:dyDescent="0.2">
      <c r="B22"/>
      <c r="C22"/>
      <c r="D22"/>
      <c r="E22"/>
      <c r="F22" t="s">
        <v>51</v>
      </c>
    </row>
    <row r="23" spans="2:6" x14ac:dyDescent="0.2">
      <c r="B23"/>
      <c r="C23"/>
      <c r="D23"/>
      <c r="E23"/>
      <c r="F23" t="s">
        <v>12</v>
      </c>
    </row>
    <row r="24" spans="2:6" x14ac:dyDescent="0.2">
      <c r="B24"/>
      <c r="C24"/>
      <c r="D24"/>
      <c r="E24"/>
      <c r="F24" t="s">
        <v>13</v>
      </c>
    </row>
    <row r="25" spans="2:6" x14ac:dyDescent="0.2">
      <c r="B25"/>
      <c r="C25"/>
      <c r="D25"/>
      <c r="E25"/>
      <c r="F25" t="s">
        <v>14</v>
      </c>
    </row>
    <row r="26" spans="2:6" x14ac:dyDescent="0.2">
      <c r="B26"/>
      <c r="C26"/>
      <c r="D26"/>
      <c r="E26"/>
      <c r="F26" t="s">
        <v>15</v>
      </c>
    </row>
    <row r="27" spans="2:6" x14ac:dyDescent="0.2">
      <c r="B27" t="s">
        <v>16</v>
      </c>
      <c r="C27" t="s">
        <v>546</v>
      </c>
      <c r="D27" t="s">
        <v>970</v>
      </c>
      <c r="E27" t="s">
        <v>1123</v>
      </c>
      <c r="F27" t="s">
        <v>10</v>
      </c>
    </row>
    <row r="28" spans="2:6" x14ac:dyDescent="0.2">
      <c r="B28" t="s">
        <v>17</v>
      </c>
      <c r="C28" t="s">
        <v>547</v>
      </c>
      <c r="D28" t="s">
        <v>970</v>
      </c>
      <c r="E28" t="s">
        <v>1124</v>
      </c>
      <c r="F28" t="s">
        <v>18</v>
      </c>
    </row>
    <row r="29" spans="2:6" x14ac:dyDescent="0.2">
      <c r="B29" t="s">
        <v>19</v>
      </c>
      <c r="C29" t="s">
        <v>548</v>
      </c>
      <c r="D29" t="s">
        <v>970</v>
      </c>
      <c r="E29" t="s">
        <v>965</v>
      </c>
      <c r="F29" t="s">
        <v>20</v>
      </c>
    </row>
    <row r="30" spans="2:6" x14ac:dyDescent="0.2">
      <c r="B30"/>
      <c r="C30"/>
      <c r="D30"/>
      <c r="E30"/>
      <c r="F30" t="s">
        <v>10</v>
      </c>
    </row>
    <row r="31" spans="2:6" x14ac:dyDescent="0.2">
      <c r="B31"/>
      <c r="C31"/>
      <c r="D31"/>
      <c r="E31"/>
      <c r="F31" t="s">
        <v>21</v>
      </c>
    </row>
    <row r="32" spans="2:6" x14ac:dyDescent="0.2">
      <c r="B32"/>
      <c r="C32"/>
      <c r="D32"/>
      <c r="E32"/>
      <c r="F32" t="s">
        <v>22</v>
      </c>
    </row>
    <row r="33" spans="2:6" x14ac:dyDescent="0.2">
      <c r="B33" t="s">
        <v>23</v>
      </c>
      <c r="C33" t="s">
        <v>549</v>
      </c>
      <c r="D33" t="s">
        <v>970</v>
      </c>
      <c r="E33" t="s">
        <v>1125</v>
      </c>
      <c r="F33" t="s">
        <v>4</v>
      </c>
    </row>
    <row r="34" spans="2:6" x14ac:dyDescent="0.2">
      <c r="B34"/>
      <c r="C34"/>
      <c r="D34"/>
      <c r="E34"/>
      <c r="F34" t="s">
        <v>5</v>
      </c>
    </row>
    <row r="35" spans="2:6" x14ac:dyDescent="0.2">
      <c r="B35"/>
      <c r="C35"/>
      <c r="D35"/>
      <c r="E35"/>
      <c r="F35" t="s">
        <v>7</v>
      </c>
    </row>
    <row r="36" spans="2:6" x14ac:dyDescent="0.2">
      <c r="B36"/>
      <c r="C36"/>
      <c r="D36"/>
      <c r="E36"/>
      <c r="F36" t="s">
        <v>8</v>
      </c>
    </row>
    <row r="37" spans="2:6" x14ac:dyDescent="0.2">
      <c r="B37"/>
      <c r="C37"/>
      <c r="D37"/>
      <c r="E37"/>
      <c r="F37" t="s">
        <v>24</v>
      </c>
    </row>
    <row r="38" spans="2:6" x14ac:dyDescent="0.2">
      <c r="B38"/>
      <c r="C38"/>
      <c r="D38"/>
      <c r="E38"/>
      <c r="F38" t="s">
        <v>25</v>
      </c>
    </row>
    <row r="39" spans="2:6" x14ac:dyDescent="0.2">
      <c r="B39"/>
      <c r="C39"/>
      <c r="D39"/>
      <c r="E39"/>
      <c r="F39" t="s">
        <v>9</v>
      </c>
    </row>
    <row r="40" spans="2:6" x14ac:dyDescent="0.2">
      <c r="B40"/>
      <c r="C40"/>
      <c r="D40"/>
      <c r="E40"/>
      <c r="F40" t="s">
        <v>26</v>
      </c>
    </row>
    <row r="41" spans="2:6" x14ac:dyDescent="0.2">
      <c r="B41"/>
      <c r="C41"/>
      <c r="D41"/>
      <c r="E41"/>
      <c r="F41" t="s">
        <v>20</v>
      </c>
    </row>
    <row r="42" spans="2:6" x14ac:dyDescent="0.2">
      <c r="B42"/>
      <c r="C42"/>
      <c r="D42"/>
      <c r="E42"/>
      <c r="F42" t="s">
        <v>27</v>
      </c>
    </row>
    <row r="43" spans="2:6" x14ac:dyDescent="0.2">
      <c r="B43"/>
      <c r="C43"/>
      <c r="D43"/>
      <c r="E43"/>
      <c r="F43" t="s">
        <v>10</v>
      </c>
    </row>
    <row r="44" spans="2:6" x14ac:dyDescent="0.2">
      <c r="B44"/>
      <c r="C44"/>
      <c r="D44"/>
      <c r="E44"/>
      <c r="F44" t="s">
        <v>21</v>
      </c>
    </row>
    <row r="45" spans="2:6" x14ac:dyDescent="0.2">
      <c r="B45"/>
      <c r="C45"/>
      <c r="D45"/>
      <c r="E45"/>
      <c r="F45" t="s">
        <v>12</v>
      </c>
    </row>
    <row r="46" spans="2:6" x14ac:dyDescent="0.2">
      <c r="B46"/>
      <c r="C46"/>
      <c r="D46"/>
      <c r="E46"/>
      <c r="F46" t="s">
        <v>28</v>
      </c>
    </row>
    <row r="47" spans="2:6" x14ac:dyDescent="0.2">
      <c r="B47"/>
      <c r="C47"/>
      <c r="D47"/>
      <c r="E47"/>
      <c r="F47" t="s">
        <v>29</v>
      </c>
    </row>
    <row r="48" spans="2:6" x14ac:dyDescent="0.2">
      <c r="B48"/>
      <c r="C48"/>
      <c r="D48"/>
      <c r="E48"/>
      <c r="F48" t="s">
        <v>13</v>
      </c>
    </row>
    <row r="49" spans="2:6" x14ac:dyDescent="0.2">
      <c r="B49"/>
      <c r="C49"/>
      <c r="D49"/>
      <c r="E49"/>
      <c r="F49" t="s">
        <v>15</v>
      </c>
    </row>
    <row r="50" spans="2:6" x14ac:dyDescent="0.2">
      <c r="B50"/>
      <c r="C50"/>
      <c r="D50"/>
      <c r="E50"/>
      <c r="F50" t="s">
        <v>30</v>
      </c>
    </row>
    <row r="51" spans="2:6" x14ac:dyDescent="0.2">
      <c r="B51"/>
      <c r="C51"/>
      <c r="D51"/>
      <c r="E51"/>
      <c r="F51" t="s">
        <v>31</v>
      </c>
    </row>
    <row r="52" spans="2:6" x14ac:dyDescent="0.2">
      <c r="B52"/>
      <c r="C52"/>
      <c r="D52"/>
      <c r="E52"/>
      <c r="F52" t="s">
        <v>32</v>
      </c>
    </row>
    <row r="53" spans="2:6" x14ac:dyDescent="0.2">
      <c r="B53"/>
      <c r="C53"/>
      <c r="D53"/>
      <c r="E53"/>
      <c r="F53" t="s">
        <v>33</v>
      </c>
    </row>
    <row r="54" spans="2:6" x14ac:dyDescent="0.2">
      <c r="B54"/>
      <c r="C54"/>
      <c r="D54"/>
      <c r="E54"/>
      <c r="F54" t="s">
        <v>976</v>
      </c>
    </row>
    <row r="55" spans="2:6" x14ac:dyDescent="0.2">
      <c r="B55"/>
      <c r="C55"/>
      <c r="D55"/>
      <c r="E55"/>
      <c r="F55" t="s">
        <v>978</v>
      </c>
    </row>
    <row r="56" spans="2:6" x14ac:dyDescent="0.2">
      <c r="B56"/>
      <c r="C56"/>
      <c r="D56"/>
      <c r="E56"/>
      <c r="F56" t="s">
        <v>1004</v>
      </c>
    </row>
    <row r="57" spans="2:6" x14ac:dyDescent="0.2">
      <c r="B57"/>
      <c r="C57"/>
      <c r="D57"/>
      <c r="E57"/>
      <c r="F57" t="s">
        <v>1008</v>
      </c>
    </row>
    <row r="58" spans="2:6" x14ac:dyDescent="0.2">
      <c r="B58" t="s">
        <v>813</v>
      </c>
      <c r="C58" t="s">
        <v>814</v>
      </c>
      <c r="D58" t="s">
        <v>970</v>
      </c>
      <c r="E58" t="s">
        <v>965</v>
      </c>
      <c r="F58" t="s">
        <v>10</v>
      </c>
    </row>
    <row r="59" spans="2:6" x14ac:dyDescent="0.2">
      <c r="B59" t="s">
        <v>34</v>
      </c>
      <c r="C59" t="s">
        <v>550</v>
      </c>
      <c r="D59" t="s">
        <v>970</v>
      </c>
      <c r="E59" t="s">
        <v>1126</v>
      </c>
      <c r="F59" t="s">
        <v>35</v>
      </c>
    </row>
    <row r="60" spans="2:6" x14ac:dyDescent="0.2">
      <c r="B60"/>
      <c r="C60"/>
      <c r="D60"/>
      <c r="E60"/>
      <c r="F60" t="s">
        <v>36</v>
      </c>
    </row>
    <row r="61" spans="2:6" x14ac:dyDescent="0.2">
      <c r="B61"/>
      <c r="C61"/>
      <c r="D61"/>
      <c r="E61"/>
      <c r="F61" t="s">
        <v>4</v>
      </c>
    </row>
    <row r="62" spans="2:6" x14ac:dyDescent="0.2">
      <c r="B62"/>
      <c r="C62"/>
      <c r="D62"/>
      <c r="E62"/>
      <c r="F62" t="s">
        <v>5</v>
      </c>
    </row>
    <row r="63" spans="2:6" x14ac:dyDescent="0.2">
      <c r="B63"/>
      <c r="C63"/>
      <c r="D63"/>
      <c r="E63"/>
      <c r="F63" t="s">
        <v>24</v>
      </c>
    </row>
    <row r="64" spans="2:6" x14ac:dyDescent="0.2">
      <c r="B64"/>
      <c r="C64"/>
      <c r="D64"/>
      <c r="E64"/>
      <c r="F64" t="s">
        <v>25</v>
      </c>
    </row>
    <row r="65" spans="2:6" x14ac:dyDescent="0.2">
      <c r="B65"/>
      <c r="C65"/>
      <c r="D65"/>
      <c r="E65"/>
      <c r="F65" t="s">
        <v>9</v>
      </c>
    </row>
    <row r="66" spans="2:6" x14ac:dyDescent="0.2">
      <c r="B66"/>
      <c r="C66"/>
      <c r="D66"/>
      <c r="E66"/>
      <c r="F66" t="s">
        <v>27</v>
      </c>
    </row>
    <row r="67" spans="2:6" x14ac:dyDescent="0.2">
      <c r="B67"/>
      <c r="C67"/>
      <c r="D67"/>
      <c r="E67"/>
      <c r="F67" t="s">
        <v>10</v>
      </c>
    </row>
    <row r="68" spans="2:6" x14ac:dyDescent="0.2">
      <c r="B68"/>
      <c r="C68"/>
      <c r="D68"/>
      <c r="E68"/>
      <c r="F68" t="s">
        <v>12</v>
      </c>
    </row>
    <row r="69" spans="2:6" x14ac:dyDescent="0.2">
      <c r="B69"/>
      <c r="C69"/>
      <c r="D69"/>
      <c r="E69"/>
      <c r="F69" t="s">
        <v>28</v>
      </c>
    </row>
    <row r="70" spans="2:6" x14ac:dyDescent="0.2">
      <c r="B70"/>
      <c r="C70"/>
      <c r="D70"/>
      <c r="E70"/>
      <c r="F70" t="s">
        <v>29</v>
      </c>
    </row>
    <row r="71" spans="2:6" x14ac:dyDescent="0.2">
      <c r="B71"/>
      <c r="C71"/>
      <c r="D71"/>
      <c r="E71"/>
      <c r="F71" t="s">
        <v>37</v>
      </c>
    </row>
    <row r="72" spans="2:6" x14ac:dyDescent="0.2">
      <c r="B72"/>
      <c r="C72"/>
      <c r="D72"/>
      <c r="E72"/>
      <c r="F72" t="s">
        <v>13</v>
      </c>
    </row>
    <row r="73" spans="2:6" x14ac:dyDescent="0.2">
      <c r="B73"/>
      <c r="C73"/>
      <c r="D73"/>
      <c r="E73"/>
      <c r="F73" t="s">
        <v>14</v>
      </c>
    </row>
    <row r="74" spans="2:6" x14ac:dyDescent="0.2">
      <c r="B74"/>
      <c r="C74"/>
      <c r="D74"/>
      <c r="E74"/>
      <c r="F74" t="s">
        <v>15</v>
      </c>
    </row>
    <row r="75" spans="2:6" x14ac:dyDescent="0.2">
      <c r="B75"/>
      <c r="C75"/>
      <c r="D75"/>
      <c r="E75"/>
      <c r="F75" t="s">
        <v>30</v>
      </c>
    </row>
    <row r="76" spans="2:6" x14ac:dyDescent="0.2">
      <c r="B76"/>
      <c r="C76"/>
      <c r="D76"/>
      <c r="E76"/>
      <c r="F76" t="s">
        <v>31</v>
      </c>
    </row>
    <row r="77" spans="2:6" x14ac:dyDescent="0.2">
      <c r="B77"/>
      <c r="C77"/>
      <c r="D77"/>
      <c r="E77"/>
      <c r="F77" t="s">
        <v>32</v>
      </c>
    </row>
    <row r="78" spans="2:6" x14ac:dyDescent="0.2">
      <c r="B78"/>
      <c r="C78"/>
      <c r="D78"/>
      <c r="E78"/>
      <c r="F78" t="s">
        <v>38</v>
      </c>
    </row>
    <row r="79" spans="2:6" x14ac:dyDescent="0.2">
      <c r="B79"/>
      <c r="C79"/>
      <c r="D79"/>
      <c r="E79"/>
      <c r="F79" t="s">
        <v>33</v>
      </c>
    </row>
    <row r="80" spans="2:6" x14ac:dyDescent="0.2">
      <c r="B80" t="s">
        <v>1086</v>
      </c>
      <c r="C80" t="s">
        <v>1088</v>
      </c>
      <c r="D80" t="s">
        <v>970</v>
      </c>
      <c r="E80" t="s">
        <v>1127</v>
      </c>
      <c r="F80" t="s">
        <v>51</v>
      </c>
    </row>
    <row r="81" spans="2:6" x14ac:dyDescent="0.2">
      <c r="B81" t="s">
        <v>825</v>
      </c>
      <c r="C81" t="s">
        <v>826</v>
      </c>
      <c r="D81" t="s">
        <v>970</v>
      </c>
      <c r="E81" t="s">
        <v>1128</v>
      </c>
      <c r="F81" t="s">
        <v>39</v>
      </c>
    </row>
    <row r="82" spans="2:6" x14ac:dyDescent="0.2">
      <c r="B82" t="s">
        <v>966</v>
      </c>
      <c r="C82" t="s">
        <v>967</v>
      </c>
      <c r="D82" t="s">
        <v>969</v>
      </c>
      <c r="E82" t="s">
        <v>1129</v>
      </c>
      <c r="F82" t="s">
        <v>27</v>
      </c>
    </row>
    <row r="83" spans="2:6" x14ac:dyDescent="0.2">
      <c r="B83"/>
      <c r="C83"/>
      <c r="D83"/>
      <c r="E83"/>
      <c r="F83" t="s">
        <v>21</v>
      </c>
    </row>
    <row r="84" spans="2:6" x14ac:dyDescent="0.2">
      <c r="B84" t="s">
        <v>40</v>
      </c>
      <c r="C84" t="s">
        <v>551</v>
      </c>
      <c r="D84" t="s">
        <v>969</v>
      </c>
      <c r="E84" t="s">
        <v>965</v>
      </c>
      <c r="F84" t="s">
        <v>20</v>
      </c>
    </row>
    <row r="85" spans="2:6" x14ac:dyDescent="0.2">
      <c r="B85"/>
      <c r="C85"/>
      <c r="D85"/>
      <c r="E85"/>
      <c r="F85" t="s">
        <v>21</v>
      </c>
    </row>
    <row r="86" spans="2:6" x14ac:dyDescent="0.2">
      <c r="B86" t="s">
        <v>41</v>
      </c>
      <c r="C86" t="s">
        <v>552</v>
      </c>
      <c r="D86" t="s">
        <v>969</v>
      </c>
      <c r="E86" t="s">
        <v>965</v>
      </c>
      <c r="F86" t="s">
        <v>35</v>
      </c>
    </row>
    <row r="87" spans="2:6" x14ac:dyDescent="0.2">
      <c r="B87"/>
      <c r="C87"/>
      <c r="D87"/>
      <c r="E87"/>
      <c r="F87" t="s">
        <v>125</v>
      </c>
    </row>
    <row r="88" spans="2:6" x14ac:dyDescent="0.2">
      <c r="B88"/>
      <c r="C88"/>
      <c r="D88"/>
      <c r="E88"/>
      <c r="F88" t="s">
        <v>42</v>
      </c>
    </row>
    <row r="89" spans="2:6" x14ac:dyDescent="0.2">
      <c r="B89"/>
      <c r="C89"/>
      <c r="D89"/>
      <c r="E89"/>
      <c r="F89" t="s">
        <v>43</v>
      </c>
    </row>
    <row r="90" spans="2:6" x14ac:dyDescent="0.2">
      <c r="B90"/>
      <c r="C90"/>
      <c r="D90"/>
      <c r="E90"/>
      <c r="F90" t="s">
        <v>44</v>
      </c>
    </row>
    <row r="91" spans="2:6" x14ac:dyDescent="0.2">
      <c r="B91"/>
      <c r="C91"/>
      <c r="D91"/>
      <c r="E91"/>
      <c r="F91" t="s">
        <v>46</v>
      </c>
    </row>
    <row r="92" spans="2:6" x14ac:dyDescent="0.2">
      <c r="B92"/>
      <c r="C92"/>
      <c r="D92"/>
      <c r="E92"/>
      <c r="F92" t="s">
        <v>47</v>
      </c>
    </row>
    <row r="93" spans="2:6" x14ac:dyDescent="0.2">
      <c r="B93"/>
      <c r="C93"/>
      <c r="D93"/>
      <c r="E93"/>
      <c r="F93" t="s">
        <v>48</v>
      </c>
    </row>
    <row r="94" spans="2:6" x14ac:dyDescent="0.2">
      <c r="B94"/>
      <c r="C94"/>
      <c r="D94"/>
      <c r="E94"/>
      <c r="F94" t="s">
        <v>4</v>
      </c>
    </row>
    <row r="95" spans="2:6" x14ac:dyDescent="0.2">
      <c r="B95"/>
      <c r="C95"/>
      <c r="D95"/>
      <c r="E95"/>
      <c r="F95" t="s">
        <v>5</v>
      </c>
    </row>
    <row r="96" spans="2:6" x14ac:dyDescent="0.2">
      <c r="B96"/>
      <c r="C96"/>
      <c r="D96"/>
      <c r="E96"/>
      <c r="F96" t="s">
        <v>6</v>
      </c>
    </row>
    <row r="97" spans="2:6" x14ac:dyDescent="0.2">
      <c r="B97"/>
      <c r="C97"/>
      <c r="D97"/>
      <c r="E97"/>
      <c r="F97" t="s">
        <v>7</v>
      </c>
    </row>
    <row r="98" spans="2:6" x14ac:dyDescent="0.2">
      <c r="B98"/>
      <c r="C98"/>
      <c r="D98"/>
      <c r="E98"/>
      <c r="F98" t="s">
        <v>8</v>
      </c>
    </row>
    <row r="99" spans="2:6" x14ac:dyDescent="0.2">
      <c r="B99"/>
      <c r="C99"/>
      <c r="D99"/>
      <c r="E99"/>
      <c r="F99" t="s">
        <v>24</v>
      </c>
    </row>
    <row r="100" spans="2:6" x14ac:dyDescent="0.2">
      <c r="B100"/>
      <c r="C100"/>
      <c r="D100"/>
      <c r="E100"/>
      <c r="F100" t="s">
        <v>25</v>
      </c>
    </row>
    <row r="101" spans="2:6" x14ac:dyDescent="0.2">
      <c r="B101"/>
      <c r="C101"/>
      <c r="D101"/>
      <c r="E101"/>
      <c r="F101" t="s">
        <v>9</v>
      </c>
    </row>
    <row r="102" spans="2:6" x14ac:dyDescent="0.2">
      <c r="B102"/>
      <c r="C102"/>
      <c r="D102"/>
      <c r="E102"/>
      <c r="F102" t="s">
        <v>26</v>
      </c>
    </row>
    <row r="103" spans="2:6" x14ac:dyDescent="0.2">
      <c r="B103"/>
      <c r="C103"/>
      <c r="D103"/>
      <c r="E103"/>
      <c r="F103" t="s">
        <v>20</v>
      </c>
    </row>
    <row r="104" spans="2:6" x14ac:dyDescent="0.2">
      <c r="B104"/>
      <c r="C104"/>
      <c r="D104"/>
      <c r="E104"/>
      <c r="F104" t="s">
        <v>49</v>
      </c>
    </row>
    <row r="105" spans="2:6" x14ac:dyDescent="0.2">
      <c r="B105"/>
      <c r="C105"/>
      <c r="D105"/>
      <c r="E105"/>
      <c r="F105" t="s">
        <v>27</v>
      </c>
    </row>
    <row r="106" spans="2:6" x14ac:dyDescent="0.2">
      <c r="B106"/>
      <c r="C106"/>
      <c r="D106"/>
      <c r="E106"/>
      <c r="F106" t="s">
        <v>10</v>
      </c>
    </row>
    <row r="107" spans="2:6" x14ac:dyDescent="0.2">
      <c r="B107"/>
      <c r="C107"/>
      <c r="D107"/>
      <c r="E107"/>
      <c r="F107" t="s">
        <v>21</v>
      </c>
    </row>
    <row r="108" spans="2:6" x14ac:dyDescent="0.2">
      <c r="B108"/>
      <c r="C108"/>
      <c r="D108"/>
      <c r="E108"/>
      <c r="F108" t="s">
        <v>11</v>
      </c>
    </row>
    <row r="109" spans="2:6" x14ac:dyDescent="0.2">
      <c r="B109"/>
      <c r="C109"/>
      <c r="D109"/>
      <c r="E109"/>
      <c r="F109" t="s">
        <v>22</v>
      </c>
    </row>
    <row r="110" spans="2:6" x14ac:dyDescent="0.2">
      <c r="B110"/>
      <c r="C110"/>
      <c r="D110"/>
      <c r="E110"/>
      <c r="F110" t="s">
        <v>51</v>
      </c>
    </row>
    <row r="111" spans="2:6" x14ac:dyDescent="0.2">
      <c r="B111"/>
      <c r="C111"/>
      <c r="D111"/>
      <c r="E111"/>
      <c r="F111" t="s">
        <v>39</v>
      </c>
    </row>
    <row r="112" spans="2:6" x14ac:dyDescent="0.2">
      <c r="B112"/>
      <c r="C112"/>
      <c r="D112"/>
      <c r="E112"/>
      <c r="F112" t="s">
        <v>12</v>
      </c>
    </row>
    <row r="113" spans="2:6" x14ac:dyDescent="0.2">
      <c r="B113"/>
      <c r="C113"/>
      <c r="D113"/>
      <c r="E113"/>
      <c r="F113" t="s">
        <v>29</v>
      </c>
    </row>
    <row r="114" spans="2:6" x14ac:dyDescent="0.2">
      <c r="B114"/>
      <c r="C114"/>
      <c r="D114"/>
      <c r="E114"/>
      <c r="F114" t="s">
        <v>37</v>
      </c>
    </row>
    <row r="115" spans="2:6" x14ac:dyDescent="0.2">
      <c r="B115"/>
      <c r="C115"/>
      <c r="D115"/>
      <c r="E115"/>
      <c r="F115" t="s">
        <v>13</v>
      </c>
    </row>
    <row r="116" spans="2:6" x14ac:dyDescent="0.2">
      <c r="B116"/>
      <c r="C116"/>
      <c r="D116"/>
      <c r="E116"/>
      <c r="F116" t="s">
        <v>52</v>
      </c>
    </row>
    <row r="117" spans="2:6" x14ac:dyDescent="0.2">
      <c r="B117"/>
      <c r="C117"/>
      <c r="D117"/>
      <c r="E117"/>
      <c r="F117" t="s">
        <v>14</v>
      </c>
    </row>
    <row r="118" spans="2:6" x14ac:dyDescent="0.2">
      <c r="B118"/>
      <c r="C118"/>
      <c r="D118"/>
      <c r="E118"/>
      <c r="F118" t="s">
        <v>15</v>
      </c>
    </row>
    <row r="119" spans="2:6" x14ac:dyDescent="0.2">
      <c r="B119"/>
      <c r="C119"/>
      <c r="D119"/>
      <c r="E119"/>
      <c r="F119" t="s">
        <v>30</v>
      </c>
    </row>
    <row r="120" spans="2:6" x14ac:dyDescent="0.2">
      <c r="B120"/>
      <c r="C120"/>
      <c r="D120"/>
      <c r="E120"/>
      <c r="F120" t="s">
        <v>53</v>
      </c>
    </row>
    <row r="121" spans="2:6" x14ac:dyDescent="0.2">
      <c r="B121"/>
      <c r="C121"/>
      <c r="D121"/>
      <c r="E121"/>
      <c r="F121" t="s">
        <v>31</v>
      </c>
    </row>
    <row r="122" spans="2:6" x14ac:dyDescent="0.2">
      <c r="B122"/>
      <c r="C122"/>
      <c r="D122"/>
      <c r="E122"/>
      <c r="F122" t="s">
        <v>32</v>
      </c>
    </row>
    <row r="123" spans="2:6" x14ac:dyDescent="0.2">
      <c r="B123"/>
      <c r="C123"/>
      <c r="D123"/>
      <c r="E123"/>
      <c r="F123" t="s">
        <v>54</v>
      </c>
    </row>
    <row r="124" spans="2:6" x14ac:dyDescent="0.2">
      <c r="B124"/>
      <c r="C124"/>
      <c r="D124"/>
      <c r="E124"/>
      <c r="F124" t="s">
        <v>38</v>
      </c>
    </row>
    <row r="125" spans="2:6" x14ac:dyDescent="0.2">
      <c r="B125"/>
      <c r="C125"/>
      <c r="D125"/>
      <c r="E125"/>
      <c r="F125" t="s">
        <v>55</v>
      </c>
    </row>
    <row r="126" spans="2:6" x14ac:dyDescent="0.2">
      <c r="B126"/>
      <c r="C126"/>
      <c r="D126"/>
      <c r="E126"/>
      <c r="F126" t="s">
        <v>56</v>
      </c>
    </row>
    <row r="127" spans="2:6" x14ac:dyDescent="0.2">
      <c r="B127"/>
      <c r="C127"/>
      <c r="D127"/>
      <c r="E127"/>
      <c r="F127" t="s">
        <v>33</v>
      </c>
    </row>
    <row r="128" spans="2:6" x14ac:dyDescent="0.2">
      <c r="B128"/>
      <c r="C128"/>
      <c r="D128"/>
      <c r="E128"/>
      <c r="F128" t="s">
        <v>57</v>
      </c>
    </row>
    <row r="129" spans="2:6" x14ac:dyDescent="0.2">
      <c r="B129"/>
      <c r="C129"/>
      <c r="D129"/>
      <c r="E129"/>
      <c r="F129" t="s">
        <v>993</v>
      </c>
    </row>
    <row r="130" spans="2:6" x14ac:dyDescent="0.2">
      <c r="B130" t="s">
        <v>530</v>
      </c>
      <c r="C130" t="s">
        <v>553</v>
      </c>
      <c r="D130" t="s">
        <v>970</v>
      </c>
      <c r="E130" t="s">
        <v>1130</v>
      </c>
      <c r="F130" t="s">
        <v>10</v>
      </c>
    </row>
    <row r="131" spans="2:6" x14ac:dyDescent="0.2">
      <c r="B131" t="s">
        <v>58</v>
      </c>
      <c r="C131" t="s">
        <v>1001</v>
      </c>
      <c r="D131" t="s">
        <v>970</v>
      </c>
      <c r="E131" t="s">
        <v>965</v>
      </c>
      <c r="F131" t="s">
        <v>59</v>
      </c>
    </row>
    <row r="132" spans="2:6" x14ac:dyDescent="0.2">
      <c r="B132" t="s">
        <v>60</v>
      </c>
      <c r="C132" t="s">
        <v>554</v>
      </c>
      <c r="D132" t="s">
        <v>970</v>
      </c>
      <c r="E132" t="s">
        <v>965</v>
      </c>
      <c r="F132" t="s">
        <v>10</v>
      </c>
    </row>
    <row r="133" spans="2:6" x14ac:dyDescent="0.2">
      <c r="B133" t="s">
        <v>61</v>
      </c>
      <c r="C133" t="s">
        <v>1098</v>
      </c>
      <c r="D133" t="s">
        <v>969</v>
      </c>
      <c r="E133" t="s">
        <v>1131</v>
      </c>
      <c r="F133" t="s">
        <v>46</v>
      </c>
    </row>
    <row r="134" spans="2:6" x14ac:dyDescent="0.2">
      <c r="B134"/>
      <c r="C134"/>
      <c r="D134"/>
      <c r="E134"/>
      <c r="F134" t="s">
        <v>48</v>
      </c>
    </row>
    <row r="135" spans="2:6" x14ac:dyDescent="0.2">
      <c r="B135" t="s">
        <v>62</v>
      </c>
      <c r="C135" t="s">
        <v>555</v>
      </c>
      <c r="D135" t="s">
        <v>969</v>
      </c>
      <c r="E135" t="s">
        <v>1132</v>
      </c>
      <c r="F135" t="s">
        <v>4</v>
      </c>
    </row>
    <row r="136" spans="2:6" x14ac:dyDescent="0.2">
      <c r="B136"/>
      <c r="C136"/>
      <c r="D136"/>
      <c r="E136"/>
      <c r="F136" t="s">
        <v>5</v>
      </c>
    </row>
    <row r="137" spans="2:6" x14ac:dyDescent="0.2">
      <c r="B137"/>
      <c r="C137"/>
      <c r="D137"/>
      <c r="E137"/>
      <c r="F137" t="s">
        <v>24</v>
      </c>
    </row>
    <row r="138" spans="2:6" x14ac:dyDescent="0.2">
      <c r="B138"/>
      <c r="C138"/>
      <c r="D138"/>
      <c r="E138"/>
      <c r="F138" t="s">
        <v>25</v>
      </c>
    </row>
    <row r="139" spans="2:6" x14ac:dyDescent="0.2">
      <c r="B139"/>
      <c r="C139"/>
      <c r="D139"/>
      <c r="E139"/>
      <c r="F139" t="s">
        <v>9</v>
      </c>
    </row>
    <row r="140" spans="2:6" x14ac:dyDescent="0.2">
      <c r="B140"/>
      <c r="C140"/>
      <c r="D140"/>
      <c r="E140"/>
      <c r="F140" t="s">
        <v>27</v>
      </c>
    </row>
    <row r="141" spans="2:6" x14ac:dyDescent="0.2">
      <c r="B141"/>
      <c r="C141"/>
      <c r="D141"/>
      <c r="E141"/>
      <c r="F141" t="s">
        <v>13</v>
      </c>
    </row>
    <row r="142" spans="2:6" x14ac:dyDescent="0.2">
      <c r="B142"/>
      <c r="C142"/>
      <c r="D142"/>
      <c r="E142"/>
      <c r="F142" t="s">
        <v>14</v>
      </c>
    </row>
    <row r="143" spans="2:6" x14ac:dyDescent="0.2">
      <c r="B143"/>
      <c r="C143"/>
      <c r="D143"/>
      <c r="E143"/>
      <c r="F143" t="s">
        <v>30</v>
      </c>
    </row>
    <row r="144" spans="2:6" x14ac:dyDescent="0.2">
      <c r="B144"/>
      <c r="C144"/>
      <c r="D144"/>
      <c r="E144"/>
      <c r="F144" t="s">
        <v>31</v>
      </c>
    </row>
    <row r="145" spans="2:6" x14ac:dyDescent="0.2">
      <c r="B145"/>
      <c r="C145"/>
      <c r="D145"/>
      <c r="E145"/>
      <c r="F145" t="s">
        <v>32</v>
      </c>
    </row>
    <row r="146" spans="2:6" x14ac:dyDescent="0.2">
      <c r="B146"/>
      <c r="C146"/>
      <c r="D146"/>
      <c r="E146"/>
      <c r="F146" t="s">
        <v>38</v>
      </c>
    </row>
    <row r="147" spans="2:6" x14ac:dyDescent="0.2">
      <c r="B147" t="s">
        <v>822</v>
      </c>
      <c r="C147" t="s">
        <v>556</v>
      </c>
      <c r="D147" t="s">
        <v>970</v>
      </c>
      <c r="E147" t="s">
        <v>965</v>
      </c>
      <c r="F147" t="s">
        <v>4</v>
      </c>
    </row>
    <row r="148" spans="2:6" x14ac:dyDescent="0.2">
      <c r="B148"/>
      <c r="C148"/>
      <c r="D148"/>
      <c r="E148"/>
      <c r="F148" t="s">
        <v>5</v>
      </c>
    </row>
    <row r="149" spans="2:6" x14ac:dyDescent="0.2">
      <c r="B149"/>
      <c r="C149"/>
      <c r="D149"/>
      <c r="E149"/>
      <c r="F149" t="s">
        <v>7</v>
      </c>
    </row>
    <row r="150" spans="2:6" x14ac:dyDescent="0.2">
      <c r="B150"/>
      <c r="C150"/>
      <c r="D150"/>
      <c r="E150"/>
      <c r="F150" t="s">
        <v>8</v>
      </c>
    </row>
    <row r="151" spans="2:6" x14ac:dyDescent="0.2">
      <c r="B151"/>
      <c r="C151"/>
      <c r="D151"/>
      <c r="E151"/>
      <c r="F151" t="s">
        <v>10</v>
      </c>
    </row>
    <row r="152" spans="2:6" x14ac:dyDescent="0.2">
      <c r="B152"/>
      <c r="C152"/>
      <c r="D152"/>
      <c r="E152"/>
      <c r="F152" t="s">
        <v>63</v>
      </c>
    </row>
    <row r="153" spans="2:6" x14ac:dyDescent="0.2">
      <c r="B153"/>
      <c r="C153"/>
      <c r="D153"/>
      <c r="E153"/>
      <c r="F153" t="s">
        <v>12</v>
      </c>
    </row>
    <row r="154" spans="2:6" x14ac:dyDescent="0.2">
      <c r="B154"/>
      <c r="C154"/>
      <c r="D154"/>
      <c r="E154"/>
      <c r="F154" t="s">
        <v>28</v>
      </c>
    </row>
    <row r="155" spans="2:6" x14ac:dyDescent="0.2">
      <c r="B155"/>
      <c r="C155"/>
      <c r="D155"/>
      <c r="E155"/>
      <c r="F155" t="s">
        <v>29</v>
      </c>
    </row>
    <row r="156" spans="2:6" x14ac:dyDescent="0.2">
      <c r="B156"/>
      <c r="C156"/>
      <c r="D156"/>
      <c r="E156"/>
      <c r="F156" t="s">
        <v>15</v>
      </c>
    </row>
    <row r="157" spans="2:6" x14ac:dyDescent="0.2">
      <c r="B157"/>
      <c r="C157"/>
      <c r="D157"/>
      <c r="E157"/>
      <c r="F157" t="s">
        <v>976</v>
      </c>
    </row>
    <row r="158" spans="2:6" x14ac:dyDescent="0.2">
      <c r="B158"/>
      <c r="C158"/>
      <c r="D158"/>
      <c r="E158"/>
      <c r="F158" t="s">
        <v>978</v>
      </c>
    </row>
    <row r="159" spans="2:6" x14ac:dyDescent="0.2">
      <c r="B159"/>
      <c r="C159"/>
      <c r="D159"/>
      <c r="E159"/>
      <c r="F159" t="s">
        <v>1004</v>
      </c>
    </row>
    <row r="160" spans="2:6" x14ac:dyDescent="0.2">
      <c r="B160" t="s">
        <v>991</v>
      </c>
      <c r="C160" t="s">
        <v>992</v>
      </c>
      <c r="D160" t="s">
        <v>969</v>
      </c>
      <c r="E160" t="s">
        <v>1123</v>
      </c>
      <c r="F160" t="s">
        <v>5</v>
      </c>
    </row>
    <row r="161" spans="2:6" x14ac:dyDescent="0.2">
      <c r="B161"/>
      <c r="C161"/>
      <c r="D161"/>
      <c r="E161"/>
      <c r="F161" t="s">
        <v>10</v>
      </c>
    </row>
    <row r="162" spans="2:6" x14ac:dyDescent="0.2">
      <c r="B162" t="s">
        <v>64</v>
      </c>
      <c r="C162" t="s">
        <v>557</v>
      </c>
      <c r="D162" t="s">
        <v>970</v>
      </c>
      <c r="E162" t="s">
        <v>1133</v>
      </c>
      <c r="F162" t="s">
        <v>4</v>
      </c>
    </row>
    <row r="163" spans="2:6" x14ac:dyDescent="0.2">
      <c r="B163"/>
      <c r="C163"/>
      <c r="D163"/>
      <c r="E163"/>
      <c r="F163" t="s">
        <v>5</v>
      </c>
    </row>
    <row r="164" spans="2:6" x14ac:dyDescent="0.2">
      <c r="B164"/>
      <c r="C164"/>
      <c r="D164"/>
      <c r="E164"/>
      <c r="F164" t="s">
        <v>9</v>
      </c>
    </row>
    <row r="165" spans="2:6" x14ac:dyDescent="0.2">
      <c r="B165"/>
      <c r="C165"/>
      <c r="D165"/>
      <c r="E165"/>
      <c r="F165" t="s">
        <v>26</v>
      </c>
    </row>
    <row r="166" spans="2:6" x14ac:dyDescent="0.2">
      <c r="B166"/>
      <c r="C166"/>
      <c r="D166"/>
      <c r="E166"/>
      <c r="F166" t="s">
        <v>20</v>
      </c>
    </row>
    <row r="167" spans="2:6" x14ac:dyDescent="0.2">
      <c r="B167"/>
      <c r="C167"/>
      <c r="D167"/>
      <c r="E167"/>
      <c r="F167" t="s">
        <v>27</v>
      </c>
    </row>
    <row r="168" spans="2:6" x14ac:dyDescent="0.2">
      <c r="B168"/>
      <c r="C168"/>
      <c r="D168"/>
      <c r="E168"/>
      <c r="F168" t="s">
        <v>10</v>
      </c>
    </row>
    <row r="169" spans="2:6" x14ac:dyDescent="0.2">
      <c r="B169"/>
      <c r="C169"/>
      <c r="D169"/>
      <c r="E169"/>
      <c r="F169" t="s">
        <v>21</v>
      </c>
    </row>
    <row r="170" spans="2:6" x14ac:dyDescent="0.2">
      <c r="B170"/>
      <c r="C170"/>
      <c r="D170"/>
      <c r="E170"/>
      <c r="F170" t="s">
        <v>11</v>
      </c>
    </row>
    <row r="171" spans="2:6" x14ac:dyDescent="0.2">
      <c r="B171"/>
      <c r="C171"/>
      <c r="D171"/>
      <c r="E171"/>
      <c r="F171" t="s">
        <v>13</v>
      </c>
    </row>
    <row r="172" spans="2:6" x14ac:dyDescent="0.2">
      <c r="B172"/>
      <c r="C172"/>
      <c r="D172"/>
      <c r="E172"/>
      <c r="F172" t="s">
        <v>14</v>
      </c>
    </row>
    <row r="173" spans="2:6" x14ac:dyDescent="0.2">
      <c r="B173" t="s">
        <v>65</v>
      </c>
      <c r="C173" t="s">
        <v>558</v>
      </c>
      <c r="D173" t="s">
        <v>969</v>
      </c>
      <c r="E173" t="s">
        <v>1134</v>
      </c>
      <c r="F173" t="s">
        <v>5</v>
      </c>
    </row>
    <row r="174" spans="2:6" x14ac:dyDescent="0.2">
      <c r="B174"/>
      <c r="C174"/>
      <c r="D174"/>
      <c r="E174"/>
      <c r="F174" t="s">
        <v>8</v>
      </c>
    </row>
    <row r="175" spans="2:6" x14ac:dyDescent="0.2">
      <c r="B175"/>
      <c r="C175"/>
      <c r="D175"/>
      <c r="E175"/>
      <c r="F175" t="s">
        <v>50</v>
      </c>
    </row>
    <row r="176" spans="2:6" x14ac:dyDescent="0.2">
      <c r="B176"/>
      <c r="C176"/>
      <c r="D176"/>
      <c r="E176"/>
      <c r="F176" t="s">
        <v>18</v>
      </c>
    </row>
    <row r="177" spans="2:6" x14ac:dyDescent="0.2">
      <c r="B177"/>
      <c r="C177"/>
      <c r="D177"/>
      <c r="E177"/>
      <c r="F177" t="s">
        <v>15</v>
      </c>
    </row>
    <row r="178" spans="2:6" x14ac:dyDescent="0.2">
      <c r="B178" t="s">
        <v>66</v>
      </c>
      <c r="C178" t="s">
        <v>851</v>
      </c>
      <c r="D178" t="s">
        <v>970</v>
      </c>
      <c r="E178" t="s">
        <v>1135</v>
      </c>
      <c r="F178" t="s">
        <v>10</v>
      </c>
    </row>
    <row r="179" spans="2:6" x14ac:dyDescent="0.2">
      <c r="B179" t="s">
        <v>67</v>
      </c>
      <c r="C179" t="s">
        <v>559</v>
      </c>
      <c r="D179" t="s">
        <v>970</v>
      </c>
      <c r="E179" t="s">
        <v>965</v>
      </c>
      <c r="F179" t="s">
        <v>27</v>
      </c>
    </row>
    <row r="180" spans="2:6" x14ac:dyDescent="0.2">
      <c r="B180"/>
      <c r="C180"/>
      <c r="D180"/>
      <c r="E180"/>
      <c r="F180" t="s">
        <v>10</v>
      </c>
    </row>
    <row r="181" spans="2:6" x14ac:dyDescent="0.2">
      <c r="B181"/>
      <c r="C181"/>
      <c r="D181"/>
      <c r="E181"/>
      <c r="F181" t="s">
        <v>14</v>
      </c>
    </row>
    <row r="182" spans="2:6" x14ac:dyDescent="0.2">
      <c r="B182"/>
      <c r="C182"/>
      <c r="D182"/>
      <c r="E182"/>
      <c r="F182" t="s">
        <v>31</v>
      </c>
    </row>
    <row r="183" spans="2:6" x14ac:dyDescent="0.2">
      <c r="B183" t="s">
        <v>68</v>
      </c>
      <c r="C183" t="s">
        <v>560</v>
      </c>
      <c r="D183" t="s">
        <v>969</v>
      </c>
      <c r="E183" t="s">
        <v>1136</v>
      </c>
      <c r="F183" t="s">
        <v>29</v>
      </c>
    </row>
    <row r="184" spans="2:6" x14ac:dyDescent="0.2">
      <c r="B184" t="s">
        <v>823</v>
      </c>
      <c r="C184" t="s">
        <v>824</v>
      </c>
      <c r="D184" t="s">
        <v>969</v>
      </c>
      <c r="E184" t="s">
        <v>1137</v>
      </c>
      <c r="F184" t="s">
        <v>46</v>
      </c>
    </row>
    <row r="185" spans="2:6" x14ac:dyDescent="0.2">
      <c r="B185" t="s">
        <v>535</v>
      </c>
      <c r="C185" t="s">
        <v>561</v>
      </c>
      <c r="D185" t="s">
        <v>969</v>
      </c>
      <c r="E185" t="s">
        <v>1138</v>
      </c>
      <c r="F185" t="s">
        <v>993</v>
      </c>
    </row>
    <row r="186" spans="2:6" x14ac:dyDescent="0.2">
      <c r="B186" t="s">
        <v>69</v>
      </c>
      <c r="C186" t="s">
        <v>562</v>
      </c>
      <c r="D186" t="s">
        <v>969</v>
      </c>
      <c r="E186" t="s">
        <v>1138</v>
      </c>
      <c r="F186" t="s">
        <v>993</v>
      </c>
    </row>
    <row r="187" spans="2:6" x14ac:dyDescent="0.2">
      <c r="B187" t="s">
        <v>71</v>
      </c>
      <c r="C187" t="s">
        <v>563</v>
      </c>
      <c r="D187" t="s">
        <v>970</v>
      </c>
      <c r="E187" t="s">
        <v>965</v>
      </c>
      <c r="F187" t="s">
        <v>4</v>
      </c>
    </row>
    <row r="188" spans="2:6" x14ac:dyDescent="0.2">
      <c r="B188"/>
      <c r="C188"/>
      <c r="D188"/>
      <c r="E188"/>
      <c r="F188" t="s">
        <v>5</v>
      </c>
    </row>
    <row r="189" spans="2:6" x14ac:dyDescent="0.2">
      <c r="B189"/>
      <c r="C189"/>
      <c r="D189"/>
      <c r="E189"/>
      <c r="F189" t="s">
        <v>8</v>
      </c>
    </row>
    <row r="190" spans="2:6" x14ac:dyDescent="0.2">
      <c r="B190"/>
      <c r="C190"/>
      <c r="D190"/>
      <c r="E190"/>
      <c r="F190" t="s">
        <v>10</v>
      </c>
    </row>
    <row r="191" spans="2:6" x14ac:dyDescent="0.2">
      <c r="B191"/>
      <c r="C191"/>
      <c r="D191"/>
      <c r="E191"/>
      <c r="F191" t="s">
        <v>15</v>
      </c>
    </row>
    <row r="192" spans="2:6" x14ac:dyDescent="0.2">
      <c r="B192" t="s">
        <v>72</v>
      </c>
      <c r="C192" t="s">
        <v>564</v>
      </c>
      <c r="D192" t="s">
        <v>969</v>
      </c>
      <c r="E192" t="s">
        <v>1139</v>
      </c>
      <c r="F192" t="s">
        <v>10</v>
      </c>
    </row>
    <row r="193" spans="2:6" x14ac:dyDescent="0.2">
      <c r="B193"/>
      <c r="C193"/>
      <c r="D193"/>
      <c r="E193"/>
      <c r="F193" t="s">
        <v>11</v>
      </c>
    </row>
    <row r="194" spans="2:6" x14ac:dyDescent="0.2">
      <c r="B194" t="s">
        <v>73</v>
      </c>
      <c r="C194" t="s">
        <v>565</v>
      </c>
      <c r="D194" t="s">
        <v>969</v>
      </c>
      <c r="E194" t="s">
        <v>1140</v>
      </c>
      <c r="F194" t="s">
        <v>5</v>
      </c>
    </row>
    <row r="195" spans="2:6" x14ac:dyDescent="0.2">
      <c r="B195"/>
      <c r="C195"/>
      <c r="D195"/>
      <c r="E195"/>
      <c r="F195" t="s">
        <v>9</v>
      </c>
    </row>
    <row r="196" spans="2:6" x14ac:dyDescent="0.2">
      <c r="B196"/>
      <c r="C196"/>
      <c r="D196"/>
      <c r="E196"/>
      <c r="F196" t="s">
        <v>27</v>
      </c>
    </row>
    <row r="197" spans="2:6" x14ac:dyDescent="0.2">
      <c r="B197"/>
      <c r="C197"/>
      <c r="D197"/>
      <c r="E197"/>
      <c r="F197" t="s">
        <v>10</v>
      </c>
    </row>
    <row r="198" spans="2:6" x14ac:dyDescent="0.2">
      <c r="B198"/>
      <c r="C198"/>
      <c r="D198"/>
      <c r="E198"/>
      <c r="F198" t="s">
        <v>11</v>
      </c>
    </row>
    <row r="199" spans="2:6" x14ac:dyDescent="0.2">
      <c r="B199"/>
      <c r="C199"/>
      <c r="D199"/>
      <c r="E199"/>
      <c r="F199" t="s">
        <v>29</v>
      </c>
    </row>
    <row r="200" spans="2:6" x14ac:dyDescent="0.2">
      <c r="B200"/>
      <c r="C200"/>
      <c r="D200"/>
      <c r="E200"/>
      <c r="F200" t="s">
        <v>14</v>
      </c>
    </row>
    <row r="201" spans="2:6" x14ac:dyDescent="0.2">
      <c r="B201" t="s">
        <v>74</v>
      </c>
      <c r="C201" t="s">
        <v>973</v>
      </c>
      <c r="D201" t="s">
        <v>969</v>
      </c>
      <c r="E201" t="s">
        <v>1141</v>
      </c>
      <c r="F201" t="s">
        <v>4</v>
      </c>
    </row>
    <row r="202" spans="2:6" x14ac:dyDescent="0.2">
      <c r="B202"/>
      <c r="C202"/>
      <c r="D202"/>
      <c r="E202"/>
      <c r="F202" t="s">
        <v>5</v>
      </c>
    </row>
    <row r="203" spans="2:6" x14ac:dyDescent="0.2">
      <c r="B203"/>
      <c r="C203"/>
      <c r="D203"/>
      <c r="E203"/>
      <c r="F203" t="s">
        <v>7</v>
      </c>
    </row>
    <row r="204" spans="2:6" x14ac:dyDescent="0.2">
      <c r="B204"/>
      <c r="C204"/>
      <c r="D204"/>
      <c r="E204"/>
      <c r="F204" t="s">
        <v>8</v>
      </c>
    </row>
    <row r="205" spans="2:6" x14ac:dyDescent="0.2">
      <c r="B205"/>
      <c r="C205"/>
      <c r="D205"/>
      <c r="E205"/>
      <c r="F205" t="s">
        <v>24</v>
      </c>
    </row>
    <row r="206" spans="2:6" x14ac:dyDescent="0.2">
      <c r="B206"/>
      <c r="C206"/>
      <c r="D206"/>
      <c r="E206"/>
      <c r="F206" t="s">
        <v>25</v>
      </c>
    </row>
    <row r="207" spans="2:6" x14ac:dyDescent="0.2">
      <c r="B207"/>
      <c r="C207"/>
      <c r="D207"/>
      <c r="E207"/>
      <c r="F207" t="s">
        <v>9</v>
      </c>
    </row>
    <row r="208" spans="2:6" x14ac:dyDescent="0.2">
      <c r="B208"/>
      <c r="C208"/>
      <c r="D208"/>
      <c r="E208"/>
      <c r="F208" t="s">
        <v>27</v>
      </c>
    </row>
    <row r="209" spans="2:6" x14ac:dyDescent="0.2">
      <c r="B209"/>
      <c r="C209"/>
      <c r="D209"/>
      <c r="E209"/>
      <c r="F209" t="s">
        <v>75</v>
      </c>
    </row>
    <row r="210" spans="2:6" x14ac:dyDescent="0.2">
      <c r="B210"/>
      <c r="C210"/>
      <c r="D210"/>
      <c r="E210"/>
      <c r="F210" t="s">
        <v>10</v>
      </c>
    </row>
    <row r="211" spans="2:6" x14ac:dyDescent="0.2">
      <c r="B211"/>
      <c r="C211"/>
      <c r="D211"/>
      <c r="E211"/>
      <c r="F211" t="s">
        <v>50</v>
      </c>
    </row>
    <row r="212" spans="2:6" x14ac:dyDescent="0.2">
      <c r="B212"/>
      <c r="C212"/>
      <c r="D212"/>
      <c r="E212"/>
      <c r="F212" t="s">
        <v>18</v>
      </c>
    </row>
    <row r="213" spans="2:6" x14ac:dyDescent="0.2">
      <c r="B213"/>
      <c r="C213"/>
      <c r="D213"/>
      <c r="E213"/>
      <c r="F213" t="s">
        <v>11</v>
      </c>
    </row>
    <row r="214" spans="2:6" x14ac:dyDescent="0.2">
      <c r="B214"/>
      <c r="C214"/>
      <c r="D214"/>
      <c r="E214"/>
      <c r="F214" t="s">
        <v>51</v>
      </c>
    </row>
    <row r="215" spans="2:6" x14ac:dyDescent="0.2">
      <c r="B215"/>
      <c r="C215"/>
      <c r="D215"/>
      <c r="E215"/>
      <c r="F215" t="s">
        <v>12</v>
      </c>
    </row>
    <row r="216" spans="2:6" x14ac:dyDescent="0.2">
      <c r="B216"/>
      <c r="C216"/>
      <c r="D216"/>
      <c r="E216"/>
      <c r="F216" t="s">
        <v>37</v>
      </c>
    </row>
    <row r="217" spans="2:6" x14ac:dyDescent="0.2">
      <c r="B217"/>
      <c r="C217"/>
      <c r="D217"/>
      <c r="E217"/>
      <c r="F217" t="s">
        <v>13</v>
      </c>
    </row>
    <row r="218" spans="2:6" x14ac:dyDescent="0.2">
      <c r="B218"/>
      <c r="C218"/>
      <c r="D218"/>
      <c r="E218"/>
      <c r="F218" t="s">
        <v>52</v>
      </c>
    </row>
    <row r="219" spans="2:6" x14ac:dyDescent="0.2">
      <c r="B219"/>
      <c r="C219"/>
      <c r="D219"/>
      <c r="E219"/>
      <c r="F219" t="s">
        <v>14</v>
      </c>
    </row>
    <row r="220" spans="2:6" x14ac:dyDescent="0.2">
      <c r="B220"/>
      <c r="C220"/>
      <c r="D220"/>
      <c r="E220"/>
      <c r="F220" t="s">
        <v>15</v>
      </c>
    </row>
    <row r="221" spans="2:6" x14ac:dyDescent="0.2">
      <c r="B221"/>
      <c r="C221"/>
      <c r="D221"/>
      <c r="E221"/>
      <c r="F221" t="s">
        <v>30</v>
      </c>
    </row>
    <row r="222" spans="2:6" x14ac:dyDescent="0.2">
      <c r="B222"/>
      <c r="C222"/>
      <c r="D222"/>
      <c r="E222"/>
      <c r="F222" t="s">
        <v>31</v>
      </c>
    </row>
    <row r="223" spans="2:6" x14ac:dyDescent="0.2">
      <c r="B223"/>
      <c r="C223"/>
      <c r="D223"/>
      <c r="E223"/>
      <c r="F223" t="s">
        <v>32</v>
      </c>
    </row>
    <row r="224" spans="2:6" x14ac:dyDescent="0.2">
      <c r="B224"/>
      <c r="C224"/>
      <c r="D224"/>
      <c r="E224"/>
      <c r="F224" t="s">
        <v>56</v>
      </c>
    </row>
    <row r="225" spans="2:6" x14ac:dyDescent="0.2">
      <c r="B225"/>
      <c r="C225"/>
      <c r="D225"/>
      <c r="E225"/>
      <c r="F225" t="s">
        <v>33</v>
      </c>
    </row>
    <row r="226" spans="2:6" x14ac:dyDescent="0.2">
      <c r="B226" t="s">
        <v>76</v>
      </c>
      <c r="C226" t="s">
        <v>852</v>
      </c>
      <c r="D226" t="s">
        <v>970</v>
      </c>
      <c r="E226" t="s">
        <v>965</v>
      </c>
      <c r="F226" t="s">
        <v>10</v>
      </c>
    </row>
    <row r="227" spans="2:6" x14ac:dyDescent="0.2">
      <c r="B227" t="s">
        <v>77</v>
      </c>
      <c r="C227" t="s">
        <v>860</v>
      </c>
      <c r="D227" t="s">
        <v>969</v>
      </c>
      <c r="E227" t="s">
        <v>1134</v>
      </c>
      <c r="F227" t="s">
        <v>4</v>
      </c>
    </row>
    <row r="228" spans="2:6" x14ac:dyDescent="0.2">
      <c r="B228"/>
      <c r="C228"/>
      <c r="D228"/>
      <c r="E228"/>
      <c r="F228" t="s">
        <v>5</v>
      </c>
    </row>
    <row r="229" spans="2:6" x14ac:dyDescent="0.2">
      <c r="B229"/>
      <c r="C229"/>
      <c r="D229"/>
      <c r="E229"/>
      <c r="F229" t="s">
        <v>7</v>
      </c>
    </row>
    <row r="230" spans="2:6" x14ac:dyDescent="0.2">
      <c r="B230"/>
      <c r="C230"/>
      <c r="D230"/>
      <c r="E230"/>
      <c r="F230" t="s">
        <v>8</v>
      </c>
    </row>
    <row r="231" spans="2:6" x14ac:dyDescent="0.2">
      <c r="B231"/>
      <c r="C231"/>
      <c r="D231"/>
      <c r="E231"/>
      <c r="F231" t="s">
        <v>25</v>
      </c>
    </row>
    <row r="232" spans="2:6" x14ac:dyDescent="0.2">
      <c r="B232"/>
      <c r="C232"/>
      <c r="D232"/>
      <c r="E232"/>
      <c r="F232" t="s">
        <v>9</v>
      </c>
    </row>
    <row r="233" spans="2:6" x14ac:dyDescent="0.2">
      <c r="B233"/>
      <c r="C233"/>
      <c r="D233"/>
      <c r="E233"/>
      <c r="F233" t="s">
        <v>27</v>
      </c>
    </row>
    <row r="234" spans="2:6" x14ac:dyDescent="0.2">
      <c r="B234"/>
      <c r="C234"/>
      <c r="D234"/>
      <c r="E234"/>
      <c r="F234" t="s">
        <v>13</v>
      </c>
    </row>
    <row r="235" spans="2:6" x14ac:dyDescent="0.2">
      <c r="B235"/>
      <c r="C235"/>
      <c r="D235"/>
      <c r="E235"/>
      <c r="F235" t="s">
        <v>14</v>
      </c>
    </row>
    <row r="236" spans="2:6" x14ac:dyDescent="0.2">
      <c r="B236"/>
      <c r="C236"/>
      <c r="D236"/>
      <c r="E236"/>
      <c r="F236" t="s">
        <v>15</v>
      </c>
    </row>
    <row r="237" spans="2:6" x14ac:dyDescent="0.2">
      <c r="B237" t="s">
        <v>78</v>
      </c>
      <c r="C237" t="s">
        <v>566</v>
      </c>
      <c r="D237" t="s">
        <v>970</v>
      </c>
      <c r="E237" t="s">
        <v>1142</v>
      </c>
      <c r="F237" t="s">
        <v>5</v>
      </c>
    </row>
    <row r="238" spans="2:6" x14ac:dyDescent="0.2">
      <c r="B238"/>
      <c r="C238"/>
      <c r="D238"/>
      <c r="E238"/>
      <c r="F238" t="s">
        <v>7</v>
      </c>
    </row>
    <row r="239" spans="2:6" x14ac:dyDescent="0.2">
      <c r="B239"/>
      <c r="C239"/>
      <c r="D239"/>
      <c r="E239"/>
      <c r="F239" t="s">
        <v>8</v>
      </c>
    </row>
    <row r="240" spans="2:6" x14ac:dyDescent="0.2">
      <c r="B240"/>
      <c r="C240"/>
      <c r="D240"/>
      <c r="E240"/>
      <c r="F240" t="s">
        <v>9</v>
      </c>
    </row>
    <row r="241" spans="2:6" x14ac:dyDescent="0.2">
      <c r="B241"/>
      <c r="C241"/>
      <c r="D241"/>
      <c r="E241"/>
      <c r="F241" t="s">
        <v>27</v>
      </c>
    </row>
    <row r="242" spans="2:6" x14ac:dyDescent="0.2">
      <c r="B242"/>
      <c r="C242"/>
      <c r="D242"/>
      <c r="E242"/>
      <c r="F242" t="s">
        <v>12</v>
      </c>
    </row>
    <row r="243" spans="2:6" x14ac:dyDescent="0.2">
      <c r="B243"/>
      <c r="C243"/>
      <c r="D243"/>
      <c r="E243"/>
      <c r="F243" t="s">
        <v>29</v>
      </c>
    </row>
    <row r="244" spans="2:6" x14ac:dyDescent="0.2">
      <c r="B244"/>
      <c r="C244"/>
      <c r="D244"/>
      <c r="E244"/>
      <c r="F244" t="s">
        <v>14</v>
      </c>
    </row>
    <row r="245" spans="2:6" x14ac:dyDescent="0.2">
      <c r="B245"/>
      <c r="C245"/>
      <c r="D245"/>
      <c r="E245"/>
      <c r="F245" t="s">
        <v>15</v>
      </c>
    </row>
    <row r="246" spans="2:6" x14ac:dyDescent="0.2">
      <c r="B246" t="s">
        <v>1089</v>
      </c>
      <c r="C246" t="s">
        <v>1091</v>
      </c>
      <c r="D246" t="s">
        <v>969</v>
      </c>
      <c r="E246" t="s">
        <v>1143</v>
      </c>
      <c r="F246" t="s">
        <v>31</v>
      </c>
    </row>
    <row r="247" spans="2:6" x14ac:dyDescent="0.2">
      <c r="B247"/>
      <c r="C247"/>
      <c r="D247"/>
      <c r="E247"/>
      <c r="F247" t="s">
        <v>32</v>
      </c>
    </row>
    <row r="248" spans="2:6" x14ac:dyDescent="0.2">
      <c r="B248"/>
      <c r="C248"/>
      <c r="D248"/>
      <c r="E248"/>
      <c r="F248" t="s">
        <v>38</v>
      </c>
    </row>
    <row r="249" spans="2:6" x14ac:dyDescent="0.2">
      <c r="B249" t="s">
        <v>528</v>
      </c>
      <c r="C249" t="s">
        <v>567</v>
      </c>
      <c r="D249" t="s">
        <v>970</v>
      </c>
      <c r="E249" t="s">
        <v>1144</v>
      </c>
      <c r="F249" t="s">
        <v>29</v>
      </c>
    </row>
    <row r="250" spans="2:6" x14ac:dyDescent="0.2">
      <c r="B250" t="s">
        <v>848</v>
      </c>
      <c r="C250" t="s">
        <v>1010</v>
      </c>
      <c r="D250" t="s">
        <v>969</v>
      </c>
      <c r="E250" t="s">
        <v>965</v>
      </c>
      <c r="F250" t="s">
        <v>42</v>
      </c>
    </row>
    <row r="251" spans="2:6" x14ac:dyDescent="0.2">
      <c r="B251"/>
      <c r="C251"/>
      <c r="D251"/>
      <c r="E251"/>
      <c r="F251" t="s">
        <v>43</v>
      </c>
    </row>
    <row r="252" spans="2:6" x14ac:dyDescent="0.2">
      <c r="B252"/>
      <c r="C252"/>
      <c r="D252"/>
      <c r="E252"/>
      <c r="F252" t="s">
        <v>44</v>
      </c>
    </row>
    <row r="253" spans="2:6" x14ac:dyDescent="0.2">
      <c r="B253"/>
      <c r="C253"/>
      <c r="D253"/>
      <c r="E253"/>
      <c r="F253" t="s">
        <v>4</v>
      </c>
    </row>
    <row r="254" spans="2:6" x14ac:dyDescent="0.2">
      <c r="B254"/>
      <c r="C254"/>
      <c r="D254"/>
      <c r="E254"/>
      <c r="F254" t="s">
        <v>5</v>
      </c>
    </row>
    <row r="255" spans="2:6" x14ac:dyDescent="0.2">
      <c r="B255"/>
      <c r="C255"/>
      <c r="D255"/>
      <c r="E255"/>
      <c r="F255" t="s">
        <v>24</v>
      </c>
    </row>
    <row r="256" spans="2:6" x14ac:dyDescent="0.2">
      <c r="B256"/>
      <c r="C256"/>
      <c r="D256"/>
      <c r="E256"/>
      <c r="F256" t="s">
        <v>25</v>
      </c>
    </row>
    <row r="257" spans="2:6" x14ac:dyDescent="0.2">
      <c r="B257"/>
      <c r="C257"/>
      <c r="D257"/>
      <c r="E257"/>
      <c r="F257" t="s">
        <v>9</v>
      </c>
    </row>
    <row r="258" spans="2:6" x14ac:dyDescent="0.2">
      <c r="B258"/>
      <c r="C258"/>
      <c r="D258"/>
      <c r="E258"/>
      <c r="F258" t="s">
        <v>27</v>
      </c>
    </row>
    <row r="259" spans="2:6" x14ac:dyDescent="0.2">
      <c r="B259"/>
      <c r="C259"/>
      <c r="D259"/>
      <c r="E259"/>
      <c r="F259" t="s">
        <v>59</v>
      </c>
    </row>
    <row r="260" spans="2:6" x14ac:dyDescent="0.2">
      <c r="B260"/>
      <c r="C260"/>
      <c r="D260"/>
      <c r="E260"/>
      <c r="F260" t="s">
        <v>21</v>
      </c>
    </row>
    <row r="261" spans="2:6" x14ac:dyDescent="0.2">
      <c r="B261"/>
      <c r="C261"/>
      <c r="D261"/>
      <c r="E261"/>
      <c r="F261" t="s">
        <v>51</v>
      </c>
    </row>
    <row r="262" spans="2:6" x14ac:dyDescent="0.2">
      <c r="B262"/>
      <c r="C262"/>
      <c r="D262"/>
      <c r="E262"/>
      <c r="F262" t="s">
        <v>39</v>
      </c>
    </row>
    <row r="263" spans="2:6" x14ac:dyDescent="0.2">
      <c r="B263"/>
      <c r="C263"/>
      <c r="D263"/>
      <c r="E263"/>
      <c r="F263" t="s">
        <v>37</v>
      </c>
    </row>
    <row r="264" spans="2:6" x14ac:dyDescent="0.2">
      <c r="B264"/>
      <c r="C264"/>
      <c r="D264"/>
      <c r="E264"/>
      <c r="F264" t="s">
        <v>13</v>
      </c>
    </row>
    <row r="265" spans="2:6" x14ac:dyDescent="0.2">
      <c r="B265"/>
      <c r="C265"/>
      <c r="D265"/>
      <c r="E265"/>
      <c r="F265" t="s">
        <v>52</v>
      </c>
    </row>
    <row r="266" spans="2:6" x14ac:dyDescent="0.2">
      <c r="B266"/>
      <c r="C266"/>
      <c r="D266"/>
      <c r="E266"/>
      <c r="F266" t="s">
        <v>14</v>
      </c>
    </row>
    <row r="267" spans="2:6" x14ac:dyDescent="0.2">
      <c r="B267"/>
      <c r="C267"/>
      <c r="D267"/>
      <c r="E267"/>
      <c r="F267" t="s">
        <v>30</v>
      </c>
    </row>
    <row r="268" spans="2:6" x14ac:dyDescent="0.2">
      <c r="B268"/>
      <c r="C268"/>
      <c r="D268"/>
      <c r="E268"/>
      <c r="F268" t="s">
        <v>53</v>
      </c>
    </row>
    <row r="269" spans="2:6" x14ac:dyDescent="0.2">
      <c r="B269"/>
      <c r="C269"/>
      <c r="D269"/>
      <c r="E269"/>
      <c r="F269" t="s">
        <v>31</v>
      </c>
    </row>
    <row r="270" spans="2:6" x14ac:dyDescent="0.2">
      <c r="B270"/>
      <c r="C270"/>
      <c r="D270"/>
      <c r="E270"/>
      <c r="F270" t="s">
        <v>32</v>
      </c>
    </row>
    <row r="271" spans="2:6" x14ac:dyDescent="0.2">
      <c r="B271"/>
      <c r="C271"/>
      <c r="D271"/>
      <c r="E271"/>
      <c r="F271" t="s">
        <v>38</v>
      </c>
    </row>
    <row r="272" spans="2:6" x14ac:dyDescent="0.2">
      <c r="B272"/>
      <c r="C272"/>
      <c r="D272"/>
      <c r="E272"/>
      <c r="F272" t="s">
        <v>56</v>
      </c>
    </row>
    <row r="273" spans="2:6" x14ac:dyDescent="0.2">
      <c r="B273"/>
      <c r="C273"/>
      <c r="D273"/>
      <c r="E273"/>
      <c r="F273" t="s">
        <v>57</v>
      </c>
    </row>
    <row r="274" spans="2:6" x14ac:dyDescent="0.2">
      <c r="B274" t="s">
        <v>79</v>
      </c>
      <c r="C274" t="s">
        <v>568</v>
      </c>
      <c r="D274" t="s">
        <v>970</v>
      </c>
      <c r="E274" t="s">
        <v>1145</v>
      </c>
      <c r="F274" t="s">
        <v>35</v>
      </c>
    </row>
    <row r="275" spans="2:6" x14ac:dyDescent="0.2">
      <c r="B275"/>
      <c r="C275"/>
      <c r="D275"/>
      <c r="E275"/>
      <c r="F275" t="s">
        <v>36</v>
      </c>
    </row>
    <row r="276" spans="2:6" x14ac:dyDescent="0.2">
      <c r="B276"/>
      <c r="C276"/>
      <c r="D276"/>
      <c r="E276"/>
      <c r="F276" t="s">
        <v>4</v>
      </c>
    </row>
    <row r="277" spans="2:6" x14ac:dyDescent="0.2">
      <c r="B277"/>
      <c r="C277"/>
      <c r="D277"/>
      <c r="E277"/>
      <c r="F277" t="s">
        <v>5</v>
      </c>
    </row>
    <row r="278" spans="2:6" x14ac:dyDescent="0.2">
      <c r="B278"/>
      <c r="C278"/>
      <c r="D278"/>
      <c r="E278"/>
      <c r="F278" t="s">
        <v>6</v>
      </c>
    </row>
    <row r="279" spans="2:6" x14ac:dyDescent="0.2">
      <c r="B279"/>
      <c r="C279"/>
      <c r="D279"/>
      <c r="E279"/>
      <c r="F279" t="s">
        <v>7</v>
      </c>
    </row>
    <row r="280" spans="2:6" x14ac:dyDescent="0.2">
      <c r="B280"/>
      <c r="C280"/>
      <c r="D280"/>
      <c r="E280"/>
      <c r="F280" t="s">
        <v>8</v>
      </c>
    </row>
    <row r="281" spans="2:6" x14ac:dyDescent="0.2">
      <c r="B281"/>
      <c r="C281"/>
      <c r="D281"/>
      <c r="E281"/>
      <c r="F281" t="s">
        <v>24</v>
      </c>
    </row>
    <row r="282" spans="2:6" x14ac:dyDescent="0.2">
      <c r="B282"/>
      <c r="C282"/>
      <c r="D282"/>
      <c r="E282"/>
      <c r="F282" t="s">
        <v>25</v>
      </c>
    </row>
    <row r="283" spans="2:6" x14ac:dyDescent="0.2">
      <c r="B283"/>
      <c r="C283"/>
      <c r="D283"/>
      <c r="E283"/>
      <c r="F283" t="s">
        <v>9</v>
      </c>
    </row>
    <row r="284" spans="2:6" x14ac:dyDescent="0.2">
      <c r="B284"/>
      <c r="C284"/>
      <c r="D284"/>
      <c r="E284"/>
      <c r="F284" t="s">
        <v>27</v>
      </c>
    </row>
    <row r="285" spans="2:6" x14ac:dyDescent="0.2">
      <c r="B285"/>
      <c r="C285"/>
      <c r="D285"/>
      <c r="E285"/>
      <c r="F285" t="s">
        <v>10</v>
      </c>
    </row>
    <row r="286" spans="2:6" x14ac:dyDescent="0.2">
      <c r="B286"/>
      <c r="C286"/>
      <c r="D286"/>
      <c r="E286"/>
      <c r="F286" t="s">
        <v>28</v>
      </c>
    </row>
    <row r="287" spans="2:6" x14ac:dyDescent="0.2">
      <c r="B287"/>
      <c r="C287"/>
      <c r="D287"/>
      <c r="E287"/>
      <c r="F287" t="s">
        <v>29</v>
      </c>
    </row>
    <row r="288" spans="2:6" x14ac:dyDescent="0.2">
      <c r="B288"/>
      <c r="C288"/>
      <c r="D288"/>
      <c r="E288"/>
      <c r="F288" t="s">
        <v>13</v>
      </c>
    </row>
    <row r="289" spans="2:6" x14ac:dyDescent="0.2">
      <c r="B289"/>
      <c r="C289"/>
      <c r="D289"/>
      <c r="E289"/>
      <c r="F289" t="s">
        <v>14</v>
      </c>
    </row>
    <row r="290" spans="2:6" x14ac:dyDescent="0.2">
      <c r="B290"/>
      <c r="C290"/>
      <c r="D290"/>
      <c r="E290"/>
      <c r="F290" t="s">
        <v>15</v>
      </c>
    </row>
    <row r="291" spans="2:6" x14ac:dyDescent="0.2">
      <c r="B291"/>
      <c r="C291"/>
      <c r="D291"/>
      <c r="E291"/>
      <c r="F291" t="s">
        <v>30</v>
      </c>
    </row>
    <row r="292" spans="2:6" x14ac:dyDescent="0.2">
      <c r="B292"/>
      <c r="C292"/>
      <c r="D292"/>
      <c r="E292"/>
      <c r="F292" t="s">
        <v>53</v>
      </c>
    </row>
    <row r="293" spans="2:6" x14ac:dyDescent="0.2">
      <c r="B293"/>
      <c r="C293"/>
      <c r="D293"/>
      <c r="E293"/>
      <c r="F293" t="s">
        <v>31</v>
      </c>
    </row>
    <row r="294" spans="2:6" x14ac:dyDescent="0.2">
      <c r="B294"/>
      <c r="C294"/>
      <c r="D294"/>
      <c r="E294"/>
      <c r="F294" t="s">
        <v>32</v>
      </c>
    </row>
    <row r="295" spans="2:6" x14ac:dyDescent="0.2">
      <c r="B295"/>
      <c r="C295"/>
      <c r="D295"/>
      <c r="E295"/>
      <c r="F295" t="s">
        <v>54</v>
      </c>
    </row>
    <row r="296" spans="2:6" x14ac:dyDescent="0.2">
      <c r="B296"/>
      <c r="C296"/>
      <c r="D296"/>
      <c r="E296"/>
      <c r="F296" t="s">
        <v>38</v>
      </c>
    </row>
    <row r="297" spans="2:6" x14ac:dyDescent="0.2">
      <c r="B297"/>
      <c r="C297"/>
      <c r="D297"/>
      <c r="E297"/>
      <c r="F297" t="s">
        <v>33</v>
      </c>
    </row>
    <row r="298" spans="2:6" x14ac:dyDescent="0.2">
      <c r="B298" t="s">
        <v>1064</v>
      </c>
      <c r="C298" t="s">
        <v>1065</v>
      </c>
      <c r="D298" t="s">
        <v>969</v>
      </c>
      <c r="E298" t="s">
        <v>1146</v>
      </c>
      <c r="F298" t="s">
        <v>4</v>
      </c>
    </row>
    <row r="299" spans="2:6" x14ac:dyDescent="0.2">
      <c r="B299"/>
      <c r="C299"/>
      <c r="D299"/>
      <c r="E299"/>
      <c r="F299" t="s">
        <v>5</v>
      </c>
    </row>
    <row r="300" spans="2:6" x14ac:dyDescent="0.2">
      <c r="B300"/>
      <c r="C300"/>
      <c r="D300"/>
      <c r="E300"/>
      <c r="F300" t="s">
        <v>8</v>
      </c>
    </row>
    <row r="301" spans="2:6" x14ac:dyDescent="0.2">
      <c r="B301"/>
      <c r="C301"/>
      <c r="D301"/>
      <c r="E301"/>
      <c r="F301" t="s">
        <v>25</v>
      </c>
    </row>
    <row r="302" spans="2:6" x14ac:dyDescent="0.2">
      <c r="B302"/>
      <c r="C302"/>
      <c r="D302"/>
      <c r="E302"/>
      <c r="F302" t="s">
        <v>9</v>
      </c>
    </row>
    <row r="303" spans="2:6" x14ac:dyDescent="0.2">
      <c r="B303"/>
      <c r="C303"/>
      <c r="D303"/>
      <c r="E303"/>
      <c r="F303" t="s">
        <v>26</v>
      </c>
    </row>
    <row r="304" spans="2:6" x14ac:dyDescent="0.2">
      <c r="B304"/>
      <c r="C304"/>
      <c r="D304"/>
      <c r="E304"/>
      <c r="F304" t="s">
        <v>20</v>
      </c>
    </row>
    <row r="305" spans="2:6" x14ac:dyDescent="0.2">
      <c r="B305"/>
      <c r="C305"/>
      <c r="D305"/>
      <c r="E305"/>
      <c r="F305" t="s">
        <v>27</v>
      </c>
    </row>
    <row r="306" spans="2:6" x14ac:dyDescent="0.2">
      <c r="B306"/>
      <c r="C306"/>
      <c r="D306"/>
      <c r="E306"/>
      <c r="F306" t="s">
        <v>10</v>
      </c>
    </row>
    <row r="307" spans="2:6" x14ac:dyDescent="0.2">
      <c r="B307"/>
      <c r="C307"/>
      <c r="D307"/>
      <c r="E307"/>
      <c r="F307" t="s">
        <v>21</v>
      </c>
    </row>
    <row r="308" spans="2:6" x14ac:dyDescent="0.2">
      <c r="B308"/>
      <c r="C308"/>
      <c r="D308"/>
      <c r="E308"/>
      <c r="F308" t="s">
        <v>37</v>
      </c>
    </row>
    <row r="309" spans="2:6" x14ac:dyDescent="0.2">
      <c r="B309"/>
      <c r="C309"/>
      <c r="D309"/>
      <c r="E309"/>
      <c r="F309" t="s">
        <v>13</v>
      </c>
    </row>
    <row r="310" spans="2:6" x14ac:dyDescent="0.2">
      <c r="B310"/>
      <c r="C310"/>
      <c r="D310"/>
      <c r="E310"/>
      <c r="F310" t="s">
        <v>52</v>
      </c>
    </row>
    <row r="311" spans="2:6" x14ac:dyDescent="0.2">
      <c r="B311"/>
      <c r="C311"/>
      <c r="D311"/>
      <c r="E311"/>
      <c r="F311" t="s">
        <v>14</v>
      </c>
    </row>
    <row r="312" spans="2:6" x14ac:dyDescent="0.2">
      <c r="B312"/>
      <c r="C312"/>
      <c r="D312"/>
      <c r="E312"/>
      <c r="F312" t="s">
        <v>15</v>
      </c>
    </row>
    <row r="313" spans="2:6" x14ac:dyDescent="0.2">
      <c r="B313"/>
      <c r="C313"/>
      <c r="D313"/>
      <c r="E313"/>
      <c r="F313" t="s">
        <v>31</v>
      </c>
    </row>
    <row r="314" spans="2:6" x14ac:dyDescent="0.2">
      <c r="B314"/>
      <c r="C314"/>
      <c r="D314"/>
      <c r="E314"/>
      <c r="F314" t="s">
        <v>32</v>
      </c>
    </row>
    <row r="315" spans="2:6" x14ac:dyDescent="0.2">
      <c r="B315"/>
      <c r="C315"/>
      <c r="D315"/>
      <c r="E315"/>
      <c r="F315" t="s">
        <v>56</v>
      </c>
    </row>
    <row r="316" spans="2:6" x14ac:dyDescent="0.2">
      <c r="B316" t="s">
        <v>80</v>
      </c>
      <c r="C316" t="s">
        <v>569</v>
      </c>
      <c r="D316" t="s">
        <v>969</v>
      </c>
      <c r="E316" t="s">
        <v>1147</v>
      </c>
      <c r="F316" t="s">
        <v>81</v>
      </c>
    </row>
    <row r="317" spans="2:6" x14ac:dyDescent="0.2">
      <c r="B317"/>
      <c r="C317"/>
      <c r="D317"/>
      <c r="E317"/>
      <c r="F317" t="s">
        <v>63</v>
      </c>
    </row>
    <row r="318" spans="2:6" x14ac:dyDescent="0.2">
      <c r="B318" t="s">
        <v>82</v>
      </c>
      <c r="C318" t="s">
        <v>570</v>
      </c>
      <c r="D318" t="s">
        <v>969</v>
      </c>
      <c r="E318" t="s">
        <v>1148</v>
      </c>
      <c r="F318" t="s">
        <v>46</v>
      </c>
    </row>
    <row r="319" spans="2:6" x14ac:dyDescent="0.2">
      <c r="B319"/>
      <c r="C319"/>
      <c r="D319"/>
      <c r="E319"/>
      <c r="F319" t="s">
        <v>47</v>
      </c>
    </row>
    <row r="320" spans="2:6" x14ac:dyDescent="0.2">
      <c r="B320"/>
      <c r="C320"/>
      <c r="D320"/>
      <c r="E320"/>
      <c r="F320" t="s">
        <v>48</v>
      </c>
    </row>
    <row r="321" spans="2:6" x14ac:dyDescent="0.2">
      <c r="B321"/>
      <c r="C321"/>
      <c r="D321"/>
      <c r="E321"/>
      <c r="F321" t="s">
        <v>4</v>
      </c>
    </row>
    <row r="322" spans="2:6" x14ac:dyDescent="0.2">
      <c r="B322"/>
      <c r="C322"/>
      <c r="D322"/>
      <c r="E322"/>
      <c r="F322" t="s">
        <v>5</v>
      </c>
    </row>
    <row r="323" spans="2:6" x14ac:dyDescent="0.2">
      <c r="B323"/>
      <c r="C323"/>
      <c r="D323"/>
      <c r="E323"/>
      <c r="F323" t="s">
        <v>7</v>
      </c>
    </row>
    <row r="324" spans="2:6" x14ac:dyDescent="0.2">
      <c r="B324"/>
      <c r="C324"/>
      <c r="D324"/>
      <c r="E324"/>
      <c r="F324" t="s">
        <v>8</v>
      </c>
    </row>
    <row r="325" spans="2:6" x14ac:dyDescent="0.2">
      <c r="B325"/>
      <c r="C325"/>
      <c r="D325"/>
      <c r="E325"/>
      <c r="F325" t="s">
        <v>24</v>
      </c>
    </row>
    <row r="326" spans="2:6" x14ac:dyDescent="0.2">
      <c r="B326"/>
      <c r="C326"/>
      <c r="D326"/>
      <c r="E326"/>
      <c r="F326" t="s">
        <v>25</v>
      </c>
    </row>
    <row r="327" spans="2:6" x14ac:dyDescent="0.2">
      <c r="B327"/>
      <c r="C327"/>
      <c r="D327"/>
      <c r="E327"/>
      <c r="F327" t="s">
        <v>9</v>
      </c>
    </row>
    <row r="328" spans="2:6" x14ac:dyDescent="0.2">
      <c r="B328"/>
      <c r="C328"/>
      <c r="D328"/>
      <c r="E328"/>
      <c r="F328" t="s">
        <v>27</v>
      </c>
    </row>
    <row r="329" spans="2:6" x14ac:dyDescent="0.2">
      <c r="B329"/>
      <c r="C329"/>
      <c r="D329"/>
      <c r="E329"/>
      <c r="F329" t="s">
        <v>10</v>
      </c>
    </row>
    <row r="330" spans="2:6" x14ac:dyDescent="0.2">
      <c r="B330"/>
      <c r="C330"/>
      <c r="D330"/>
      <c r="E330"/>
      <c r="F330" t="s">
        <v>21</v>
      </c>
    </row>
    <row r="331" spans="2:6" x14ac:dyDescent="0.2">
      <c r="B331"/>
      <c r="C331"/>
      <c r="D331"/>
      <c r="E331"/>
      <c r="F331" t="s">
        <v>11</v>
      </c>
    </row>
    <row r="332" spans="2:6" x14ac:dyDescent="0.2">
      <c r="B332"/>
      <c r="C332"/>
      <c r="D332"/>
      <c r="E332"/>
      <c r="F332" t="s">
        <v>63</v>
      </c>
    </row>
    <row r="333" spans="2:6" x14ac:dyDescent="0.2">
      <c r="B333"/>
      <c r="C333"/>
      <c r="D333"/>
      <c r="E333"/>
      <c r="F333" t="s">
        <v>12</v>
      </c>
    </row>
    <row r="334" spans="2:6" x14ac:dyDescent="0.2">
      <c r="B334"/>
      <c r="C334"/>
      <c r="D334"/>
      <c r="E334"/>
      <c r="F334" t="s">
        <v>29</v>
      </c>
    </row>
    <row r="335" spans="2:6" x14ac:dyDescent="0.2">
      <c r="B335"/>
      <c r="C335"/>
      <c r="D335"/>
      <c r="E335"/>
      <c r="F335" t="s">
        <v>37</v>
      </c>
    </row>
    <row r="336" spans="2:6" x14ac:dyDescent="0.2">
      <c r="B336"/>
      <c r="C336"/>
      <c r="D336"/>
      <c r="E336"/>
      <c r="F336" t="s">
        <v>13</v>
      </c>
    </row>
    <row r="337" spans="2:6" x14ac:dyDescent="0.2">
      <c r="B337"/>
      <c r="C337"/>
      <c r="D337"/>
      <c r="E337"/>
      <c r="F337" t="s">
        <v>14</v>
      </c>
    </row>
    <row r="338" spans="2:6" x14ac:dyDescent="0.2">
      <c r="B338"/>
      <c r="C338"/>
      <c r="D338"/>
      <c r="E338"/>
      <c r="F338" t="s">
        <v>15</v>
      </c>
    </row>
    <row r="339" spans="2:6" x14ac:dyDescent="0.2">
      <c r="B339"/>
      <c r="C339"/>
      <c r="D339"/>
      <c r="E339"/>
      <c r="F339" t="s">
        <v>30</v>
      </c>
    </row>
    <row r="340" spans="2:6" x14ac:dyDescent="0.2">
      <c r="B340"/>
      <c r="C340"/>
      <c r="D340"/>
      <c r="E340"/>
      <c r="F340" t="s">
        <v>31</v>
      </c>
    </row>
    <row r="341" spans="2:6" x14ac:dyDescent="0.2">
      <c r="B341"/>
      <c r="C341"/>
      <c r="D341"/>
      <c r="E341"/>
      <c r="F341" t="s">
        <v>32</v>
      </c>
    </row>
    <row r="342" spans="2:6" x14ac:dyDescent="0.2">
      <c r="B342" t="s">
        <v>83</v>
      </c>
      <c r="C342" t="s">
        <v>571</v>
      </c>
      <c r="D342" t="s">
        <v>969</v>
      </c>
      <c r="E342" t="s">
        <v>1149</v>
      </c>
      <c r="F342" t="s">
        <v>4</v>
      </c>
    </row>
    <row r="343" spans="2:6" x14ac:dyDescent="0.2">
      <c r="B343"/>
      <c r="C343"/>
      <c r="D343"/>
      <c r="E343"/>
      <c r="F343" t="s">
        <v>5</v>
      </c>
    </row>
    <row r="344" spans="2:6" x14ac:dyDescent="0.2">
      <c r="B344"/>
      <c r="C344"/>
      <c r="D344"/>
      <c r="E344"/>
      <c r="F344" t="s">
        <v>8</v>
      </c>
    </row>
    <row r="345" spans="2:6" x14ac:dyDescent="0.2">
      <c r="B345"/>
      <c r="C345"/>
      <c r="D345"/>
      <c r="E345"/>
      <c r="F345" t="s">
        <v>25</v>
      </c>
    </row>
    <row r="346" spans="2:6" x14ac:dyDescent="0.2">
      <c r="B346"/>
      <c r="C346"/>
      <c r="D346"/>
      <c r="E346"/>
      <c r="F346" t="s">
        <v>9</v>
      </c>
    </row>
    <row r="347" spans="2:6" x14ac:dyDescent="0.2">
      <c r="B347"/>
      <c r="C347"/>
      <c r="D347"/>
      <c r="E347"/>
      <c r="F347" t="s">
        <v>27</v>
      </c>
    </row>
    <row r="348" spans="2:6" x14ac:dyDescent="0.2">
      <c r="B348"/>
      <c r="C348"/>
      <c r="D348"/>
      <c r="E348"/>
      <c r="F348" t="s">
        <v>81</v>
      </c>
    </row>
    <row r="349" spans="2:6" x14ac:dyDescent="0.2">
      <c r="B349"/>
      <c r="C349"/>
      <c r="D349"/>
      <c r="E349"/>
      <c r="F349" t="s">
        <v>10</v>
      </c>
    </row>
    <row r="350" spans="2:6" x14ac:dyDescent="0.2">
      <c r="B350"/>
      <c r="C350"/>
      <c r="D350"/>
      <c r="E350"/>
      <c r="F350" t="s">
        <v>63</v>
      </c>
    </row>
    <row r="351" spans="2:6" x14ac:dyDescent="0.2">
      <c r="B351"/>
      <c r="C351"/>
      <c r="D351"/>
      <c r="E351"/>
      <c r="F351" t="s">
        <v>29</v>
      </c>
    </row>
    <row r="352" spans="2:6" x14ac:dyDescent="0.2">
      <c r="B352"/>
      <c r="C352"/>
      <c r="D352"/>
      <c r="E352"/>
      <c r="F352" t="s">
        <v>52</v>
      </c>
    </row>
    <row r="353" spans="2:6" x14ac:dyDescent="0.2">
      <c r="B353"/>
      <c r="C353"/>
      <c r="D353"/>
      <c r="E353"/>
      <c r="F353" t="s">
        <v>14</v>
      </c>
    </row>
    <row r="354" spans="2:6" x14ac:dyDescent="0.2">
      <c r="B354"/>
      <c r="C354"/>
      <c r="D354"/>
      <c r="E354"/>
      <c r="F354" t="s">
        <v>15</v>
      </c>
    </row>
    <row r="355" spans="2:6" x14ac:dyDescent="0.2">
      <c r="B355"/>
      <c r="C355"/>
      <c r="D355"/>
      <c r="E355"/>
      <c r="F355" t="s">
        <v>32</v>
      </c>
    </row>
    <row r="356" spans="2:6" x14ac:dyDescent="0.2">
      <c r="B356" t="s">
        <v>84</v>
      </c>
      <c r="C356" t="s">
        <v>1035</v>
      </c>
      <c r="D356" t="s">
        <v>970</v>
      </c>
      <c r="E356" t="s">
        <v>965</v>
      </c>
      <c r="F356" t="s">
        <v>59</v>
      </c>
    </row>
    <row r="357" spans="2:6" x14ac:dyDescent="0.2">
      <c r="B357" t="s">
        <v>85</v>
      </c>
      <c r="C357" t="s">
        <v>572</v>
      </c>
      <c r="D357" t="s">
        <v>969</v>
      </c>
      <c r="E357" t="s">
        <v>1150</v>
      </c>
      <c r="F357" t="s">
        <v>4</v>
      </c>
    </row>
    <row r="358" spans="2:6" x14ac:dyDescent="0.2">
      <c r="B358"/>
      <c r="C358"/>
      <c r="D358"/>
      <c r="E358"/>
      <c r="F358" t="s">
        <v>5</v>
      </c>
    </row>
    <row r="359" spans="2:6" x14ac:dyDescent="0.2">
      <c r="B359"/>
      <c r="C359"/>
      <c r="D359"/>
      <c r="E359"/>
      <c r="F359" t="s">
        <v>6</v>
      </c>
    </row>
    <row r="360" spans="2:6" x14ac:dyDescent="0.2">
      <c r="B360"/>
      <c r="C360"/>
      <c r="D360"/>
      <c r="E360"/>
      <c r="F360" t="s">
        <v>7</v>
      </c>
    </row>
    <row r="361" spans="2:6" x14ac:dyDescent="0.2">
      <c r="B361"/>
      <c r="C361"/>
      <c r="D361"/>
      <c r="E361"/>
      <c r="F361" t="s">
        <v>8</v>
      </c>
    </row>
    <row r="362" spans="2:6" x14ac:dyDescent="0.2">
      <c r="B362"/>
      <c r="C362"/>
      <c r="D362"/>
      <c r="E362"/>
      <c r="F362" t="s">
        <v>24</v>
      </c>
    </row>
    <row r="363" spans="2:6" x14ac:dyDescent="0.2">
      <c r="B363"/>
      <c r="C363"/>
      <c r="D363"/>
      <c r="E363"/>
      <c r="F363" t="s">
        <v>25</v>
      </c>
    </row>
    <row r="364" spans="2:6" x14ac:dyDescent="0.2">
      <c r="B364"/>
      <c r="C364"/>
      <c r="D364"/>
      <c r="E364"/>
      <c r="F364" t="s">
        <v>9</v>
      </c>
    </row>
    <row r="365" spans="2:6" x14ac:dyDescent="0.2">
      <c r="B365"/>
      <c r="C365"/>
      <c r="D365"/>
      <c r="E365"/>
      <c r="F365" t="s">
        <v>49</v>
      </c>
    </row>
    <row r="366" spans="2:6" x14ac:dyDescent="0.2">
      <c r="B366"/>
      <c r="C366"/>
      <c r="D366"/>
      <c r="E366"/>
      <c r="F366" t="s">
        <v>27</v>
      </c>
    </row>
    <row r="367" spans="2:6" x14ac:dyDescent="0.2">
      <c r="B367"/>
      <c r="C367"/>
      <c r="D367"/>
      <c r="E367"/>
      <c r="F367" t="s">
        <v>10</v>
      </c>
    </row>
    <row r="368" spans="2:6" x14ac:dyDescent="0.2">
      <c r="B368"/>
      <c r="C368"/>
      <c r="D368"/>
      <c r="E368"/>
      <c r="F368" t="s">
        <v>21</v>
      </c>
    </row>
    <row r="369" spans="2:6" x14ac:dyDescent="0.2">
      <c r="B369"/>
      <c r="C369"/>
      <c r="D369"/>
      <c r="E369"/>
      <c r="F369" t="s">
        <v>11</v>
      </c>
    </row>
    <row r="370" spans="2:6" x14ac:dyDescent="0.2">
      <c r="B370"/>
      <c r="C370"/>
      <c r="D370"/>
      <c r="E370"/>
      <c r="F370" t="s">
        <v>22</v>
      </c>
    </row>
    <row r="371" spans="2:6" x14ac:dyDescent="0.2">
      <c r="B371"/>
      <c r="C371"/>
      <c r="D371"/>
      <c r="E371"/>
      <c r="F371" t="s">
        <v>39</v>
      </c>
    </row>
    <row r="372" spans="2:6" x14ac:dyDescent="0.2">
      <c r="B372"/>
      <c r="C372"/>
      <c r="D372"/>
      <c r="E372"/>
      <c r="F372" t="s">
        <v>12</v>
      </c>
    </row>
    <row r="373" spans="2:6" x14ac:dyDescent="0.2">
      <c r="B373"/>
      <c r="C373"/>
      <c r="D373"/>
      <c r="E373"/>
      <c r="F373" t="s">
        <v>28</v>
      </c>
    </row>
    <row r="374" spans="2:6" x14ac:dyDescent="0.2">
      <c r="B374"/>
      <c r="C374"/>
      <c r="D374"/>
      <c r="E374"/>
      <c r="F374" t="s">
        <v>29</v>
      </c>
    </row>
    <row r="375" spans="2:6" x14ac:dyDescent="0.2">
      <c r="B375"/>
      <c r="C375"/>
      <c r="D375"/>
      <c r="E375"/>
      <c r="F375" t="s">
        <v>37</v>
      </c>
    </row>
    <row r="376" spans="2:6" x14ac:dyDescent="0.2">
      <c r="B376"/>
      <c r="C376"/>
      <c r="D376"/>
      <c r="E376"/>
      <c r="F376" t="s">
        <v>13</v>
      </c>
    </row>
    <row r="377" spans="2:6" x14ac:dyDescent="0.2">
      <c r="B377"/>
      <c r="C377"/>
      <c r="D377"/>
      <c r="E377"/>
      <c r="F377" t="s">
        <v>14</v>
      </c>
    </row>
    <row r="378" spans="2:6" x14ac:dyDescent="0.2">
      <c r="B378"/>
      <c r="C378"/>
      <c r="D378"/>
      <c r="E378"/>
      <c r="F378" t="s">
        <v>15</v>
      </c>
    </row>
    <row r="379" spans="2:6" x14ac:dyDescent="0.2">
      <c r="B379"/>
      <c r="C379"/>
      <c r="D379"/>
      <c r="E379"/>
      <c r="F379" t="s">
        <v>31</v>
      </c>
    </row>
    <row r="380" spans="2:6" x14ac:dyDescent="0.2">
      <c r="B380"/>
      <c r="C380"/>
      <c r="D380"/>
      <c r="E380"/>
      <c r="F380" t="s">
        <v>32</v>
      </c>
    </row>
    <row r="381" spans="2:6" x14ac:dyDescent="0.2">
      <c r="B381" t="s">
        <v>514</v>
      </c>
      <c r="C381" t="s">
        <v>573</v>
      </c>
      <c r="D381" t="s">
        <v>969</v>
      </c>
      <c r="E381" t="s">
        <v>1151</v>
      </c>
      <c r="F381" t="s">
        <v>59</v>
      </c>
    </row>
    <row r="382" spans="2:6" x14ac:dyDescent="0.2">
      <c r="B382" t="s">
        <v>536</v>
      </c>
      <c r="C382" t="s">
        <v>574</v>
      </c>
      <c r="D382" t="s">
        <v>970</v>
      </c>
      <c r="E382" t="s">
        <v>965</v>
      </c>
      <c r="F382" t="s">
        <v>39</v>
      </c>
    </row>
    <row r="383" spans="2:6" x14ac:dyDescent="0.2">
      <c r="B383" t="s">
        <v>1112</v>
      </c>
      <c r="C383" t="s">
        <v>1114</v>
      </c>
      <c r="D383" t="s">
        <v>970</v>
      </c>
      <c r="E383" t="s">
        <v>1152</v>
      </c>
      <c r="F383" t="s">
        <v>107</v>
      </c>
    </row>
    <row r="384" spans="2:6" x14ac:dyDescent="0.2">
      <c r="B384"/>
      <c r="C384"/>
      <c r="D384"/>
      <c r="E384"/>
      <c r="F384" t="s">
        <v>108</v>
      </c>
    </row>
    <row r="385" spans="2:6" x14ac:dyDescent="0.2">
      <c r="B385" t="s">
        <v>86</v>
      </c>
      <c r="C385" t="s">
        <v>575</v>
      </c>
      <c r="D385" t="s">
        <v>969</v>
      </c>
      <c r="E385" t="s">
        <v>965</v>
      </c>
      <c r="F385" t="s">
        <v>35</v>
      </c>
    </row>
    <row r="386" spans="2:6" x14ac:dyDescent="0.2">
      <c r="B386"/>
      <c r="C386"/>
      <c r="D386"/>
      <c r="E386"/>
      <c r="F386" t="s">
        <v>36</v>
      </c>
    </row>
    <row r="387" spans="2:6" x14ac:dyDescent="0.2">
      <c r="B387"/>
      <c r="C387"/>
      <c r="D387"/>
      <c r="E387"/>
      <c r="F387" t="s">
        <v>43</v>
      </c>
    </row>
    <row r="388" spans="2:6" x14ac:dyDescent="0.2">
      <c r="B388"/>
      <c r="C388"/>
      <c r="D388"/>
      <c r="E388"/>
      <c r="F388" t="s">
        <v>44</v>
      </c>
    </row>
    <row r="389" spans="2:6" x14ac:dyDescent="0.2">
      <c r="B389"/>
      <c r="C389"/>
      <c r="D389"/>
      <c r="E389"/>
      <c r="F389" t="s">
        <v>45</v>
      </c>
    </row>
    <row r="390" spans="2:6" x14ac:dyDescent="0.2">
      <c r="B390"/>
      <c r="C390"/>
      <c r="D390"/>
      <c r="E390"/>
      <c r="F390" t="s">
        <v>46</v>
      </c>
    </row>
    <row r="391" spans="2:6" x14ac:dyDescent="0.2">
      <c r="B391"/>
      <c r="C391"/>
      <c r="D391"/>
      <c r="E391"/>
      <c r="F391" t="s">
        <v>47</v>
      </c>
    </row>
    <row r="392" spans="2:6" x14ac:dyDescent="0.2">
      <c r="B392"/>
      <c r="C392"/>
      <c r="D392"/>
      <c r="E392"/>
      <c r="F392" t="s">
        <v>4</v>
      </c>
    </row>
    <row r="393" spans="2:6" x14ac:dyDescent="0.2">
      <c r="B393"/>
      <c r="C393"/>
      <c r="D393"/>
      <c r="E393"/>
      <c r="F393" t="s">
        <v>5</v>
      </c>
    </row>
    <row r="394" spans="2:6" x14ac:dyDescent="0.2">
      <c r="B394"/>
      <c r="C394"/>
      <c r="D394"/>
      <c r="E394"/>
      <c r="F394" t="s">
        <v>6</v>
      </c>
    </row>
    <row r="395" spans="2:6" x14ac:dyDescent="0.2">
      <c r="B395"/>
      <c r="C395"/>
      <c r="D395"/>
      <c r="E395"/>
      <c r="F395" t="s">
        <v>7</v>
      </c>
    </row>
    <row r="396" spans="2:6" x14ac:dyDescent="0.2">
      <c r="B396"/>
      <c r="C396"/>
      <c r="D396"/>
      <c r="E396"/>
      <c r="F396" t="s">
        <v>8</v>
      </c>
    </row>
    <row r="397" spans="2:6" x14ac:dyDescent="0.2">
      <c r="B397"/>
      <c r="C397"/>
      <c r="D397"/>
      <c r="E397"/>
      <c r="F397" t="s">
        <v>24</v>
      </c>
    </row>
    <row r="398" spans="2:6" x14ac:dyDescent="0.2">
      <c r="B398"/>
      <c r="C398"/>
      <c r="D398"/>
      <c r="E398"/>
      <c r="F398" t="s">
        <v>25</v>
      </c>
    </row>
    <row r="399" spans="2:6" x14ac:dyDescent="0.2">
      <c r="B399"/>
      <c r="C399"/>
      <c r="D399"/>
      <c r="E399"/>
      <c r="F399" t="s">
        <v>9</v>
      </c>
    </row>
    <row r="400" spans="2:6" x14ac:dyDescent="0.2">
      <c r="B400"/>
      <c r="C400"/>
      <c r="D400"/>
      <c r="E400"/>
      <c r="F400" t="s">
        <v>26</v>
      </c>
    </row>
    <row r="401" spans="2:6" x14ac:dyDescent="0.2">
      <c r="B401"/>
      <c r="C401"/>
      <c r="D401"/>
      <c r="E401"/>
      <c r="F401" t="s">
        <v>20</v>
      </c>
    </row>
    <row r="402" spans="2:6" x14ac:dyDescent="0.2">
      <c r="B402"/>
      <c r="C402"/>
      <c r="D402"/>
      <c r="E402"/>
      <c r="F402" t="s">
        <v>27</v>
      </c>
    </row>
    <row r="403" spans="2:6" x14ac:dyDescent="0.2">
      <c r="B403"/>
      <c r="C403"/>
      <c r="D403"/>
      <c r="E403"/>
      <c r="F403" t="s">
        <v>10</v>
      </c>
    </row>
    <row r="404" spans="2:6" x14ac:dyDescent="0.2">
      <c r="B404"/>
      <c r="C404"/>
      <c r="D404"/>
      <c r="E404"/>
      <c r="F404" t="s">
        <v>21</v>
      </c>
    </row>
    <row r="405" spans="2:6" x14ac:dyDescent="0.2">
      <c r="B405"/>
      <c r="C405"/>
      <c r="D405"/>
      <c r="E405"/>
      <c r="F405" t="s">
        <v>11</v>
      </c>
    </row>
    <row r="406" spans="2:6" x14ac:dyDescent="0.2">
      <c r="B406"/>
      <c r="C406"/>
      <c r="D406"/>
      <c r="E406"/>
      <c r="F406" t="s">
        <v>51</v>
      </c>
    </row>
    <row r="407" spans="2:6" x14ac:dyDescent="0.2">
      <c r="B407"/>
      <c r="C407"/>
      <c r="D407"/>
      <c r="E407"/>
      <c r="F407" t="s">
        <v>39</v>
      </c>
    </row>
    <row r="408" spans="2:6" x14ac:dyDescent="0.2">
      <c r="B408"/>
      <c r="C408"/>
      <c r="D408"/>
      <c r="E408"/>
      <c r="F408" t="s">
        <v>12</v>
      </c>
    </row>
    <row r="409" spans="2:6" x14ac:dyDescent="0.2">
      <c r="B409"/>
      <c r="C409"/>
      <c r="D409"/>
      <c r="E409"/>
      <c r="F409" t="s">
        <v>29</v>
      </c>
    </row>
    <row r="410" spans="2:6" x14ac:dyDescent="0.2">
      <c r="B410"/>
      <c r="C410"/>
      <c r="D410"/>
      <c r="E410"/>
      <c r="F410" t="s">
        <v>37</v>
      </c>
    </row>
    <row r="411" spans="2:6" x14ac:dyDescent="0.2">
      <c r="B411"/>
      <c r="C411"/>
      <c r="D411"/>
      <c r="E411"/>
      <c r="F411" t="s">
        <v>13</v>
      </c>
    </row>
    <row r="412" spans="2:6" x14ac:dyDescent="0.2">
      <c r="B412"/>
      <c r="C412"/>
      <c r="D412"/>
      <c r="E412"/>
      <c r="F412" t="s">
        <v>52</v>
      </c>
    </row>
    <row r="413" spans="2:6" x14ac:dyDescent="0.2">
      <c r="B413"/>
      <c r="C413"/>
      <c r="D413"/>
      <c r="E413"/>
      <c r="F413" t="s">
        <v>14</v>
      </c>
    </row>
    <row r="414" spans="2:6" x14ac:dyDescent="0.2">
      <c r="B414"/>
      <c r="C414"/>
      <c r="D414"/>
      <c r="E414"/>
      <c r="F414" t="s">
        <v>15</v>
      </c>
    </row>
    <row r="415" spans="2:6" x14ac:dyDescent="0.2">
      <c r="B415"/>
      <c r="C415"/>
      <c r="D415"/>
      <c r="E415"/>
      <c r="F415" t="s">
        <v>30</v>
      </c>
    </row>
    <row r="416" spans="2:6" x14ac:dyDescent="0.2">
      <c r="B416"/>
      <c r="C416"/>
      <c r="D416"/>
      <c r="E416"/>
      <c r="F416" t="s">
        <v>53</v>
      </c>
    </row>
    <row r="417" spans="2:6" x14ac:dyDescent="0.2">
      <c r="B417"/>
      <c r="C417"/>
      <c r="D417"/>
      <c r="E417"/>
      <c r="F417" t="s">
        <v>31</v>
      </c>
    </row>
    <row r="418" spans="2:6" x14ac:dyDescent="0.2">
      <c r="B418"/>
      <c r="C418"/>
      <c r="D418"/>
      <c r="E418"/>
      <c r="F418" t="s">
        <v>32</v>
      </c>
    </row>
    <row r="419" spans="2:6" x14ac:dyDescent="0.2">
      <c r="B419"/>
      <c r="C419"/>
      <c r="D419"/>
      <c r="E419"/>
      <c r="F419" t="s">
        <v>54</v>
      </c>
    </row>
    <row r="420" spans="2:6" x14ac:dyDescent="0.2">
      <c r="B420"/>
      <c r="C420"/>
      <c r="D420"/>
      <c r="E420"/>
      <c r="F420" t="s">
        <v>38</v>
      </c>
    </row>
    <row r="421" spans="2:6" x14ac:dyDescent="0.2">
      <c r="B421"/>
      <c r="C421"/>
      <c r="D421"/>
      <c r="E421"/>
      <c r="F421" t="s">
        <v>55</v>
      </c>
    </row>
    <row r="422" spans="2:6" x14ac:dyDescent="0.2">
      <c r="B422"/>
      <c r="C422"/>
      <c r="D422"/>
      <c r="E422"/>
      <c r="F422" t="s">
        <v>56</v>
      </c>
    </row>
    <row r="423" spans="2:6" x14ac:dyDescent="0.2">
      <c r="B423"/>
      <c r="C423"/>
      <c r="D423"/>
      <c r="E423"/>
      <c r="F423" t="s">
        <v>33</v>
      </c>
    </row>
    <row r="424" spans="2:6" x14ac:dyDescent="0.2">
      <c r="B424" t="s">
        <v>1092</v>
      </c>
      <c r="C424" t="s">
        <v>576</v>
      </c>
      <c r="D424" t="s">
        <v>969</v>
      </c>
      <c r="E424" t="s">
        <v>1153</v>
      </c>
      <c r="F424" t="s">
        <v>4</v>
      </c>
    </row>
    <row r="425" spans="2:6" x14ac:dyDescent="0.2">
      <c r="B425"/>
      <c r="C425"/>
      <c r="D425"/>
      <c r="E425"/>
      <c r="F425" t="s">
        <v>5</v>
      </c>
    </row>
    <row r="426" spans="2:6" x14ac:dyDescent="0.2">
      <c r="B426"/>
      <c r="C426"/>
      <c r="D426"/>
      <c r="E426"/>
      <c r="F426" t="s">
        <v>8</v>
      </c>
    </row>
    <row r="427" spans="2:6" x14ac:dyDescent="0.2">
      <c r="B427"/>
      <c r="C427"/>
      <c r="D427"/>
      <c r="E427"/>
      <c r="F427" t="s">
        <v>9</v>
      </c>
    </row>
    <row r="428" spans="2:6" x14ac:dyDescent="0.2">
      <c r="B428"/>
      <c r="C428"/>
      <c r="D428"/>
      <c r="E428"/>
      <c r="F428" t="s">
        <v>10</v>
      </c>
    </row>
    <row r="429" spans="2:6" x14ac:dyDescent="0.2">
      <c r="B429"/>
      <c r="C429"/>
      <c r="D429"/>
      <c r="E429"/>
      <c r="F429" t="s">
        <v>12</v>
      </c>
    </row>
    <row r="430" spans="2:6" x14ac:dyDescent="0.2">
      <c r="B430"/>
      <c r="C430"/>
      <c r="D430"/>
      <c r="E430"/>
      <c r="F430" t="s">
        <v>28</v>
      </c>
    </row>
    <row r="431" spans="2:6" x14ac:dyDescent="0.2">
      <c r="B431"/>
      <c r="C431"/>
      <c r="D431"/>
      <c r="E431"/>
      <c r="F431" t="s">
        <v>29</v>
      </c>
    </row>
    <row r="432" spans="2:6" x14ac:dyDescent="0.2">
      <c r="B432"/>
      <c r="C432"/>
      <c r="D432"/>
      <c r="E432"/>
      <c r="F432" t="s">
        <v>13</v>
      </c>
    </row>
    <row r="433" spans="2:6" x14ac:dyDescent="0.2">
      <c r="B433"/>
      <c r="C433"/>
      <c r="D433"/>
      <c r="E433"/>
      <c r="F433" t="s">
        <v>15</v>
      </c>
    </row>
    <row r="434" spans="2:6" x14ac:dyDescent="0.2">
      <c r="B434"/>
      <c r="C434"/>
      <c r="D434"/>
      <c r="E434"/>
      <c r="F434" t="s">
        <v>31</v>
      </c>
    </row>
    <row r="435" spans="2:6" x14ac:dyDescent="0.2">
      <c r="B435"/>
      <c r="C435"/>
      <c r="D435"/>
      <c r="E435"/>
      <c r="F435" t="s">
        <v>32</v>
      </c>
    </row>
    <row r="436" spans="2:6" x14ac:dyDescent="0.2">
      <c r="B436" t="s">
        <v>87</v>
      </c>
      <c r="C436" t="s">
        <v>577</v>
      </c>
      <c r="D436" t="s">
        <v>969</v>
      </c>
      <c r="E436" t="s">
        <v>1154</v>
      </c>
      <c r="F436" t="s">
        <v>29</v>
      </c>
    </row>
    <row r="437" spans="2:6" x14ac:dyDescent="0.2">
      <c r="B437" t="s">
        <v>88</v>
      </c>
      <c r="C437" t="s">
        <v>578</v>
      </c>
      <c r="D437" t="s">
        <v>969</v>
      </c>
      <c r="E437" t="s">
        <v>1155</v>
      </c>
      <c r="F437" t="s">
        <v>4</v>
      </c>
    </row>
    <row r="438" spans="2:6" x14ac:dyDescent="0.2">
      <c r="B438"/>
      <c r="C438"/>
      <c r="D438"/>
      <c r="E438"/>
      <c r="F438" t="s">
        <v>5</v>
      </c>
    </row>
    <row r="439" spans="2:6" x14ac:dyDescent="0.2">
      <c r="B439"/>
      <c r="C439"/>
      <c r="D439"/>
      <c r="E439"/>
      <c r="F439" t="s">
        <v>7</v>
      </c>
    </row>
    <row r="440" spans="2:6" x14ac:dyDescent="0.2">
      <c r="B440"/>
      <c r="C440"/>
      <c r="D440"/>
      <c r="E440"/>
      <c r="F440" t="s">
        <v>8</v>
      </c>
    </row>
    <row r="441" spans="2:6" x14ac:dyDescent="0.2">
      <c r="B441"/>
      <c r="C441"/>
      <c r="D441"/>
      <c r="E441"/>
      <c r="F441" t="s">
        <v>24</v>
      </c>
    </row>
    <row r="442" spans="2:6" x14ac:dyDescent="0.2">
      <c r="B442"/>
      <c r="C442"/>
      <c r="D442"/>
      <c r="E442"/>
      <c r="F442" t="s">
        <v>25</v>
      </c>
    </row>
    <row r="443" spans="2:6" x14ac:dyDescent="0.2">
      <c r="B443"/>
      <c r="C443"/>
      <c r="D443"/>
      <c r="E443"/>
      <c r="F443" t="s">
        <v>9</v>
      </c>
    </row>
    <row r="444" spans="2:6" x14ac:dyDescent="0.2">
      <c r="B444"/>
      <c r="C444"/>
      <c r="D444"/>
      <c r="E444"/>
      <c r="F444" t="s">
        <v>27</v>
      </c>
    </row>
    <row r="445" spans="2:6" x14ac:dyDescent="0.2">
      <c r="B445"/>
      <c r="C445"/>
      <c r="D445"/>
      <c r="E445"/>
      <c r="F445" t="s">
        <v>10</v>
      </c>
    </row>
    <row r="446" spans="2:6" x14ac:dyDescent="0.2">
      <c r="B446"/>
      <c r="C446"/>
      <c r="D446"/>
      <c r="E446"/>
      <c r="F446" t="s">
        <v>39</v>
      </c>
    </row>
    <row r="447" spans="2:6" x14ac:dyDescent="0.2">
      <c r="B447"/>
      <c r="C447"/>
      <c r="D447"/>
      <c r="E447"/>
      <c r="F447" t="s">
        <v>12</v>
      </c>
    </row>
    <row r="448" spans="2:6" x14ac:dyDescent="0.2">
      <c r="B448"/>
      <c r="C448"/>
      <c r="D448"/>
      <c r="E448"/>
      <c r="F448" t="s">
        <v>29</v>
      </c>
    </row>
    <row r="449" spans="2:6" x14ac:dyDescent="0.2">
      <c r="B449"/>
      <c r="C449"/>
      <c r="D449"/>
      <c r="E449"/>
      <c r="F449" t="s">
        <v>37</v>
      </c>
    </row>
    <row r="450" spans="2:6" x14ac:dyDescent="0.2">
      <c r="B450"/>
      <c r="C450"/>
      <c r="D450"/>
      <c r="E450"/>
      <c r="F450" t="s">
        <v>13</v>
      </c>
    </row>
    <row r="451" spans="2:6" x14ac:dyDescent="0.2">
      <c r="B451"/>
      <c r="C451"/>
      <c r="D451"/>
      <c r="E451"/>
      <c r="F451" t="s">
        <v>14</v>
      </c>
    </row>
    <row r="452" spans="2:6" x14ac:dyDescent="0.2">
      <c r="B452"/>
      <c r="C452"/>
      <c r="D452"/>
      <c r="E452"/>
      <c r="F452" t="s">
        <v>15</v>
      </c>
    </row>
    <row r="453" spans="2:6" x14ac:dyDescent="0.2">
      <c r="B453"/>
      <c r="C453"/>
      <c r="D453"/>
      <c r="E453"/>
      <c r="F453" t="s">
        <v>30</v>
      </c>
    </row>
    <row r="454" spans="2:6" x14ac:dyDescent="0.2">
      <c r="B454"/>
      <c r="C454"/>
      <c r="D454"/>
      <c r="E454"/>
      <c r="F454" t="s">
        <v>31</v>
      </c>
    </row>
    <row r="455" spans="2:6" x14ac:dyDescent="0.2">
      <c r="B455"/>
      <c r="C455"/>
      <c r="D455"/>
      <c r="E455"/>
      <c r="F455" t="s">
        <v>32</v>
      </c>
    </row>
    <row r="456" spans="2:6" x14ac:dyDescent="0.2">
      <c r="B456" t="s">
        <v>89</v>
      </c>
      <c r="C456" t="s">
        <v>928</v>
      </c>
      <c r="D456" t="s">
        <v>969</v>
      </c>
      <c r="E456" t="s">
        <v>1156</v>
      </c>
      <c r="F456" t="s">
        <v>27</v>
      </c>
    </row>
    <row r="457" spans="2:6" x14ac:dyDescent="0.2">
      <c r="B457"/>
      <c r="C457"/>
      <c r="D457"/>
      <c r="E457"/>
      <c r="F457" t="s">
        <v>29</v>
      </c>
    </row>
    <row r="458" spans="2:6" x14ac:dyDescent="0.2">
      <c r="B458" t="s">
        <v>90</v>
      </c>
      <c r="C458" t="s">
        <v>861</v>
      </c>
      <c r="D458" t="s">
        <v>970</v>
      </c>
      <c r="E458" t="s">
        <v>1146</v>
      </c>
      <c r="F458" t="s">
        <v>4</v>
      </c>
    </row>
    <row r="459" spans="2:6" x14ac:dyDescent="0.2">
      <c r="B459"/>
      <c r="C459"/>
      <c r="D459"/>
      <c r="E459"/>
      <c r="F459" t="s">
        <v>5</v>
      </c>
    </row>
    <row r="460" spans="2:6" x14ac:dyDescent="0.2">
      <c r="B460"/>
      <c r="C460"/>
      <c r="D460"/>
      <c r="E460"/>
      <c r="F460" t="s">
        <v>7</v>
      </c>
    </row>
    <row r="461" spans="2:6" x14ac:dyDescent="0.2">
      <c r="B461"/>
      <c r="C461"/>
      <c r="D461"/>
      <c r="E461"/>
      <c r="F461" t="s">
        <v>8</v>
      </c>
    </row>
    <row r="462" spans="2:6" x14ac:dyDescent="0.2">
      <c r="B462"/>
      <c r="C462"/>
      <c r="D462"/>
      <c r="E462"/>
      <c r="F462" t="s">
        <v>25</v>
      </c>
    </row>
    <row r="463" spans="2:6" x14ac:dyDescent="0.2">
      <c r="B463"/>
      <c r="C463"/>
      <c r="D463"/>
      <c r="E463"/>
      <c r="F463" t="s">
        <v>9</v>
      </c>
    </row>
    <row r="464" spans="2:6" x14ac:dyDescent="0.2">
      <c r="B464"/>
      <c r="C464"/>
      <c r="D464"/>
      <c r="E464"/>
      <c r="F464" t="s">
        <v>59</v>
      </c>
    </row>
    <row r="465" spans="2:6" x14ac:dyDescent="0.2">
      <c r="B465"/>
      <c r="C465"/>
      <c r="D465"/>
      <c r="E465"/>
      <c r="F465" t="s">
        <v>10</v>
      </c>
    </row>
    <row r="466" spans="2:6" x14ac:dyDescent="0.2">
      <c r="B466"/>
      <c r="C466"/>
      <c r="D466"/>
      <c r="E466"/>
      <c r="F466" t="s">
        <v>13</v>
      </c>
    </row>
    <row r="467" spans="2:6" x14ac:dyDescent="0.2">
      <c r="B467"/>
      <c r="C467"/>
      <c r="D467"/>
      <c r="E467"/>
      <c r="F467" t="s">
        <v>15</v>
      </c>
    </row>
    <row r="468" spans="2:6" x14ac:dyDescent="0.2">
      <c r="B468"/>
      <c r="C468"/>
      <c r="D468"/>
      <c r="E468"/>
      <c r="F468" t="s">
        <v>30</v>
      </c>
    </row>
    <row r="469" spans="2:6" x14ac:dyDescent="0.2">
      <c r="B469"/>
      <c r="C469"/>
      <c r="D469"/>
      <c r="E469"/>
      <c r="F469" t="s">
        <v>31</v>
      </c>
    </row>
    <row r="470" spans="2:6" x14ac:dyDescent="0.2">
      <c r="B470"/>
      <c r="C470"/>
      <c r="D470"/>
      <c r="E470"/>
      <c r="F470" t="s">
        <v>32</v>
      </c>
    </row>
    <row r="471" spans="2:6" x14ac:dyDescent="0.2">
      <c r="B471"/>
      <c r="C471"/>
      <c r="D471"/>
      <c r="E471"/>
      <c r="F471" t="s">
        <v>54</v>
      </c>
    </row>
    <row r="472" spans="2:6" x14ac:dyDescent="0.2">
      <c r="B472"/>
      <c r="C472"/>
      <c r="D472"/>
      <c r="E472"/>
      <c r="F472" t="s">
        <v>33</v>
      </c>
    </row>
    <row r="473" spans="2:6" x14ac:dyDescent="0.2">
      <c r="B473" t="s">
        <v>933</v>
      </c>
      <c r="C473" t="s">
        <v>934</v>
      </c>
      <c r="D473" t="s">
        <v>969</v>
      </c>
      <c r="E473" t="s">
        <v>965</v>
      </c>
      <c r="F473" t="s">
        <v>27</v>
      </c>
    </row>
    <row r="474" spans="2:6" x14ac:dyDescent="0.2">
      <c r="B474" t="s">
        <v>91</v>
      </c>
      <c r="C474" t="s">
        <v>579</v>
      </c>
      <c r="D474" t="s">
        <v>969</v>
      </c>
      <c r="E474" t="s">
        <v>1124</v>
      </c>
      <c r="F474" t="s">
        <v>43</v>
      </c>
    </row>
    <row r="475" spans="2:6" x14ac:dyDescent="0.2">
      <c r="B475"/>
      <c r="C475"/>
      <c r="D475"/>
      <c r="E475"/>
      <c r="F475" t="s">
        <v>4</v>
      </c>
    </row>
    <row r="476" spans="2:6" x14ac:dyDescent="0.2">
      <c r="B476"/>
      <c r="C476"/>
      <c r="D476"/>
      <c r="E476"/>
      <c r="F476" t="s">
        <v>5</v>
      </c>
    </row>
    <row r="477" spans="2:6" x14ac:dyDescent="0.2">
      <c r="B477"/>
      <c r="C477"/>
      <c r="D477"/>
      <c r="E477"/>
      <c r="F477" t="s">
        <v>7</v>
      </c>
    </row>
    <row r="478" spans="2:6" x14ac:dyDescent="0.2">
      <c r="B478"/>
      <c r="C478"/>
      <c r="D478"/>
      <c r="E478"/>
      <c r="F478" t="s">
        <v>8</v>
      </c>
    </row>
    <row r="479" spans="2:6" x14ac:dyDescent="0.2">
      <c r="B479"/>
      <c r="C479"/>
      <c r="D479"/>
      <c r="E479"/>
      <c r="F479" t="s">
        <v>24</v>
      </c>
    </row>
    <row r="480" spans="2:6" x14ac:dyDescent="0.2">
      <c r="B480"/>
      <c r="C480"/>
      <c r="D480"/>
      <c r="E480"/>
      <c r="F480" t="s">
        <v>25</v>
      </c>
    </row>
    <row r="481" spans="2:6" x14ac:dyDescent="0.2">
      <c r="B481"/>
      <c r="C481"/>
      <c r="D481"/>
      <c r="E481"/>
      <c r="F481" t="s">
        <v>9</v>
      </c>
    </row>
    <row r="482" spans="2:6" x14ac:dyDescent="0.2">
      <c r="B482"/>
      <c r="C482"/>
      <c r="D482"/>
      <c r="E482"/>
      <c r="F482" t="s">
        <v>27</v>
      </c>
    </row>
    <row r="483" spans="2:6" x14ac:dyDescent="0.2">
      <c r="B483"/>
      <c r="C483"/>
      <c r="D483"/>
      <c r="E483"/>
      <c r="F483" t="s">
        <v>81</v>
      </c>
    </row>
    <row r="484" spans="2:6" x14ac:dyDescent="0.2">
      <c r="B484"/>
      <c r="C484"/>
      <c r="D484"/>
      <c r="E484"/>
      <c r="F484" t="s">
        <v>10</v>
      </c>
    </row>
    <row r="485" spans="2:6" x14ac:dyDescent="0.2">
      <c r="B485"/>
      <c r="C485"/>
      <c r="D485"/>
      <c r="E485"/>
      <c r="F485" t="s">
        <v>51</v>
      </c>
    </row>
    <row r="486" spans="2:6" x14ac:dyDescent="0.2">
      <c r="B486"/>
      <c r="C486"/>
      <c r="D486"/>
      <c r="E486"/>
      <c r="F486" t="s">
        <v>39</v>
      </c>
    </row>
    <row r="487" spans="2:6" x14ac:dyDescent="0.2">
      <c r="B487"/>
      <c r="C487"/>
      <c r="D487"/>
      <c r="E487"/>
      <c r="F487" t="s">
        <v>12</v>
      </c>
    </row>
    <row r="488" spans="2:6" x14ac:dyDescent="0.2">
      <c r="B488"/>
      <c r="C488"/>
      <c r="D488"/>
      <c r="E488"/>
      <c r="F488" t="s">
        <v>29</v>
      </c>
    </row>
    <row r="489" spans="2:6" x14ac:dyDescent="0.2">
      <c r="B489"/>
      <c r="C489"/>
      <c r="D489"/>
      <c r="E489"/>
      <c r="F489" t="s">
        <v>37</v>
      </c>
    </row>
    <row r="490" spans="2:6" x14ac:dyDescent="0.2">
      <c r="B490"/>
      <c r="C490"/>
      <c r="D490"/>
      <c r="E490"/>
      <c r="F490" t="s">
        <v>13</v>
      </c>
    </row>
    <row r="491" spans="2:6" x14ac:dyDescent="0.2">
      <c r="B491"/>
      <c r="C491"/>
      <c r="D491"/>
      <c r="E491"/>
      <c r="F491" t="s">
        <v>14</v>
      </c>
    </row>
    <row r="492" spans="2:6" x14ac:dyDescent="0.2">
      <c r="B492"/>
      <c r="C492"/>
      <c r="D492"/>
      <c r="E492"/>
      <c r="F492" t="s">
        <v>15</v>
      </c>
    </row>
    <row r="493" spans="2:6" x14ac:dyDescent="0.2">
      <c r="B493"/>
      <c r="C493"/>
      <c r="D493"/>
      <c r="E493"/>
      <c r="F493" t="s">
        <v>30</v>
      </c>
    </row>
    <row r="494" spans="2:6" x14ac:dyDescent="0.2">
      <c r="B494"/>
      <c r="C494"/>
      <c r="D494"/>
      <c r="E494"/>
      <c r="F494" t="s">
        <v>31</v>
      </c>
    </row>
    <row r="495" spans="2:6" x14ac:dyDescent="0.2">
      <c r="B495"/>
      <c r="C495"/>
      <c r="D495"/>
      <c r="E495"/>
      <c r="F495" t="s">
        <v>32</v>
      </c>
    </row>
    <row r="496" spans="2:6" x14ac:dyDescent="0.2">
      <c r="B496"/>
      <c r="C496"/>
      <c r="D496"/>
      <c r="E496"/>
      <c r="F496" t="s">
        <v>38</v>
      </c>
    </row>
    <row r="497" spans="2:6" x14ac:dyDescent="0.2">
      <c r="B497"/>
      <c r="C497"/>
      <c r="D497"/>
      <c r="E497"/>
      <c r="F497" t="s">
        <v>1013</v>
      </c>
    </row>
    <row r="498" spans="2:6" x14ac:dyDescent="0.2">
      <c r="B498" t="s">
        <v>92</v>
      </c>
      <c r="C498" t="s">
        <v>580</v>
      </c>
      <c r="D498" t="s">
        <v>969</v>
      </c>
      <c r="E498" t="s">
        <v>1124</v>
      </c>
      <c r="F498" t="s">
        <v>4</v>
      </c>
    </row>
    <row r="499" spans="2:6" x14ac:dyDescent="0.2">
      <c r="B499"/>
      <c r="C499"/>
      <c r="D499"/>
      <c r="E499"/>
      <c r="F499" t="s">
        <v>5</v>
      </c>
    </row>
    <row r="500" spans="2:6" x14ac:dyDescent="0.2">
      <c r="B500"/>
      <c r="C500"/>
      <c r="D500"/>
      <c r="E500"/>
      <c r="F500" t="s">
        <v>25</v>
      </c>
    </row>
    <row r="501" spans="2:6" x14ac:dyDescent="0.2">
      <c r="B501"/>
      <c r="C501"/>
      <c r="D501"/>
      <c r="E501"/>
      <c r="F501" t="s">
        <v>9</v>
      </c>
    </row>
    <row r="502" spans="2:6" x14ac:dyDescent="0.2">
      <c r="B502"/>
      <c r="C502"/>
      <c r="D502"/>
      <c r="E502"/>
      <c r="F502" t="s">
        <v>10</v>
      </c>
    </row>
    <row r="503" spans="2:6" x14ac:dyDescent="0.2">
      <c r="B503"/>
      <c r="C503"/>
      <c r="D503"/>
      <c r="E503"/>
      <c r="F503" t="s">
        <v>28</v>
      </c>
    </row>
    <row r="504" spans="2:6" x14ac:dyDescent="0.2">
      <c r="B504"/>
      <c r="C504"/>
      <c r="D504"/>
      <c r="E504"/>
      <c r="F504" t="s">
        <v>37</v>
      </c>
    </row>
    <row r="505" spans="2:6" x14ac:dyDescent="0.2">
      <c r="B505"/>
      <c r="C505"/>
      <c r="D505"/>
      <c r="E505"/>
      <c r="F505" t="s">
        <v>13</v>
      </c>
    </row>
    <row r="506" spans="2:6" x14ac:dyDescent="0.2">
      <c r="B506"/>
      <c r="C506"/>
      <c r="D506"/>
      <c r="E506"/>
      <c r="F506" t="s">
        <v>15</v>
      </c>
    </row>
    <row r="507" spans="2:6" x14ac:dyDescent="0.2">
      <c r="B507" t="s">
        <v>879</v>
      </c>
      <c r="C507" t="s">
        <v>881</v>
      </c>
      <c r="D507" t="s">
        <v>969</v>
      </c>
      <c r="E507" t="s">
        <v>1157</v>
      </c>
      <c r="F507" t="s">
        <v>70</v>
      </c>
    </row>
    <row r="508" spans="2:6" x14ac:dyDescent="0.2">
      <c r="B508" t="s">
        <v>93</v>
      </c>
      <c r="C508" t="s">
        <v>581</v>
      </c>
      <c r="D508" t="s">
        <v>969</v>
      </c>
      <c r="E508" t="s">
        <v>1158</v>
      </c>
      <c r="F508" t="s">
        <v>35</v>
      </c>
    </row>
    <row r="509" spans="2:6" x14ac:dyDescent="0.2">
      <c r="B509"/>
      <c r="C509"/>
      <c r="D509"/>
      <c r="E509"/>
      <c r="F509" t="s">
        <v>124</v>
      </c>
    </row>
    <row r="510" spans="2:6" x14ac:dyDescent="0.2">
      <c r="B510"/>
      <c r="C510"/>
      <c r="D510"/>
      <c r="E510"/>
      <c r="F510" t="s">
        <v>36</v>
      </c>
    </row>
    <row r="511" spans="2:6" x14ac:dyDescent="0.2">
      <c r="B511"/>
      <c r="C511"/>
      <c r="D511"/>
      <c r="E511"/>
      <c r="F511" t="s">
        <v>125</v>
      </c>
    </row>
    <row r="512" spans="2:6" x14ac:dyDescent="0.2">
      <c r="B512"/>
      <c r="C512"/>
      <c r="D512"/>
      <c r="E512"/>
      <c r="F512" t="s">
        <v>5</v>
      </c>
    </row>
    <row r="513" spans="2:6" x14ac:dyDescent="0.2">
      <c r="B513"/>
      <c r="C513"/>
      <c r="D513"/>
      <c r="E513"/>
      <c r="F513" t="s">
        <v>8</v>
      </c>
    </row>
    <row r="514" spans="2:6" x14ac:dyDescent="0.2">
      <c r="B514"/>
      <c r="C514"/>
      <c r="D514"/>
      <c r="E514"/>
      <c r="F514" t="s">
        <v>9</v>
      </c>
    </row>
    <row r="515" spans="2:6" x14ac:dyDescent="0.2">
      <c r="B515"/>
      <c r="C515"/>
      <c r="D515"/>
      <c r="E515"/>
      <c r="F515" t="s">
        <v>10</v>
      </c>
    </row>
    <row r="516" spans="2:6" x14ac:dyDescent="0.2">
      <c r="B516"/>
      <c r="C516"/>
      <c r="D516"/>
      <c r="E516"/>
      <c r="F516" t="s">
        <v>22</v>
      </c>
    </row>
    <row r="517" spans="2:6" x14ac:dyDescent="0.2">
      <c r="B517"/>
      <c r="C517"/>
      <c r="D517"/>
      <c r="E517"/>
      <c r="F517" t="s">
        <v>12</v>
      </c>
    </row>
    <row r="518" spans="2:6" x14ac:dyDescent="0.2">
      <c r="B518"/>
      <c r="C518"/>
      <c r="D518"/>
      <c r="E518"/>
      <c r="F518" t="s">
        <v>29</v>
      </c>
    </row>
    <row r="519" spans="2:6" x14ac:dyDescent="0.2">
      <c r="B519" t="s">
        <v>94</v>
      </c>
      <c r="C519" t="s">
        <v>582</v>
      </c>
      <c r="D519" t="s">
        <v>969</v>
      </c>
      <c r="E519" t="s">
        <v>1159</v>
      </c>
      <c r="F519" t="s">
        <v>5</v>
      </c>
    </row>
    <row r="520" spans="2:6" x14ac:dyDescent="0.2">
      <c r="B520"/>
      <c r="C520"/>
      <c r="D520"/>
      <c r="E520"/>
      <c r="F520" t="s">
        <v>9</v>
      </c>
    </row>
    <row r="521" spans="2:6" x14ac:dyDescent="0.2">
      <c r="B521"/>
      <c r="C521"/>
      <c r="D521"/>
      <c r="E521"/>
      <c r="F521" t="s">
        <v>10</v>
      </c>
    </row>
    <row r="522" spans="2:6" x14ac:dyDescent="0.2">
      <c r="B522"/>
      <c r="C522"/>
      <c r="D522"/>
      <c r="E522"/>
      <c r="F522" t="s">
        <v>22</v>
      </c>
    </row>
    <row r="523" spans="2:6" x14ac:dyDescent="0.2">
      <c r="B523"/>
      <c r="C523"/>
      <c r="D523"/>
      <c r="E523"/>
      <c r="F523" t="s">
        <v>12</v>
      </c>
    </row>
    <row r="524" spans="2:6" x14ac:dyDescent="0.2">
      <c r="B524"/>
      <c r="C524"/>
      <c r="D524"/>
      <c r="E524"/>
      <c r="F524" t="s">
        <v>29</v>
      </c>
    </row>
    <row r="525" spans="2:6" x14ac:dyDescent="0.2">
      <c r="B525"/>
      <c r="C525"/>
      <c r="D525"/>
      <c r="E525"/>
      <c r="F525" t="s">
        <v>37</v>
      </c>
    </row>
    <row r="526" spans="2:6" x14ac:dyDescent="0.2">
      <c r="B526"/>
      <c r="C526"/>
      <c r="D526"/>
      <c r="E526"/>
      <c r="F526" t="s">
        <v>15</v>
      </c>
    </row>
    <row r="527" spans="2:6" x14ac:dyDescent="0.2">
      <c r="B527" t="s">
        <v>938</v>
      </c>
      <c r="C527" t="s">
        <v>939</v>
      </c>
      <c r="D527" t="s">
        <v>969</v>
      </c>
      <c r="E527" t="s">
        <v>1123</v>
      </c>
      <c r="F527" t="s">
        <v>70</v>
      </c>
    </row>
    <row r="528" spans="2:6" x14ac:dyDescent="0.2">
      <c r="B528" t="s">
        <v>1011</v>
      </c>
      <c r="C528" t="s">
        <v>1012</v>
      </c>
      <c r="D528" t="s">
        <v>969</v>
      </c>
      <c r="E528" t="s">
        <v>1124</v>
      </c>
      <c r="F528" t="s">
        <v>70</v>
      </c>
    </row>
    <row r="529" spans="2:6" x14ac:dyDescent="0.2">
      <c r="B529" t="s">
        <v>95</v>
      </c>
      <c r="C529" t="s">
        <v>583</v>
      </c>
      <c r="D529" t="s">
        <v>969</v>
      </c>
      <c r="E529" t="s">
        <v>1160</v>
      </c>
      <c r="F529" t="s">
        <v>43</v>
      </c>
    </row>
    <row r="530" spans="2:6" x14ac:dyDescent="0.2">
      <c r="B530"/>
      <c r="C530"/>
      <c r="D530"/>
      <c r="E530"/>
      <c r="F530" t="s">
        <v>44</v>
      </c>
    </row>
    <row r="531" spans="2:6" x14ac:dyDescent="0.2">
      <c r="B531"/>
      <c r="C531"/>
      <c r="D531"/>
      <c r="E531"/>
      <c r="F531" t="s">
        <v>4</v>
      </c>
    </row>
    <row r="532" spans="2:6" x14ac:dyDescent="0.2">
      <c r="B532"/>
      <c r="C532"/>
      <c r="D532"/>
      <c r="E532"/>
      <c r="F532" t="s">
        <v>5</v>
      </c>
    </row>
    <row r="533" spans="2:6" x14ac:dyDescent="0.2">
      <c r="B533"/>
      <c r="C533"/>
      <c r="D533"/>
      <c r="E533"/>
      <c r="F533" t="s">
        <v>6</v>
      </c>
    </row>
    <row r="534" spans="2:6" x14ac:dyDescent="0.2">
      <c r="B534"/>
      <c r="C534"/>
      <c r="D534"/>
      <c r="E534"/>
      <c r="F534" t="s">
        <v>7</v>
      </c>
    </row>
    <row r="535" spans="2:6" x14ac:dyDescent="0.2">
      <c r="B535"/>
      <c r="C535"/>
      <c r="D535"/>
      <c r="E535"/>
      <c r="F535" t="s">
        <v>8</v>
      </c>
    </row>
    <row r="536" spans="2:6" x14ac:dyDescent="0.2">
      <c r="B536"/>
      <c r="C536"/>
      <c r="D536"/>
      <c r="E536"/>
      <c r="F536" t="s">
        <v>24</v>
      </c>
    </row>
    <row r="537" spans="2:6" x14ac:dyDescent="0.2">
      <c r="B537"/>
      <c r="C537"/>
      <c r="D537"/>
      <c r="E537"/>
      <c r="F537" t="s">
        <v>25</v>
      </c>
    </row>
    <row r="538" spans="2:6" x14ac:dyDescent="0.2">
      <c r="B538"/>
      <c r="C538"/>
      <c r="D538"/>
      <c r="E538"/>
      <c r="F538" t="s">
        <v>9</v>
      </c>
    </row>
    <row r="539" spans="2:6" x14ac:dyDescent="0.2">
      <c r="B539"/>
      <c r="C539"/>
      <c r="D539"/>
      <c r="E539"/>
      <c r="F539" t="s">
        <v>26</v>
      </c>
    </row>
    <row r="540" spans="2:6" x14ac:dyDescent="0.2">
      <c r="B540"/>
      <c r="C540"/>
      <c r="D540"/>
      <c r="E540"/>
      <c r="F540" t="s">
        <v>20</v>
      </c>
    </row>
    <row r="541" spans="2:6" x14ac:dyDescent="0.2">
      <c r="B541"/>
      <c r="C541"/>
      <c r="D541"/>
      <c r="E541"/>
      <c r="F541" t="s">
        <v>49</v>
      </c>
    </row>
    <row r="542" spans="2:6" x14ac:dyDescent="0.2">
      <c r="B542"/>
      <c r="C542"/>
      <c r="D542"/>
      <c r="E542"/>
      <c r="F542" t="s">
        <v>27</v>
      </c>
    </row>
    <row r="543" spans="2:6" x14ac:dyDescent="0.2">
      <c r="B543"/>
      <c r="C543"/>
      <c r="D543"/>
      <c r="E543"/>
      <c r="F543" t="s">
        <v>10</v>
      </c>
    </row>
    <row r="544" spans="2:6" x14ac:dyDescent="0.2">
      <c r="B544"/>
      <c r="C544"/>
      <c r="D544"/>
      <c r="E544"/>
      <c r="F544" t="s">
        <v>21</v>
      </c>
    </row>
    <row r="545" spans="2:6" x14ac:dyDescent="0.2">
      <c r="B545"/>
      <c r="C545"/>
      <c r="D545"/>
      <c r="E545"/>
      <c r="F545" t="s">
        <v>11</v>
      </c>
    </row>
    <row r="546" spans="2:6" x14ac:dyDescent="0.2">
      <c r="B546"/>
      <c r="C546"/>
      <c r="D546"/>
      <c r="E546"/>
      <c r="F546" t="s">
        <v>22</v>
      </c>
    </row>
    <row r="547" spans="2:6" x14ac:dyDescent="0.2">
      <c r="B547"/>
      <c r="C547"/>
      <c r="D547"/>
      <c r="E547"/>
      <c r="F547" t="s">
        <v>39</v>
      </c>
    </row>
    <row r="548" spans="2:6" x14ac:dyDescent="0.2">
      <c r="B548"/>
      <c r="C548"/>
      <c r="D548"/>
      <c r="E548"/>
      <c r="F548" t="s">
        <v>12</v>
      </c>
    </row>
    <row r="549" spans="2:6" x14ac:dyDescent="0.2">
      <c r="B549"/>
      <c r="C549"/>
      <c r="D549"/>
      <c r="E549"/>
      <c r="F549" t="s">
        <v>29</v>
      </c>
    </row>
    <row r="550" spans="2:6" x14ac:dyDescent="0.2">
      <c r="B550"/>
      <c r="C550"/>
      <c r="D550"/>
      <c r="E550"/>
      <c r="F550" t="s">
        <v>37</v>
      </c>
    </row>
    <row r="551" spans="2:6" x14ac:dyDescent="0.2">
      <c r="B551"/>
      <c r="C551"/>
      <c r="D551"/>
      <c r="E551"/>
      <c r="F551" t="s">
        <v>13</v>
      </c>
    </row>
    <row r="552" spans="2:6" x14ac:dyDescent="0.2">
      <c r="B552"/>
      <c r="C552"/>
      <c r="D552"/>
      <c r="E552"/>
      <c r="F552" t="s">
        <v>52</v>
      </c>
    </row>
    <row r="553" spans="2:6" x14ac:dyDescent="0.2">
      <c r="B553"/>
      <c r="C553"/>
      <c r="D553"/>
      <c r="E553"/>
      <c r="F553" t="s">
        <v>14</v>
      </c>
    </row>
    <row r="554" spans="2:6" x14ac:dyDescent="0.2">
      <c r="B554"/>
      <c r="C554"/>
      <c r="D554"/>
      <c r="E554"/>
      <c r="F554" t="s">
        <v>15</v>
      </c>
    </row>
    <row r="555" spans="2:6" x14ac:dyDescent="0.2">
      <c r="B555"/>
      <c r="C555"/>
      <c r="D555"/>
      <c r="E555"/>
      <c r="F555" t="s">
        <v>30</v>
      </c>
    </row>
    <row r="556" spans="2:6" x14ac:dyDescent="0.2">
      <c r="B556"/>
      <c r="C556"/>
      <c r="D556"/>
      <c r="E556"/>
      <c r="F556" t="s">
        <v>31</v>
      </c>
    </row>
    <row r="557" spans="2:6" x14ac:dyDescent="0.2">
      <c r="B557"/>
      <c r="C557"/>
      <c r="D557"/>
      <c r="E557"/>
      <c r="F557" t="s">
        <v>32</v>
      </c>
    </row>
    <row r="558" spans="2:6" x14ac:dyDescent="0.2">
      <c r="B558" t="s">
        <v>96</v>
      </c>
      <c r="C558" t="s">
        <v>584</v>
      </c>
      <c r="D558" t="s">
        <v>969</v>
      </c>
      <c r="E558" t="s">
        <v>965</v>
      </c>
      <c r="F558" t="s">
        <v>35</v>
      </c>
    </row>
    <row r="559" spans="2:6" x14ac:dyDescent="0.2">
      <c r="B559"/>
      <c r="C559"/>
      <c r="D559"/>
      <c r="E559"/>
      <c r="F559" t="s">
        <v>36</v>
      </c>
    </row>
    <row r="560" spans="2:6" x14ac:dyDescent="0.2">
      <c r="B560"/>
      <c r="C560"/>
      <c r="D560"/>
      <c r="E560"/>
      <c r="F560" t="s">
        <v>125</v>
      </c>
    </row>
    <row r="561" spans="2:6" x14ac:dyDescent="0.2">
      <c r="B561"/>
      <c r="C561"/>
      <c r="D561"/>
      <c r="E561"/>
      <c r="F561" t="s">
        <v>42</v>
      </c>
    </row>
    <row r="562" spans="2:6" x14ac:dyDescent="0.2">
      <c r="B562"/>
      <c r="C562"/>
      <c r="D562"/>
      <c r="E562"/>
      <c r="F562" t="s">
        <v>43</v>
      </c>
    </row>
    <row r="563" spans="2:6" x14ac:dyDescent="0.2">
      <c r="B563"/>
      <c r="C563"/>
      <c r="D563"/>
      <c r="E563"/>
      <c r="F563" t="s">
        <v>44</v>
      </c>
    </row>
    <row r="564" spans="2:6" x14ac:dyDescent="0.2">
      <c r="B564"/>
      <c r="C564"/>
      <c r="D564"/>
      <c r="E564"/>
      <c r="F564" t="s">
        <v>4</v>
      </c>
    </row>
    <row r="565" spans="2:6" x14ac:dyDescent="0.2">
      <c r="B565"/>
      <c r="C565"/>
      <c r="D565"/>
      <c r="E565"/>
      <c r="F565" t="s">
        <v>5</v>
      </c>
    </row>
    <row r="566" spans="2:6" x14ac:dyDescent="0.2">
      <c r="B566"/>
      <c r="C566"/>
      <c r="D566"/>
      <c r="E566"/>
      <c r="F566" t="s">
        <v>6</v>
      </c>
    </row>
    <row r="567" spans="2:6" x14ac:dyDescent="0.2">
      <c r="B567"/>
      <c r="C567"/>
      <c r="D567"/>
      <c r="E567"/>
      <c r="F567" t="s">
        <v>7</v>
      </c>
    </row>
    <row r="568" spans="2:6" x14ac:dyDescent="0.2">
      <c r="B568"/>
      <c r="C568"/>
      <c r="D568"/>
      <c r="E568"/>
      <c r="F568" t="s">
        <v>8</v>
      </c>
    </row>
    <row r="569" spans="2:6" x14ac:dyDescent="0.2">
      <c r="B569"/>
      <c r="C569"/>
      <c r="D569"/>
      <c r="E569"/>
      <c r="F569" t="s">
        <v>24</v>
      </c>
    </row>
    <row r="570" spans="2:6" x14ac:dyDescent="0.2">
      <c r="B570"/>
      <c r="C570"/>
      <c r="D570"/>
      <c r="E570"/>
      <c r="F570" t="s">
        <v>25</v>
      </c>
    </row>
    <row r="571" spans="2:6" x14ac:dyDescent="0.2">
      <c r="B571"/>
      <c r="C571"/>
      <c r="D571"/>
      <c r="E571"/>
      <c r="F571" t="s">
        <v>9</v>
      </c>
    </row>
    <row r="572" spans="2:6" x14ac:dyDescent="0.2">
      <c r="B572"/>
      <c r="C572"/>
      <c r="D572"/>
      <c r="E572"/>
      <c r="F572" t="s">
        <v>26</v>
      </c>
    </row>
    <row r="573" spans="2:6" x14ac:dyDescent="0.2">
      <c r="B573"/>
      <c r="C573"/>
      <c r="D573"/>
      <c r="E573"/>
      <c r="F573" t="s">
        <v>20</v>
      </c>
    </row>
    <row r="574" spans="2:6" x14ac:dyDescent="0.2">
      <c r="B574"/>
      <c r="C574"/>
      <c r="D574"/>
      <c r="E574"/>
      <c r="F574" t="s">
        <v>49</v>
      </c>
    </row>
    <row r="575" spans="2:6" x14ac:dyDescent="0.2">
      <c r="B575"/>
      <c r="C575"/>
      <c r="D575"/>
      <c r="E575"/>
      <c r="F575" t="s">
        <v>27</v>
      </c>
    </row>
    <row r="576" spans="2:6" x14ac:dyDescent="0.2">
      <c r="B576"/>
      <c r="C576"/>
      <c r="D576"/>
      <c r="E576"/>
      <c r="F576" t="s">
        <v>10</v>
      </c>
    </row>
    <row r="577" spans="2:6" x14ac:dyDescent="0.2">
      <c r="B577"/>
      <c r="C577"/>
      <c r="D577"/>
      <c r="E577"/>
      <c r="F577" t="s">
        <v>21</v>
      </c>
    </row>
    <row r="578" spans="2:6" x14ac:dyDescent="0.2">
      <c r="B578"/>
      <c r="C578"/>
      <c r="D578"/>
      <c r="E578"/>
      <c r="F578" t="s">
        <v>11</v>
      </c>
    </row>
    <row r="579" spans="2:6" x14ac:dyDescent="0.2">
      <c r="B579"/>
      <c r="C579"/>
      <c r="D579"/>
      <c r="E579"/>
      <c r="F579" t="s">
        <v>22</v>
      </c>
    </row>
    <row r="580" spans="2:6" x14ac:dyDescent="0.2">
      <c r="B580"/>
      <c r="C580"/>
      <c r="D580"/>
      <c r="E580"/>
      <c r="F580" t="s">
        <v>39</v>
      </c>
    </row>
    <row r="581" spans="2:6" x14ac:dyDescent="0.2">
      <c r="B581"/>
      <c r="C581"/>
      <c r="D581"/>
      <c r="E581"/>
      <c r="F581" t="s">
        <v>12</v>
      </c>
    </row>
    <row r="582" spans="2:6" x14ac:dyDescent="0.2">
      <c r="B582"/>
      <c r="C582"/>
      <c r="D582"/>
      <c r="E582"/>
      <c r="F582" t="s">
        <v>37</v>
      </c>
    </row>
    <row r="583" spans="2:6" x14ac:dyDescent="0.2">
      <c r="B583"/>
      <c r="C583"/>
      <c r="D583"/>
      <c r="E583"/>
      <c r="F583" t="s">
        <v>13</v>
      </c>
    </row>
    <row r="584" spans="2:6" x14ac:dyDescent="0.2">
      <c r="B584"/>
      <c r="C584"/>
      <c r="D584"/>
      <c r="E584"/>
      <c r="F584" t="s">
        <v>14</v>
      </c>
    </row>
    <row r="585" spans="2:6" x14ac:dyDescent="0.2">
      <c r="B585"/>
      <c r="C585"/>
      <c r="D585"/>
      <c r="E585"/>
      <c r="F585" t="s">
        <v>15</v>
      </c>
    </row>
    <row r="586" spans="2:6" x14ac:dyDescent="0.2">
      <c r="B586"/>
      <c r="C586"/>
      <c r="D586"/>
      <c r="E586"/>
      <c r="F586" t="s">
        <v>30</v>
      </c>
    </row>
    <row r="587" spans="2:6" x14ac:dyDescent="0.2">
      <c r="B587"/>
      <c r="C587"/>
      <c r="D587"/>
      <c r="E587"/>
      <c r="F587" t="s">
        <v>53</v>
      </c>
    </row>
    <row r="588" spans="2:6" x14ac:dyDescent="0.2">
      <c r="B588"/>
      <c r="C588"/>
      <c r="D588"/>
      <c r="E588"/>
      <c r="F588" t="s">
        <v>31</v>
      </c>
    </row>
    <row r="589" spans="2:6" x14ac:dyDescent="0.2">
      <c r="B589"/>
      <c r="C589"/>
      <c r="D589"/>
      <c r="E589"/>
      <c r="F589" t="s">
        <v>32</v>
      </c>
    </row>
    <row r="590" spans="2:6" x14ac:dyDescent="0.2">
      <c r="B590"/>
      <c r="C590"/>
      <c r="D590"/>
      <c r="E590"/>
      <c r="F590" t="s">
        <v>54</v>
      </c>
    </row>
    <row r="591" spans="2:6" x14ac:dyDescent="0.2">
      <c r="B591"/>
      <c r="C591"/>
      <c r="D591"/>
      <c r="E591"/>
      <c r="F591" t="s">
        <v>38</v>
      </c>
    </row>
    <row r="592" spans="2:6" x14ac:dyDescent="0.2">
      <c r="B592"/>
      <c r="C592"/>
      <c r="D592"/>
      <c r="E592"/>
      <c r="F592" t="s">
        <v>55</v>
      </c>
    </row>
    <row r="593" spans="2:6" x14ac:dyDescent="0.2">
      <c r="B593"/>
      <c r="C593"/>
      <c r="D593"/>
      <c r="E593"/>
      <c r="F593" t="s">
        <v>33</v>
      </c>
    </row>
    <row r="594" spans="2:6" x14ac:dyDescent="0.2">
      <c r="B594" t="s">
        <v>97</v>
      </c>
      <c r="C594" t="s">
        <v>585</v>
      </c>
      <c r="D594" t="s">
        <v>970</v>
      </c>
      <c r="E594" t="s">
        <v>1161</v>
      </c>
      <c r="F594" t="s">
        <v>125</v>
      </c>
    </row>
    <row r="595" spans="2:6" x14ac:dyDescent="0.2">
      <c r="B595"/>
      <c r="C595"/>
      <c r="D595"/>
      <c r="E595"/>
      <c r="F595" t="s">
        <v>5</v>
      </c>
    </row>
    <row r="596" spans="2:6" x14ac:dyDescent="0.2">
      <c r="B596"/>
      <c r="C596"/>
      <c r="D596"/>
      <c r="E596"/>
      <c r="F596" t="s">
        <v>8</v>
      </c>
    </row>
    <row r="597" spans="2:6" x14ac:dyDescent="0.2">
      <c r="B597"/>
      <c r="C597"/>
      <c r="D597"/>
      <c r="E597"/>
      <c r="F597" t="s">
        <v>24</v>
      </c>
    </row>
    <row r="598" spans="2:6" x14ac:dyDescent="0.2">
      <c r="B598"/>
      <c r="C598"/>
      <c r="D598"/>
      <c r="E598"/>
      <c r="F598" t="s">
        <v>25</v>
      </c>
    </row>
    <row r="599" spans="2:6" x14ac:dyDescent="0.2">
      <c r="B599"/>
      <c r="C599"/>
      <c r="D599"/>
      <c r="E599"/>
      <c r="F599" t="s">
        <v>9</v>
      </c>
    </row>
    <row r="600" spans="2:6" x14ac:dyDescent="0.2">
      <c r="B600"/>
      <c r="C600"/>
      <c r="D600"/>
      <c r="E600"/>
      <c r="F600" t="s">
        <v>21</v>
      </c>
    </row>
    <row r="601" spans="2:6" x14ac:dyDescent="0.2">
      <c r="B601"/>
      <c r="C601"/>
      <c r="D601"/>
      <c r="E601"/>
      <c r="F601" t="s">
        <v>22</v>
      </c>
    </row>
    <row r="602" spans="2:6" x14ac:dyDescent="0.2">
      <c r="B602"/>
      <c r="C602"/>
      <c r="D602"/>
      <c r="E602"/>
      <c r="F602" t="s">
        <v>31</v>
      </c>
    </row>
    <row r="603" spans="2:6" x14ac:dyDescent="0.2">
      <c r="B603"/>
      <c r="C603"/>
      <c r="D603"/>
      <c r="E603"/>
      <c r="F603" t="s">
        <v>32</v>
      </c>
    </row>
    <row r="604" spans="2:6" x14ac:dyDescent="0.2">
      <c r="B604" t="s">
        <v>586</v>
      </c>
      <c r="C604" t="s">
        <v>589</v>
      </c>
      <c r="D604" t="s">
        <v>969</v>
      </c>
      <c r="E604" t="s">
        <v>1162</v>
      </c>
      <c r="F604" t="s">
        <v>70</v>
      </c>
    </row>
    <row r="605" spans="2:6" x14ac:dyDescent="0.2">
      <c r="B605"/>
      <c r="C605"/>
      <c r="D605"/>
      <c r="E605"/>
      <c r="F605" t="s">
        <v>57</v>
      </c>
    </row>
    <row r="606" spans="2:6" x14ac:dyDescent="0.2">
      <c r="B606" t="s">
        <v>98</v>
      </c>
      <c r="C606" t="s">
        <v>590</v>
      </c>
      <c r="D606" t="s">
        <v>969</v>
      </c>
      <c r="E606" t="s">
        <v>1163</v>
      </c>
      <c r="F606" t="s">
        <v>5</v>
      </c>
    </row>
    <row r="607" spans="2:6" x14ac:dyDescent="0.2">
      <c r="B607"/>
      <c r="C607"/>
      <c r="D607"/>
      <c r="E607"/>
      <c r="F607" t="s">
        <v>25</v>
      </c>
    </row>
    <row r="608" spans="2:6" x14ac:dyDescent="0.2">
      <c r="B608"/>
      <c r="C608"/>
      <c r="D608"/>
      <c r="E608"/>
      <c r="F608" t="s">
        <v>9</v>
      </c>
    </row>
    <row r="609" spans="2:6" x14ac:dyDescent="0.2">
      <c r="B609"/>
      <c r="C609"/>
      <c r="D609"/>
      <c r="E609"/>
      <c r="F609" t="s">
        <v>27</v>
      </c>
    </row>
    <row r="610" spans="2:6" x14ac:dyDescent="0.2">
      <c r="B610"/>
      <c r="C610"/>
      <c r="D610"/>
      <c r="E610"/>
      <c r="F610" t="s">
        <v>37</v>
      </c>
    </row>
    <row r="611" spans="2:6" x14ac:dyDescent="0.2">
      <c r="B611"/>
      <c r="C611"/>
      <c r="D611"/>
      <c r="E611"/>
      <c r="F611" t="s">
        <v>13</v>
      </c>
    </row>
    <row r="612" spans="2:6" x14ac:dyDescent="0.2">
      <c r="B612"/>
      <c r="C612"/>
      <c r="D612"/>
      <c r="E612"/>
      <c r="F612" t="s">
        <v>52</v>
      </c>
    </row>
    <row r="613" spans="2:6" x14ac:dyDescent="0.2">
      <c r="B613"/>
      <c r="C613"/>
      <c r="D613"/>
      <c r="E613"/>
      <c r="F613" t="s">
        <v>14</v>
      </c>
    </row>
    <row r="614" spans="2:6" x14ac:dyDescent="0.2">
      <c r="B614" t="s">
        <v>975</v>
      </c>
      <c r="C614" t="s">
        <v>977</v>
      </c>
      <c r="D614" t="s">
        <v>969</v>
      </c>
      <c r="E614" t="s">
        <v>1164</v>
      </c>
      <c r="F614" t="s">
        <v>976</v>
      </c>
    </row>
    <row r="615" spans="2:6" x14ac:dyDescent="0.2">
      <c r="B615"/>
      <c r="C615"/>
      <c r="D615"/>
      <c r="E615"/>
      <c r="F615" t="s">
        <v>978</v>
      </c>
    </row>
    <row r="616" spans="2:6" x14ac:dyDescent="0.2">
      <c r="B616" t="s">
        <v>99</v>
      </c>
      <c r="C616" t="s">
        <v>591</v>
      </c>
      <c r="D616" t="s">
        <v>969</v>
      </c>
      <c r="E616" t="s">
        <v>1165</v>
      </c>
      <c r="F616" t="s">
        <v>70</v>
      </c>
    </row>
    <row r="617" spans="2:6" x14ac:dyDescent="0.2">
      <c r="B617" t="s">
        <v>100</v>
      </c>
      <c r="C617" t="s">
        <v>592</v>
      </c>
      <c r="D617" t="s">
        <v>969</v>
      </c>
      <c r="E617" t="s">
        <v>1163</v>
      </c>
      <c r="F617" t="s">
        <v>5</v>
      </c>
    </row>
    <row r="618" spans="2:6" x14ac:dyDescent="0.2">
      <c r="B618" t="s">
        <v>101</v>
      </c>
      <c r="C618" t="s">
        <v>593</v>
      </c>
      <c r="D618" t="s">
        <v>969</v>
      </c>
      <c r="E618" t="s">
        <v>965</v>
      </c>
      <c r="F618" t="s">
        <v>43</v>
      </c>
    </row>
    <row r="619" spans="2:6" x14ac:dyDescent="0.2">
      <c r="B619"/>
      <c r="C619"/>
      <c r="D619"/>
      <c r="E619"/>
      <c r="F619" t="s">
        <v>44</v>
      </c>
    </row>
    <row r="620" spans="2:6" x14ac:dyDescent="0.2">
      <c r="B620"/>
      <c r="C620"/>
      <c r="D620"/>
      <c r="E620"/>
      <c r="F620" t="s">
        <v>4</v>
      </c>
    </row>
    <row r="621" spans="2:6" x14ac:dyDescent="0.2">
      <c r="B621"/>
      <c r="C621"/>
      <c r="D621"/>
      <c r="E621"/>
      <c r="F621" t="s">
        <v>5</v>
      </c>
    </row>
    <row r="622" spans="2:6" x14ac:dyDescent="0.2">
      <c r="B622"/>
      <c r="C622"/>
      <c r="D622"/>
      <c r="E622"/>
      <c r="F622" t="s">
        <v>6</v>
      </c>
    </row>
    <row r="623" spans="2:6" x14ac:dyDescent="0.2">
      <c r="B623"/>
      <c r="C623"/>
      <c r="D623"/>
      <c r="E623"/>
      <c r="F623" t="s">
        <v>7</v>
      </c>
    </row>
    <row r="624" spans="2:6" x14ac:dyDescent="0.2">
      <c r="B624"/>
      <c r="C624"/>
      <c r="D624"/>
      <c r="E624"/>
      <c r="F624" t="s">
        <v>8</v>
      </c>
    </row>
    <row r="625" spans="2:6" x14ac:dyDescent="0.2">
      <c r="B625"/>
      <c r="C625"/>
      <c r="D625"/>
      <c r="E625"/>
      <c r="F625" t="s">
        <v>24</v>
      </c>
    </row>
    <row r="626" spans="2:6" x14ac:dyDescent="0.2">
      <c r="B626"/>
      <c r="C626"/>
      <c r="D626"/>
      <c r="E626"/>
      <c r="F626" t="s">
        <v>25</v>
      </c>
    </row>
    <row r="627" spans="2:6" x14ac:dyDescent="0.2">
      <c r="B627"/>
      <c r="C627"/>
      <c r="D627"/>
      <c r="E627"/>
      <c r="F627" t="s">
        <v>9</v>
      </c>
    </row>
    <row r="628" spans="2:6" x14ac:dyDescent="0.2">
      <c r="B628"/>
      <c r="C628"/>
      <c r="D628"/>
      <c r="E628"/>
      <c r="F628" t="s">
        <v>49</v>
      </c>
    </row>
    <row r="629" spans="2:6" x14ac:dyDescent="0.2">
      <c r="B629"/>
      <c r="C629"/>
      <c r="D629"/>
      <c r="E629"/>
      <c r="F629" t="s">
        <v>27</v>
      </c>
    </row>
    <row r="630" spans="2:6" x14ac:dyDescent="0.2">
      <c r="B630"/>
      <c r="C630"/>
      <c r="D630"/>
      <c r="E630"/>
      <c r="F630" t="s">
        <v>10</v>
      </c>
    </row>
    <row r="631" spans="2:6" x14ac:dyDescent="0.2">
      <c r="B631"/>
      <c r="C631"/>
      <c r="D631"/>
      <c r="E631"/>
      <c r="F631" t="s">
        <v>21</v>
      </c>
    </row>
    <row r="632" spans="2:6" x14ac:dyDescent="0.2">
      <c r="B632"/>
      <c r="C632"/>
      <c r="D632"/>
      <c r="E632"/>
      <c r="F632" t="s">
        <v>50</v>
      </c>
    </row>
    <row r="633" spans="2:6" x14ac:dyDescent="0.2">
      <c r="B633"/>
      <c r="C633"/>
      <c r="D633"/>
      <c r="E633"/>
      <c r="F633" t="s">
        <v>18</v>
      </c>
    </row>
    <row r="634" spans="2:6" x14ac:dyDescent="0.2">
      <c r="B634"/>
      <c r="C634"/>
      <c r="D634"/>
      <c r="E634"/>
      <c r="F634" t="s">
        <v>22</v>
      </c>
    </row>
    <row r="635" spans="2:6" x14ac:dyDescent="0.2">
      <c r="B635"/>
      <c r="C635"/>
      <c r="D635"/>
      <c r="E635"/>
      <c r="F635" t="s">
        <v>51</v>
      </c>
    </row>
    <row r="636" spans="2:6" x14ac:dyDescent="0.2">
      <c r="B636"/>
      <c r="C636"/>
      <c r="D636"/>
      <c r="E636"/>
      <c r="F636" t="s">
        <v>39</v>
      </c>
    </row>
    <row r="637" spans="2:6" x14ac:dyDescent="0.2">
      <c r="B637"/>
      <c r="C637"/>
      <c r="D637"/>
      <c r="E637"/>
      <c r="F637" t="s">
        <v>37</v>
      </c>
    </row>
    <row r="638" spans="2:6" x14ac:dyDescent="0.2">
      <c r="B638"/>
      <c r="C638"/>
      <c r="D638"/>
      <c r="E638"/>
      <c r="F638" t="s">
        <v>13</v>
      </c>
    </row>
    <row r="639" spans="2:6" x14ac:dyDescent="0.2">
      <c r="B639"/>
      <c r="C639"/>
      <c r="D639"/>
      <c r="E639"/>
      <c r="F639" t="s">
        <v>52</v>
      </c>
    </row>
    <row r="640" spans="2:6" x14ac:dyDescent="0.2">
      <c r="B640"/>
      <c r="C640"/>
      <c r="D640"/>
      <c r="E640"/>
      <c r="F640" t="s">
        <v>14</v>
      </c>
    </row>
    <row r="641" spans="2:6" x14ac:dyDescent="0.2">
      <c r="B641"/>
      <c r="C641"/>
      <c r="D641"/>
      <c r="E641"/>
      <c r="F641" t="s">
        <v>15</v>
      </c>
    </row>
    <row r="642" spans="2:6" x14ac:dyDescent="0.2">
      <c r="B642"/>
      <c r="C642"/>
      <c r="D642"/>
      <c r="E642"/>
      <c r="F642" t="s">
        <v>30</v>
      </c>
    </row>
    <row r="643" spans="2:6" x14ac:dyDescent="0.2">
      <c r="B643"/>
      <c r="C643"/>
      <c r="D643"/>
      <c r="E643"/>
      <c r="F643" t="s">
        <v>53</v>
      </c>
    </row>
    <row r="644" spans="2:6" x14ac:dyDescent="0.2">
      <c r="B644"/>
      <c r="C644"/>
      <c r="D644"/>
      <c r="E644"/>
      <c r="F644" t="s">
        <v>31</v>
      </c>
    </row>
    <row r="645" spans="2:6" x14ac:dyDescent="0.2">
      <c r="B645"/>
      <c r="C645"/>
      <c r="D645"/>
      <c r="E645"/>
      <c r="F645" t="s">
        <v>32</v>
      </c>
    </row>
    <row r="646" spans="2:6" x14ac:dyDescent="0.2">
      <c r="B646"/>
      <c r="C646"/>
      <c r="D646"/>
      <c r="E646"/>
      <c r="F646" t="s">
        <v>56</v>
      </c>
    </row>
    <row r="647" spans="2:6" x14ac:dyDescent="0.2">
      <c r="B647"/>
      <c r="C647"/>
      <c r="D647"/>
      <c r="E647"/>
      <c r="F647" t="s">
        <v>33</v>
      </c>
    </row>
    <row r="648" spans="2:6" x14ac:dyDescent="0.2">
      <c r="B648"/>
      <c r="C648"/>
      <c r="D648"/>
      <c r="E648"/>
      <c r="F648" t="s">
        <v>57</v>
      </c>
    </row>
    <row r="649" spans="2:6" x14ac:dyDescent="0.2">
      <c r="B649"/>
      <c r="C649"/>
      <c r="D649"/>
      <c r="E649"/>
      <c r="F649" t="s">
        <v>1004</v>
      </c>
    </row>
    <row r="650" spans="2:6" x14ac:dyDescent="0.2">
      <c r="B650" t="s">
        <v>102</v>
      </c>
      <c r="C650" t="s">
        <v>594</v>
      </c>
      <c r="D650" t="s">
        <v>969</v>
      </c>
      <c r="E650" t="s">
        <v>1130</v>
      </c>
      <c r="F650" t="s">
        <v>5</v>
      </c>
    </row>
    <row r="651" spans="2:6" x14ac:dyDescent="0.2">
      <c r="B651"/>
      <c r="C651"/>
      <c r="D651"/>
      <c r="E651"/>
      <c r="F651" t="s">
        <v>7</v>
      </c>
    </row>
    <row r="652" spans="2:6" x14ac:dyDescent="0.2">
      <c r="B652"/>
      <c r="C652"/>
      <c r="D652"/>
      <c r="E652"/>
      <c r="F652" t="s">
        <v>8</v>
      </c>
    </row>
    <row r="653" spans="2:6" x14ac:dyDescent="0.2">
      <c r="B653"/>
      <c r="C653"/>
      <c r="D653"/>
      <c r="E653"/>
      <c r="F653" t="s">
        <v>25</v>
      </c>
    </row>
    <row r="654" spans="2:6" x14ac:dyDescent="0.2">
      <c r="B654"/>
      <c r="C654"/>
      <c r="D654"/>
      <c r="E654"/>
      <c r="F654" t="s">
        <v>9</v>
      </c>
    </row>
    <row r="655" spans="2:6" x14ac:dyDescent="0.2">
      <c r="B655"/>
      <c r="C655"/>
      <c r="D655"/>
      <c r="E655"/>
      <c r="F655" t="s">
        <v>29</v>
      </c>
    </row>
    <row r="656" spans="2:6" x14ac:dyDescent="0.2">
      <c r="B656"/>
      <c r="C656"/>
      <c r="D656"/>
      <c r="E656"/>
      <c r="F656" t="s">
        <v>37</v>
      </c>
    </row>
    <row r="657" spans="2:6" x14ac:dyDescent="0.2">
      <c r="B657"/>
      <c r="C657"/>
      <c r="D657"/>
      <c r="E657"/>
      <c r="F657" t="s">
        <v>15</v>
      </c>
    </row>
    <row r="658" spans="2:6" x14ac:dyDescent="0.2">
      <c r="B658" t="s">
        <v>103</v>
      </c>
      <c r="C658" t="s">
        <v>595</v>
      </c>
      <c r="D658" t="s">
        <v>970</v>
      </c>
      <c r="E658" t="s">
        <v>1166</v>
      </c>
      <c r="F658" t="s">
        <v>10</v>
      </c>
    </row>
    <row r="659" spans="2:6" x14ac:dyDescent="0.2">
      <c r="B659" t="s">
        <v>104</v>
      </c>
      <c r="C659" t="s">
        <v>596</v>
      </c>
      <c r="D659" t="s">
        <v>970</v>
      </c>
      <c r="E659" t="s">
        <v>965</v>
      </c>
      <c r="F659" t="s">
        <v>5</v>
      </c>
    </row>
    <row r="660" spans="2:6" x14ac:dyDescent="0.2">
      <c r="B660"/>
      <c r="C660"/>
      <c r="D660"/>
      <c r="E660"/>
      <c r="F660" t="s">
        <v>10</v>
      </c>
    </row>
    <row r="661" spans="2:6" x14ac:dyDescent="0.2">
      <c r="B661"/>
      <c r="C661"/>
      <c r="D661"/>
      <c r="E661"/>
      <c r="F661" t="s">
        <v>12</v>
      </c>
    </row>
    <row r="662" spans="2:6" x14ac:dyDescent="0.2">
      <c r="B662"/>
      <c r="C662"/>
      <c r="D662"/>
      <c r="E662"/>
      <c r="F662" t="s">
        <v>13</v>
      </c>
    </row>
    <row r="663" spans="2:6" x14ac:dyDescent="0.2">
      <c r="B663"/>
      <c r="C663"/>
      <c r="D663"/>
      <c r="E663"/>
      <c r="F663" t="s">
        <v>14</v>
      </c>
    </row>
    <row r="664" spans="2:6" x14ac:dyDescent="0.2">
      <c r="B664" t="s">
        <v>105</v>
      </c>
      <c r="C664" t="s">
        <v>597</v>
      </c>
      <c r="D664" t="s">
        <v>969</v>
      </c>
      <c r="E664" t="s">
        <v>1167</v>
      </c>
      <c r="F664" t="s">
        <v>5</v>
      </c>
    </row>
    <row r="665" spans="2:6" x14ac:dyDescent="0.2">
      <c r="B665"/>
      <c r="C665"/>
      <c r="D665"/>
      <c r="E665"/>
      <c r="F665" t="s">
        <v>10</v>
      </c>
    </row>
    <row r="666" spans="2:6" x14ac:dyDescent="0.2">
      <c r="B666"/>
      <c r="C666"/>
      <c r="D666"/>
      <c r="E666"/>
      <c r="F666" t="s">
        <v>29</v>
      </c>
    </row>
    <row r="667" spans="2:6" x14ac:dyDescent="0.2">
      <c r="B667" t="s">
        <v>106</v>
      </c>
      <c r="C667" t="s">
        <v>598</v>
      </c>
      <c r="D667" t="s">
        <v>970</v>
      </c>
      <c r="E667" t="s">
        <v>1168</v>
      </c>
      <c r="F667" t="s">
        <v>46</v>
      </c>
    </row>
    <row r="668" spans="2:6" x14ac:dyDescent="0.2">
      <c r="B668"/>
      <c r="C668"/>
      <c r="D668"/>
      <c r="E668"/>
      <c r="F668" t="s">
        <v>107</v>
      </c>
    </row>
    <row r="669" spans="2:6" x14ac:dyDescent="0.2">
      <c r="B669"/>
      <c r="C669"/>
      <c r="D669"/>
      <c r="E669"/>
      <c r="F669" t="s">
        <v>108</v>
      </c>
    </row>
    <row r="670" spans="2:6" x14ac:dyDescent="0.2">
      <c r="B670" t="s">
        <v>109</v>
      </c>
      <c r="C670" t="s">
        <v>599</v>
      </c>
      <c r="D670" t="s">
        <v>969</v>
      </c>
      <c r="E670" t="s">
        <v>1169</v>
      </c>
      <c r="F670" t="s">
        <v>35</v>
      </c>
    </row>
    <row r="671" spans="2:6" x14ac:dyDescent="0.2">
      <c r="B671"/>
      <c r="C671"/>
      <c r="D671"/>
      <c r="E671"/>
      <c r="F671" t="s">
        <v>36</v>
      </c>
    </row>
    <row r="672" spans="2:6" x14ac:dyDescent="0.2">
      <c r="B672"/>
      <c r="C672"/>
      <c r="D672"/>
      <c r="E672"/>
      <c r="F672" t="s">
        <v>46</v>
      </c>
    </row>
    <row r="673" spans="2:6" x14ac:dyDescent="0.2">
      <c r="B673"/>
      <c r="C673"/>
      <c r="D673"/>
      <c r="E673"/>
      <c r="F673" t="s">
        <v>47</v>
      </c>
    </row>
    <row r="674" spans="2:6" x14ac:dyDescent="0.2">
      <c r="B674"/>
      <c r="C674"/>
      <c r="D674"/>
      <c r="E674"/>
      <c r="F674" t="s">
        <v>4</v>
      </c>
    </row>
    <row r="675" spans="2:6" x14ac:dyDescent="0.2">
      <c r="B675"/>
      <c r="C675"/>
      <c r="D675"/>
      <c r="E675"/>
      <c r="F675" t="s">
        <v>5</v>
      </c>
    </row>
    <row r="676" spans="2:6" x14ac:dyDescent="0.2">
      <c r="B676"/>
      <c r="C676"/>
      <c r="D676"/>
      <c r="E676"/>
      <c r="F676" t="s">
        <v>7</v>
      </c>
    </row>
    <row r="677" spans="2:6" x14ac:dyDescent="0.2">
      <c r="B677"/>
      <c r="C677"/>
      <c r="D677"/>
      <c r="E677"/>
      <c r="F677" t="s">
        <v>8</v>
      </c>
    </row>
    <row r="678" spans="2:6" x14ac:dyDescent="0.2">
      <c r="B678"/>
      <c r="C678"/>
      <c r="D678"/>
      <c r="E678"/>
      <c r="F678" t="s">
        <v>24</v>
      </c>
    </row>
    <row r="679" spans="2:6" x14ac:dyDescent="0.2">
      <c r="B679"/>
      <c r="C679"/>
      <c r="D679"/>
      <c r="E679"/>
      <c r="F679" t="s">
        <v>25</v>
      </c>
    </row>
    <row r="680" spans="2:6" x14ac:dyDescent="0.2">
      <c r="B680"/>
      <c r="C680"/>
      <c r="D680"/>
      <c r="E680"/>
      <c r="F680" t="s">
        <v>9</v>
      </c>
    </row>
    <row r="681" spans="2:6" x14ac:dyDescent="0.2">
      <c r="B681"/>
      <c r="C681"/>
      <c r="D681"/>
      <c r="E681"/>
      <c r="F681" t="s">
        <v>27</v>
      </c>
    </row>
    <row r="682" spans="2:6" x14ac:dyDescent="0.2">
      <c r="B682"/>
      <c r="C682"/>
      <c r="D682"/>
      <c r="E682"/>
      <c r="F682" t="s">
        <v>10</v>
      </c>
    </row>
    <row r="683" spans="2:6" x14ac:dyDescent="0.2">
      <c r="B683"/>
      <c r="C683"/>
      <c r="D683"/>
      <c r="E683"/>
      <c r="F683" t="s">
        <v>11</v>
      </c>
    </row>
    <row r="684" spans="2:6" x14ac:dyDescent="0.2">
      <c r="B684"/>
      <c r="C684"/>
      <c r="D684"/>
      <c r="E684"/>
      <c r="F684" t="s">
        <v>12</v>
      </c>
    </row>
    <row r="685" spans="2:6" x14ac:dyDescent="0.2">
      <c r="B685"/>
      <c r="C685"/>
      <c r="D685"/>
      <c r="E685"/>
      <c r="F685" t="s">
        <v>29</v>
      </c>
    </row>
    <row r="686" spans="2:6" x14ac:dyDescent="0.2">
      <c r="B686"/>
      <c r="C686"/>
      <c r="D686"/>
      <c r="E686"/>
      <c r="F686" t="s">
        <v>37</v>
      </c>
    </row>
    <row r="687" spans="2:6" x14ac:dyDescent="0.2">
      <c r="B687"/>
      <c r="C687"/>
      <c r="D687"/>
      <c r="E687"/>
      <c r="F687" t="s">
        <v>13</v>
      </c>
    </row>
    <row r="688" spans="2:6" x14ac:dyDescent="0.2">
      <c r="B688"/>
      <c r="C688"/>
      <c r="D688"/>
      <c r="E688"/>
      <c r="F688" t="s">
        <v>14</v>
      </c>
    </row>
    <row r="689" spans="2:6" x14ac:dyDescent="0.2">
      <c r="B689"/>
      <c r="C689"/>
      <c r="D689"/>
      <c r="E689"/>
      <c r="F689" t="s">
        <v>15</v>
      </c>
    </row>
    <row r="690" spans="2:6" x14ac:dyDescent="0.2">
      <c r="B690"/>
      <c r="C690"/>
      <c r="D690"/>
      <c r="E690"/>
      <c r="F690" t="s">
        <v>31</v>
      </c>
    </row>
    <row r="691" spans="2:6" x14ac:dyDescent="0.2">
      <c r="B691"/>
      <c r="C691"/>
      <c r="D691"/>
      <c r="E691"/>
      <c r="F691" t="s">
        <v>32</v>
      </c>
    </row>
    <row r="692" spans="2:6" x14ac:dyDescent="0.2">
      <c r="B692" t="s">
        <v>110</v>
      </c>
      <c r="C692" t="s">
        <v>600</v>
      </c>
      <c r="D692" t="s">
        <v>969</v>
      </c>
      <c r="E692" t="s">
        <v>1170</v>
      </c>
      <c r="F692" t="s">
        <v>4</v>
      </c>
    </row>
    <row r="693" spans="2:6" x14ac:dyDescent="0.2">
      <c r="B693"/>
      <c r="C693"/>
      <c r="D693"/>
      <c r="E693"/>
      <c r="F693" t="s">
        <v>5</v>
      </c>
    </row>
    <row r="694" spans="2:6" x14ac:dyDescent="0.2">
      <c r="B694"/>
      <c r="C694"/>
      <c r="D694"/>
      <c r="E694"/>
      <c r="F694" t="s">
        <v>8</v>
      </c>
    </row>
    <row r="695" spans="2:6" x14ac:dyDescent="0.2">
      <c r="B695"/>
      <c r="C695"/>
      <c r="D695"/>
      <c r="E695"/>
      <c r="F695" t="s">
        <v>24</v>
      </c>
    </row>
    <row r="696" spans="2:6" x14ac:dyDescent="0.2">
      <c r="B696"/>
      <c r="C696"/>
      <c r="D696"/>
      <c r="E696"/>
      <c r="F696" t="s">
        <v>25</v>
      </c>
    </row>
    <row r="697" spans="2:6" x14ac:dyDescent="0.2">
      <c r="B697"/>
      <c r="C697"/>
      <c r="D697"/>
      <c r="E697"/>
      <c r="F697" t="s">
        <v>9</v>
      </c>
    </row>
    <row r="698" spans="2:6" x14ac:dyDescent="0.2">
      <c r="B698"/>
      <c r="C698"/>
      <c r="D698"/>
      <c r="E698"/>
      <c r="F698" t="s">
        <v>27</v>
      </c>
    </row>
    <row r="699" spans="2:6" x14ac:dyDescent="0.2">
      <c r="B699"/>
      <c r="C699"/>
      <c r="D699"/>
      <c r="E699"/>
      <c r="F699" t="s">
        <v>10</v>
      </c>
    </row>
    <row r="700" spans="2:6" x14ac:dyDescent="0.2">
      <c r="B700"/>
      <c r="C700"/>
      <c r="D700"/>
      <c r="E700"/>
      <c r="F700" t="s">
        <v>29</v>
      </c>
    </row>
    <row r="701" spans="2:6" x14ac:dyDescent="0.2">
      <c r="B701"/>
      <c r="C701"/>
      <c r="D701"/>
      <c r="E701"/>
      <c r="F701" t="s">
        <v>14</v>
      </c>
    </row>
    <row r="702" spans="2:6" x14ac:dyDescent="0.2">
      <c r="B702"/>
      <c r="C702"/>
      <c r="D702"/>
      <c r="E702"/>
      <c r="F702" t="s">
        <v>15</v>
      </c>
    </row>
    <row r="703" spans="2:6" x14ac:dyDescent="0.2">
      <c r="B703"/>
      <c r="C703"/>
      <c r="D703"/>
      <c r="E703"/>
      <c r="F703" t="s">
        <v>30</v>
      </c>
    </row>
    <row r="704" spans="2:6" x14ac:dyDescent="0.2">
      <c r="B704"/>
      <c r="C704"/>
      <c r="D704"/>
      <c r="E704"/>
      <c r="F704" t="s">
        <v>31</v>
      </c>
    </row>
    <row r="705" spans="2:6" x14ac:dyDescent="0.2">
      <c r="B705"/>
      <c r="C705"/>
      <c r="D705"/>
      <c r="E705"/>
      <c r="F705" t="s">
        <v>32</v>
      </c>
    </row>
    <row r="706" spans="2:6" x14ac:dyDescent="0.2">
      <c r="B706"/>
      <c r="C706"/>
      <c r="D706"/>
      <c r="E706"/>
      <c r="F706" t="s">
        <v>1004</v>
      </c>
    </row>
    <row r="707" spans="2:6" x14ac:dyDescent="0.2">
      <c r="B707" t="s">
        <v>862</v>
      </c>
      <c r="C707" t="s">
        <v>863</v>
      </c>
      <c r="D707" t="s">
        <v>970</v>
      </c>
      <c r="E707" t="s">
        <v>1171</v>
      </c>
      <c r="F707" t="s">
        <v>46</v>
      </c>
    </row>
    <row r="708" spans="2:6" x14ac:dyDescent="0.2">
      <c r="B708" t="s">
        <v>1025</v>
      </c>
      <c r="C708" t="s">
        <v>1026</v>
      </c>
      <c r="D708" t="s">
        <v>969</v>
      </c>
      <c r="E708" t="s">
        <v>1172</v>
      </c>
      <c r="F708" t="s">
        <v>70</v>
      </c>
    </row>
    <row r="709" spans="2:6" x14ac:dyDescent="0.2">
      <c r="B709"/>
      <c r="C709"/>
      <c r="D709"/>
      <c r="E709"/>
      <c r="F709" t="s">
        <v>976</v>
      </c>
    </row>
    <row r="710" spans="2:6" x14ac:dyDescent="0.2">
      <c r="B710"/>
      <c r="C710"/>
      <c r="D710"/>
      <c r="E710"/>
      <c r="F710" t="s">
        <v>978</v>
      </c>
    </row>
    <row r="711" spans="2:6" x14ac:dyDescent="0.2">
      <c r="B711" t="s">
        <v>111</v>
      </c>
      <c r="C711" t="s">
        <v>601</v>
      </c>
      <c r="D711" t="s">
        <v>969</v>
      </c>
      <c r="E711" t="s">
        <v>1173</v>
      </c>
      <c r="F711" t="s">
        <v>46</v>
      </c>
    </row>
    <row r="712" spans="2:6" x14ac:dyDescent="0.2">
      <c r="B712"/>
      <c r="C712"/>
      <c r="D712"/>
      <c r="E712"/>
      <c r="F712" t="s">
        <v>47</v>
      </c>
    </row>
    <row r="713" spans="2:6" x14ac:dyDescent="0.2">
      <c r="B713"/>
      <c r="C713"/>
      <c r="D713"/>
      <c r="E713"/>
      <c r="F713" t="s">
        <v>48</v>
      </c>
    </row>
    <row r="714" spans="2:6" x14ac:dyDescent="0.2">
      <c r="B714"/>
      <c r="C714"/>
      <c r="D714"/>
      <c r="E714"/>
      <c r="F714" t="s">
        <v>107</v>
      </c>
    </row>
    <row r="715" spans="2:6" x14ac:dyDescent="0.2">
      <c r="B715"/>
      <c r="C715"/>
      <c r="D715"/>
      <c r="E715"/>
      <c r="F715" t="s">
        <v>108</v>
      </c>
    </row>
    <row r="716" spans="2:6" x14ac:dyDescent="0.2">
      <c r="B716" t="s">
        <v>112</v>
      </c>
      <c r="C716" t="s">
        <v>602</v>
      </c>
      <c r="D716" t="s">
        <v>970</v>
      </c>
      <c r="E716" t="s">
        <v>965</v>
      </c>
      <c r="F716" t="s">
        <v>35</v>
      </c>
    </row>
    <row r="717" spans="2:6" x14ac:dyDescent="0.2">
      <c r="B717"/>
      <c r="C717"/>
      <c r="D717"/>
      <c r="E717"/>
      <c r="F717" t="s">
        <v>36</v>
      </c>
    </row>
    <row r="718" spans="2:6" x14ac:dyDescent="0.2">
      <c r="B718"/>
      <c r="C718"/>
      <c r="D718"/>
      <c r="E718"/>
      <c r="F718" t="s">
        <v>4</v>
      </c>
    </row>
    <row r="719" spans="2:6" x14ac:dyDescent="0.2">
      <c r="B719"/>
      <c r="C719"/>
      <c r="D719"/>
      <c r="E719"/>
      <c r="F719" t="s">
        <v>5</v>
      </c>
    </row>
    <row r="720" spans="2:6" x14ac:dyDescent="0.2">
      <c r="B720"/>
      <c r="C720"/>
      <c r="D720"/>
      <c r="E720"/>
      <c r="F720" t="s">
        <v>25</v>
      </c>
    </row>
    <row r="721" spans="2:6" x14ac:dyDescent="0.2">
      <c r="B721"/>
      <c r="C721"/>
      <c r="D721"/>
      <c r="E721"/>
      <c r="F721" t="s">
        <v>9</v>
      </c>
    </row>
    <row r="722" spans="2:6" x14ac:dyDescent="0.2">
      <c r="B722"/>
      <c r="C722"/>
      <c r="D722"/>
      <c r="E722"/>
      <c r="F722" t="s">
        <v>27</v>
      </c>
    </row>
    <row r="723" spans="2:6" x14ac:dyDescent="0.2">
      <c r="B723"/>
      <c r="C723"/>
      <c r="D723"/>
      <c r="E723"/>
      <c r="F723" t="s">
        <v>10</v>
      </c>
    </row>
    <row r="724" spans="2:6" x14ac:dyDescent="0.2">
      <c r="B724"/>
      <c r="C724"/>
      <c r="D724"/>
      <c r="E724"/>
      <c r="F724" t="s">
        <v>51</v>
      </c>
    </row>
    <row r="725" spans="2:6" x14ac:dyDescent="0.2">
      <c r="B725"/>
      <c r="C725"/>
      <c r="D725"/>
      <c r="E725"/>
      <c r="F725" t="s">
        <v>39</v>
      </c>
    </row>
    <row r="726" spans="2:6" x14ac:dyDescent="0.2">
      <c r="B726"/>
      <c r="C726"/>
      <c r="D726"/>
      <c r="E726"/>
      <c r="F726" t="s">
        <v>56</v>
      </c>
    </row>
    <row r="727" spans="2:6" x14ac:dyDescent="0.2">
      <c r="B727"/>
      <c r="C727"/>
      <c r="D727"/>
      <c r="E727"/>
      <c r="F727" t="s">
        <v>57</v>
      </c>
    </row>
    <row r="728" spans="2:6" x14ac:dyDescent="0.2">
      <c r="B728" t="s">
        <v>113</v>
      </c>
      <c r="C728" t="s">
        <v>603</v>
      </c>
      <c r="D728" t="s">
        <v>969</v>
      </c>
      <c r="E728" t="s">
        <v>965</v>
      </c>
      <c r="F728" t="s">
        <v>4</v>
      </c>
    </row>
    <row r="729" spans="2:6" x14ac:dyDescent="0.2">
      <c r="B729"/>
      <c r="C729"/>
      <c r="D729"/>
      <c r="E729"/>
      <c r="F729" t="s">
        <v>5</v>
      </c>
    </row>
    <row r="730" spans="2:6" x14ac:dyDescent="0.2">
      <c r="B730"/>
      <c r="C730"/>
      <c r="D730"/>
      <c r="E730"/>
      <c r="F730" t="s">
        <v>6</v>
      </c>
    </row>
    <row r="731" spans="2:6" x14ac:dyDescent="0.2">
      <c r="B731"/>
      <c r="C731"/>
      <c r="D731"/>
      <c r="E731"/>
      <c r="F731" t="s">
        <v>7</v>
      </c>
    </row>
    <row r="732" spans="2:6" x14ac:dyDescent="0.2">
      <c r="B732"/>
      <c r="C732"/>
      <c r="D732"/>
      <c r="E732"/>
      <c r="F732" t="s">
        <v>8</v>
      </c>
    </row>
    <row r="733" spans="2:6" x14ac:dyDescent="0.2">
      <c r="B733"/>
      <c r="C733"/>
      <c r="D733"/>
      <c r="E733"/>
      <c r="F733" t="s">
        <v>24</v>
      </c>
    </row>
    <row r="734" spans="2:6" x14ac:dyDescent="0.2">
      <c r="B734"/>
      <c r="C734"/>
      <c r="D734"/>
      <c r="E734"/>
      <c r="F734" t="s">
        <v>25</v>
      </c>
    </row>
    <row r="735" spans="2:6" x14ac:dyDescent="0.2">
      <c r="B735"/>
      <c r="C735"/>
      <c r="D735"/>
      <c r="E735"/>
      <c r="F735" t="s">
        <v>9</v>
      </c>
    </row>
    <row r="736" spans="2:6" x14ac:dyDescent="0.2">
      <c r="B736"/>
      <c r="C736"/>
      <c r="D736"/>
      <c r="E736"/>
      <c r="F736" t="s">
        <v>26</v>
      </c>
    </row>
    <row r="737" spans="2:6" x14ac:dyDescent="0.2">
      <c r="B737"/>
      <c r="C737"/>
      <c r="D737"/>
      <c r="E737"/>
      <c r="F737" t="s">
        <v>20</v>
      </c>
    </row>
    <row r="738" spans="2:6" x14ac:dyDescent="0.2">
      <c r="B738"/>
      <c r="C738"/>
      <c r="D738"/>
      <c r="E738"/>
      <c r="F738" t="s">
        <v>49</v>
      </c>
    </row>
    <row r="739" spans="2:6" x14ac:dyDescent="0.2">
      <c r="B739"/>
      <c r="C739"/>
      <c r="D739"/>
      <c r="E739"/>
      <c r="F739" t="s">
        <v>27</v>
      </c>
    </row>
    <row r="740" spans="2:6" x14ac:dyDescent="0.2">
      <c r="B740"/>
      <c r="C740"/>
      <c r="D740"/>
      <c r="E740"/>
      <c r="F740" t="s">
        <v>10</v>
      </c>
    </row>
    <row r="741" spans="2:6" x14ac:dyDescent="0.2">
      <c r="B741"/>
      <c r="C741"/>
      <c r="D741"/>
      <c r="E741"/>
      <c r="F741" t="s">
        <v>21</v>
      </c>
    </row>
    <row r="742" spans="2:6" x14ac:dyDescent="0.2">
      <c r="B742"/>
      <c r="C742"/>
      <c r="D742"/>
      <c r="E742"/>
      <c r="F742" t="s">
        <v>22</v>
      </c>
    </row>
    <row r="743" spans="2:6" x14ac:dyDescent="0.2">
      <c r="B743"/>
      <c r="C743"/>
      <c r="D743"/>
      <c r="E743"/>
      <c r="F743" t="s">
        <v>39</v>
      </c>
    </row>
    <row r="744" spans="2:6" x14ac:dyDescent="0.2">
      <c r="B744"/>
      <c r="C744"/>
      <c r="D744"/>
      <c r="E744"/>
      <c r="F744" t="s">
        <v>12</v>
      </c>
    </row>
    <row r="745" spans="2:6" x14ac:dyDescent="0.2">
      <c r="B745"/>
      <c r="C745"/>
      <c r="D745"/>
      <c r="E745"/>
      <c r="F745" t="s">
        <v>29</v>
      </c>
    </row>
    <row r="746" spans="2:6" x14ac:dyDescent="0.2">
      <c r="B746"/>
      <c r="C746"/>
      <c r="D746"/>
      <c r="E746"/>
      <c r="F746" t="s">
        <v>37</v>
      </c>
    </row>
    <row r="747" spans="2:6" x14ac:dyDescent="0.2">
      <c r="B747"/>
      <c r="C747"/>
      <c r="D747"/>
      <c r="E747"/>
      <c r="F747" t="s">
        <v>13</v>
      </c>
    </row>
    <row r="748" spans="2:6" x14ac:dyDescent="0.2">
      <c r="B748"/>
      <c r="C748"/>
      <c r="D748"/>
      <c r="E748"/>
      <c r="F748" t="s">
        <v>14</v>
      </c>
    </row>
    <row r="749" spans="2:6" x14ac:dyDescent="0.2">
      <c r="B749"/>
      <c r="C749"/>
      <c r="D749"/>
      <c r="E749"/>
      <c r="F749" t="s">
        <v>15</v>
      </c>
    </row>
    <row r="750" spans="2:6" x14ac:dyDescent="0.2">
      <c r="B750"/>
      <c r="C750"/>
      <c r="D750"/>
      <c r="E750"/>
      <c r="F750" t="s">
        <v>30</v>
      </c>
    </row>
    <row r="751" spans="2:6" x14ac:dyDescent="0.2">
      <c r="B751"/>
      <c r="C751"/>
      <c r="D751"/>
      <c r="E751"/>
      <c r="F751" t="s">
        <v>53</v>
      </c>
    </row>
    <row r="752" spans="2:6" x14ac:dyDescent="0.2">
      <c r="B752"/>
      <c r="C752"/>
      <c r="D752"/>
      <c r="E752"/>
      <c r="F752" t="s">
        <v>31</v>
      </c>
    </row>
    <row r="753" spans="2:6" x14ac:dyDescent="0.2">
      <c r="B753"/>
      <c r="C753"/>
      <c r="D753"/>
      <c r="E753"/>
      <c r="F753" t="s">
        <v>32</v>
      </c>
    </row>
    <row r="754" spans="2:6" x14ac:dyDescent="0.2">
      <c r="B754"/>
      <c r="C754"/>
      <c r="D754"/>
      <c r="E754"/>
      <c r="F754" t="s">
        <v>54</v>
      </c>
    </row>
    <row r="755" spans="2:6" x14ac:dyDescent="0.2">
      <c r="B755"/>
      <c r="C755"/>
      <c r="D755"/>
      <c r="E755"/>
      <c r="F755" t="s">
        <v>38</v>
      </c>
    </row>
    <row r="756" spans="2:6" x14ac:dyDescent="0.2">
      <c r="B756"/>
      <c r="C756"/>
      <c r="D756"/>
      <c r="E756"/>
      <c r="F756" t="s">
        <v>55</v>
      </c>
    </row>
    <row r="757" spans="2:6" x14ac:dyDescent="0.2">
      <c r="B757" t="s">
        <v>114</v>
      </c>
      <c r="C757" t="s">
        <v>921</v>
      </c>
      <c r="D757" t="s">
        <v>969</v>
      </c>
      <c r="E757" t="s">
        <v>1174</v>
      </c>
      <c r="F757" t="s">
        <v>46</v>
      </c>
    </row>
    <row r="758" spans="2:6" x14ac:dyDescent="0.2">
      <c r="B758"/>
      <c r="C758"/>
      <c r="D758"/>
      <c r="E758"/>
      <c r="F758" t="s">
        <v>47</v>
      </c>
    </row>
    <row r="759" spans="2:6" x14ac:dyDescent="0.2">
      <c r="B759"/>
      <c r="C759"/>
      <c r="D759"/>
      <c r="E759"/>
      <c r="F759" t="s">
        <v>5</v>
      </c>
    </row>
    <row r="760" spans="2:6" x14ac:dyDescent="0.2">
      <c r="B760"/>
      <c r="C760"/>
      <c r="D760"/>
      <c r="E760"/>
      <c r="F760" t="s">
        <v>18</v>
      </c>
    </row>
    <row r="761" spans="2:6" x14ac:dyDescent="0.2">
      <c r="B761"/>
      <c r="C761"/>
      <c r="D761"/>
      <c r="E761"/>
      <c r="F761" t="s">
        <v>29</v>
      </c>
    </row>
    <row r="762" spans="2:6" x14ac:dyDescent="0.2">
      <c r="B762"/>
      <c r="C762"/>
      <c r="D762"/>
      <c r="E762"/>
      <c r="F762" t="s">
        <v>15</v>
      </c>
    </row>
    <row r="763" spans="2:6" x14ac:dyDescent="0.2">
      <c r="B763" t="s">
        <v>115</v>
      </c>
      <c r="C763" t="s">
        <v>604</v>
      </c>
      <c r="D763" t="s">
        <v>970</v>
      </c>
      <c r="E763" t="s">
        <v>1175</v>
      </c>
      <c r="F763" t="s">
        <v>47</v>
      </c>
    </row>
    <row r="764" spans="2:6" x14ac:dyDescent="0.2">
      <c r="B764"/>
      <c r="C764"/>
      <c r="D764"/>
      <c r="E764"/>
      <c r="F764" t="s">
        <v>4</v>
      </c>
    </row>
    <row r="765" spans="2:6" x14ac:dyDescent="0.2">
      <c r="B765"/>
      <c r="C765"/>
      <c r="D765"/>
      <c r="E765"/>
      <c r="F765" t="s">
        <v>5</v>
      </c>
    </row>
    <row r="766" spans="2:6" x14ac:dyDescent="0.2">
      <c r="B766"/>
      <c r="C766"/>
      <c r="D766"/>
      <c r="E766"/>
      <c r="F766" t="s">
        <v>8</v>
      </c>
    </row>
    <row r="767" spans="2:6" x14ac:dyDescent="0.2">
      <c r="B767"/>
      <c r="C767"/>
      <c r="D767"/>
      <c r="E767"/>
      <c r="F767" t="s">
        <v>25</v>
      </c>
    </row>
    <row r="768" spans="2:6" x14ac:dyDescent="0.2">
      <c r="B768"/>
      <c r="C768"/>
      <c r="D768"/>
      <c r="E768"/>
      <c r="F768" t="s">
        <v>9</v>
      </c>
    </row>
    <row r="769" spans="2:6" x14ac:dyDescent="0.2">
      <c r="B769"/>
      <c r="C769"/>
      <c r="D769"/>
      <c r="E769"/>
      <c r="F769" t="s">
        <v>10</v>
      </c>
    </row>
    <row r="770" spans="2:6" x14ac:dyDescent="0.2">
      <c r="B770"/>
      <c r="C770"/>
      <c r="D770"/>
      <c r="E770"/>
      <c r="F770" t="s">
        <v>63</v>
      </c>
    </row>
    <row r="771" spans="2:6" x14ac:dyDescent="0.2">
      <c r="B771"/>
      <c r="C771"/>
      <c r="D771"/>
      <c r="E771"/>
      <c r="F771" t="s">
        <v>12</v>
      </c>
    </row>
    <row r="772" spans="2:6" x14ac:dyDescent="0.2">
      <c r="B772"/>
      <c r="C772"/>
      <c r="D772"/>
      <c r="E772"/>
      <c r="F772" t="s">
        <v>29</v>
      </c>
    </row>
    <row r="773" spans="2:6" x14ac:dyDescent="0.2">
      <c r="B773"/>
      <c r="C773"/>
      <c r="D773"/>
      <c r="E773"/>
      <c r="F773" t="s">
        <v>13</v>
      </c>
    </row>
    <row r="774" spans="2:6" x14ac:dyDescent="0.2">
      <c r="B774"/>
      <c r="C774"/>
      <c r="D774"/>
      <c r="E774"/>
      <c r="F774" t="s">
        <v>14</v>
      </c>
    </row>
    <row r="775" spans="2:6" x14ac:dyDescent="0.2">
      <c r="B775"/>
      <c r="C775"/>
      <c r="D775"/>
      <c r="E775"/>
      <c r="F775" t="s">
        <v>15</v>
      </c>
    </row>
    <row r="776" spans="2:6" x14ac:dyDescent="0.2">
      <c r="B776"/>
      <c r="C776"/>
      <c r="D776"/>
      <c r="E776"/>
      <c r="F776" t="s">
        <v>30</v>
      </c>
    </row>
    <row r="777" spans="2:6" x14ac:dyDescent="0.2">
      <c r="B777"/>
      <c r="C777"/>
      <c r="D777"/>
      <c r="E777"/>
      <c r="F777" t="s">
        <v>53</v>
      </c>
    </row>
    <row r="778" spans="2:6" x14ac:dyDescent="0.2">
      <c r="B778"/>
      <c r="C778"/>
      <c r="D778"/>
      <c r="E778"/>
      <c r="F778" t="s">
        <v>31</v>
      </c>
    </row>
    <row r="779" spans="2:6" x14ac:dyDescent="0.2">
      <c r="B779"/>
      <c r="C779"/>
      <c r="D779"/>
      <c r="E779"/>
      <c r="F779" t="s">
        <v>32</v>
      </c>
    </row>
    <row r="780" spans="2:6" x14ac:dyDescent="0.2">
      <c r="B780" t="s">
        <v>116</v>
      </c>
      <c r="C780" t="s">
        <v>605</v>
      </c>
      <c r="D780" t="s">
        <v>969</v>
      </c>
      <c r="E780" t="s">
        <v>1155</v>
      </c>
      <c r="F780" t="s">
        <v>43</v>
      </c>
    </row>
    <row r="781" spans="2:6" x14ac:dyDescent="0.2">
      <c r="B781"/>
      <c r="C781"/>
      <c r="D781"/>
      <c r="E781"/>
      <c r="F781" t="s">
        <v>44</v>
      </c>
    </row>
    <row r="782" spans="2:6" x14ac:dyDescent="0.2">
      <c r="B782"/>
      <c r="C782"/>
      <c r="D782"/>
      <c r="E782"/>
      <c r="F782" t="s">
        <v>4</v>
      </c>
    </row>
    <row r="783" spans="2:6" x14ac:dyDescent="0.2">
      <c r="B783"/>
      <c r="C783"/>
      <c r="D783"/>
      <c r="E783"/>
      <c r="F783" t="s">
        <v>5</v>
      </c>
    </row>
    <row r="784" spans="2:6" x14ac:dyDescent="0.2">
      <c r="B784"/>
      <c r="C784"/>
      <c r="D784"/>
      <c r="E784"/>
      <c r="F784" t="s">
        <v>6</v>
      </c>
    </row>
    <row r="785" spans="2:6" x14ac:dyDescent="0.2">
      <c r="B785"/>
      <c r="C785"/>
      <c r="D785"/>
      <c r="E785"/>
      <c r="F785" t="s">
        <v>7</v>
      </c>
    </row>
    <row r="786" spans="2:6" x14ac:dyDescent="0.2">
      <c r="B786"/>
      <c r="C786"/>
      <c r="D786"/>
      <c r="E786"/>
      <c r="F786" t="s">
        <v>8</v>
      </c>
    </row>
    <row r="787" spans="2:6" x14ac:dyDescent="0.2">
      <c r="B787"/>
      <c r="C787"/>
      <c r="D787"/>
      <c r="E787"/>
      <c r="F787" t="s">
        <v>24</v>
      </c>
    </row>
    <row r="788" spans="2:6" x14ac:dyDescent="0.2">
      <c r="B788"/>
      <c r="C788"/>
      <c r="D788"/>
      <c r="E788"/>
      <c r="F788" t="s">
        <v>25</v>
      </c>
    </row>
    <row r="789" spans="2:6" x14ac:dyDescent="0.2">
      <c r="B789"/>
      <c r="C789"/>
      <c r="D789"/>
      <c r="E789"/>
      <c r="F789" t="s">
        <v>9</v>
      </c>
    </row>
    <row r="790" spans="2:6" x14ac:dyDescent="0.2">
      <c r="B790"/>
      <c r="C790"/>
      <c r="D790"/>
      <c r="E790"/>
      <c r="F790" t="s">
        <v>20</v>
      </c>
    </row>
    <row r="791" spans="2:6" x14ac:dyDescent="0.2">
      <c r="B791"/>
      <c r="C791"/>
      <c r="D791"/>
      <c r="E791"/>
      <c r="F791" t="s">
        <v>27</v>
      </c>
    </row>
    <row r="792" spans="2:6" x14ac:dyDescent="0.2">
      <c r="B792"/>
      <c r="C792"/>
      <c r="D792"/>
      <c r="E792"/>
      <c r="F792" t="s">
        <v>10</v>
      </c>
    </row>
    <row r="793" spans="2:6" x14ac:dyDescent="0.2">
      <c r="B793"/>
      <c r="C793"/>
      <c r="D793"/>
      <c r="E793"/>
      <c r="F793" t="s">
        <v>11</v>
      </c>
    </row>
    <row r="794" spans="2:6" x14ac:dyDescent="0.2">
      <c r="B794"/>
      <c r="C794"/>
      <c r="D794"/>
      <c r="E794"/>
      <c r="F794" t="s">
        <v>39</v>
      </c>
    </row>
    <row r="795" spans="2:6" x14ac:dyDescent="0.2">
      <c r="B795"/>
      <c r="C795"/>
      <c r="D795"/>
      <c r="E795"/>
      <c r="F795" t="s">
        <v>37</v>
      </c>
    </row>
    <row r="796" spans="2:6" x14ac:dyDescent="0.2">
      <c r="B796"/>
      <c r="C796"/>
      <c r="D796"/>
      <c r="E796"/>
      <c r="F796" t="s">
        <v>13</v>
      </c>
    </row>
    <row r="797" spans="2:6" x14ac:dyDescent="0.2">
      <c r="B797"/>
      <c r="C797"/>
      <c r="D797"/>
      <c r="E797"/>
      <c r="F797" t="s">
        <v>14</v>
      </c>
    </row>
    <row r="798" spans="2:6" x14ac:dyDescent="0.2">
      <c r="B798"/>
      <c r="C798"/>
      <c r="D798"/>
      <c r="E798"/>
      <c r="F798" t="s">
        <v>15</v>
      </c>
    </row>
    <row r="799" spans="2:6" x14ac:dyDescent="0.2">
      <c r="B799"/>
      <c r="C799"/>
      <c r="D799"/>
      <c r="E799"/>
      <c r="F799" t="s">
        <v>31</v>
      </c>
    </row>
    <row r="800" spans="2:6" x14ac:dyDescent="0.2">
      <c r="B800"/>
      <c r="C800"/>
      <c r="D800"/>
      <c r="E800"/>
      <c r="F800" t="s">
        <v>32</v>
      </c>
    </row>
    <row r="801" spans="2:6" x14ac:dyDescent="0.2">
      <c r="B801"/>
      <c r="C801"/>
      <c r="D801"/>
      <c r="E801"/>
      <c r="F801" t="s">
        <v>976</v>
      </c>
    </row>
    <row r="802" spans="2:6" x14ac:dyDescent="0.2">
      <c r="B802"/>
      <c r="C802"/>
      <c r="D802"/>
      <c r="E802"/>
      <c r="F802" t="s">
        <v>978</v>
      </c>
    </row>
    <row r="803" spans="2:6" x14ac:dyDescent="0.2">
      <c r="B803"/>
      <c r="C803"/>
      <c r="D803"/>
      <c r="E803"/>
      <c r="F803" t="s">
        <v>1008</v>
      </c>
    </row>
    <row r="804" spans="2:6" x14ac:dyDescent="0.2">
      <c r="B804" t="s">
        <v>117</v>
      </c>
      <c r="C804" t="s">
        <v>606</v>
      </c>
      <c r="D804" t="s">
        <v>970</v>
      </c>
      <c r="E804" t="s">
        <v>965</v>
      </c>
      <c r="F804" t="s">
        <v>10</v>
      </c>
    </row>
    <row r="805" spans="2:6" x14ac:dyDescent="0.2">
      <c r="B805" t="s">
        <v>118</v>
      </c>
      <c r="C805" t="s">
        <v>607</v>
      </c>
      <c r="D805" t="s">
        <v>970</v>
      </c>
      <c r="E805" t="s">
        <v>1176</v>
      </c>
      <c r="F805" t="s">
        <v>29</v>
      </c>
    </row>
    <row r="806" spans="2:6" x14ac:dyDescent="0.2">
      <c r="B806" t="s">
        <v>119</v>
      </c>
      <c r="C806" t="s">
        <v>608</v>
      </c>
      <c r="D806" t="s">
        <v>969</v>
      </c>
      <c r="E806" t="s">
        <v>1138</v>
      </c>
      <c r="F806" t="s">
        <v>43</v>
      </c>
    </row>
    <row r="807" spans="2:6" x14ac:dyDescent="0.2">
      <c r="B807"/>
      <c r="C807"/>
      <c r="D807"/>
      <c r="E807"/>
      <c r="F807" t="s">
        <v>4</v>
      </c>
    </row>
    <row r="808" spans="2:6" x14ac:dyDescent="0.2">
      <c r="B808"/>
      <c r="C808"/>
      <c r="D808"/>
      <c r="E808"/>
      <c r="F808" t="s">
        <v>5</v>
      </c>
    </row>
    <row r="809" spans="2:6" x14ac:dyDescent="0.2">
      <c r="B809"/>
      <c r="C809"/>
      <c r="D809"/>
      <c r="E809"/>
      <c r="F809" t="s">
        <v>6</v>
      </c>
    </row>
    <row r="810" spans="2:6" x14ac:dyDescent="0.2">
      <c r="B810"/>
      <c r="C810"/>
      <c r="D810"/>
      <c r="E810"/>
      <c r="F810" t="s">
        <v>7</v>
      </c>
    </row>
    <row r="811" spans="2:6" x14ac:dyDescent="0.2">
      <c r="B811"/>
      <c r="C811"/>
      <c r="D811"/>
      <c r="E811"/>
      <c r="F811" t="s">
        <v>8</v>
      </c>
    </row>
    <row r="812" spans="2:6" x14ac:dyDescent="0.2">
      <c r="B812"/>
      <c r="C812"/>
      <c r="D812"/>
      <c r="E812"/>
      <c r="F812" t="s">
        <v>24</v>
      </c>
    </row>
    <row r="813" spans="2:6" x14ac:dyDescent="0.2">
      <c r="B813"/>
      <c r="C813"/>
      <c r="D813"/>
      <c r="E813"/>
      <c r="F813" t="s">
        <v>25</v>
      </c>
    </row>
    <row r="814" spans="2:6" x14ac:dyDescent="0.2">
      <c r="B814"/>
      <c r="C814"/>
      <c r="D814"/>
      <c r="E814"/>
      <c r="F814" t="s">
        <v>9</v>
      </c>
    </row>
    <row r="815" spans="2:6" x14ac:dyDescent="0.2">
      <c r="B815"/>
      <c r="C815"/>
      <c r="D815"/>
      <c r="E815"/>
      <c r="F815" t="s">
        <v>27</v>
      </c>
    </row>
    <row r="816" spans="2:6" x14ac:dyDescent="0.2">
      <c r="B816"/>
      <c r="C816"/>
      <c r="D816"/>
      <c r="E816"/>
      <c r="F816" t="s">
        <v>10</v>
      </c>
    </row>
    <row r="817" spans="2:6" x14ac:dyDescent="0.2">
      <c r="B817"/>
      <c r="C817"/>
      <c r="D817"/>
      <c r="E817"/>
      <c r="F817" t="s">
        <v>21</v>
      </c>
    </row>
    <row r="818" spans="2:6" x14ac:dyDescent="0.2">
      <c r="B818"/>
      <c r="C818"/>
      <c r="D818"/>
      <c r="E818"/>
      <c r="F818" t="s">
        <v>22</v>
      </c>
    </row>
    <row r="819" spans="2:6" x14ac:dyDescent="0.2">
      <c r="B819"/>
      <c r="C819"/>
      <c r="D819"/>
      <c r="E819"/>
      <c r="F819" t="s">
        <v>12</v>
      </c>
    </row>
    <row r="820" spans="2:6" x14ac:dyDescent="0.2">
      <c r="B820"/>
      <c r="C820"/>
      <c r="D820"/>
      <c r="E820"/>
      <c r="F820" t="s">
        <v>29</v>
      </c>
    </row>
    <row r="821" spans="2:6" x14ac:dyDescent="0.2">
      <c r="B821"/>
      <c r="C821"/>
      <c r="D821"/>
      <c r="E821"/>
      <c r="F821" t="s">
        <v>37</v>
      </c>
    </row>
    <row r="822" spans="2:6" x14ac:dyDescent="0.2">
      <c r="B822"/>
      <c r="C822"/>
      <c r="D822"/>
      <c r="E822"/>
      <c r="F822" t="s">
        <v>13</v>
      </c>
    </row>
    <row r="823" spans="2:6" x14ac:dyDescent="0.2">
      <c r="B823"/>
      <c r="C823"/>
      <c r="D823"/>
      <c r="E823"/>
      <c r="F823" t="s">
        <v>14</v>
      </c>
    </row>
    <row r="824" spans="2:6" x14ac:dyDescent="0.2">
      <c r="B824"/>
      <c r="C824"/>
      <c r="D824"/>
      <c r="E824"/>
      <c r="F824" t="s">
        <v>15</v>
      </c>
    </row>
    <row r="825" spans="2:6" x14ac:dyDescent="0.2">
      <c r="B825"/>
      <c r="C825"/>
      <c r="D825"/>
      <c r="E825"/>
      <c r="F825" t="s">
        <v>31</v>
      </c>
    </row>
    <row r="826" spans="2:6" x14ac:dyDescent="0.2">
      <c r="B826"/>
      <c r="C826"/>
      <c r="D826"/>
      <c r="E826"/>
      <c r="F826" t="s">
        <v>32</v>
      </c>
    </row>
    <row r="827" spans="2:6" x14ac:dyDescent="0.2">
      <c r="B827" t="s">
        <v>914</v>
      </c>
      <c r="C827" t="s">
        <v>922</v>
      </c>
      <c r="D827" t="s">
        <v>969</v>
      </c>
      <c r="E827" t="s">
        <v>1177</v>
      </c>
      <c r="F827" t="s">
        <v>28</v>
      </c>
    </row>
    <row r="828" spans="2:6" x14ac:dyDescent="0.2">
      <c r="B828"/>
      <c r="C828"/>
      <c r="D828"/>
      <c r="E828"/>
      <c r="F828" t="s">
        <v>29</v>
      </c>
    </row>
    <row r="829" spans="2:6" x14ac:dyDescent="0.2">
      <c r="B829" t="s">
        <v>120</v>
      </c>
      <c r="C829" t="s">
        <v>609</v>
      </c>
      <c r="D829" t="s">
        <v>969</v>
      </c>
      <c r="E829" t="s">
        <v>965</v>
      </c>
      <c r="F829" t="s">
        <v>4</v>
      </c>
    </row>
    <row r="830" spans="2:6" x14ac:dyDescent="0.2">
      <c r="B830"/>
      <c r="C830"/>
      <c r="D830"/>
      <c r="E830"/>
      <c r="F830" t="s">
        <v>5</v>
      </c>
    </row>
    <row r="831" spans="2:6" x14ac:dyDescent="0.2">
      <c r="B831"/>
      <c r="C831"/>
      <c r="D831"/>
      <c r="E831"/>
      <c r="F831" t="s">
        <v>7</v>
      </c>
    </row>
    <row r="832" spans="2:6" x14ac:dyDescent="0.2">
      <c r="B832"/>
      <c r="C832"/>
      <c r="D832"/>
      <c r="E832"/>
      <c r="F832" t="s">
        <v>8</v>
      </c>
    </row>
    <row r="833" spans="2:6" x14ac:dyDescent="0.2">
      <c r="B833"/>
      <c r="C833"/>
      <c r="D833"/>
      <c r="E833"/>
      <c r="F833" t="s">
        <v>24</v>
      </c>
    </row>
    <row r="834" spans="2:6" x14ac:dyDescent="0.2">
      <c r="B834"/>
      <c r="C834"/>
      <c r="D834"/>
      <c r="E834"/>
      <c r="F834" t="s">
        <v>25</v>
      </c>
    </row>
    <row r="835" spans="2:6" x14ac:dyDescent="0.2">
      <c r="B835"/>
      <c r="C835"/>
      <c r="D835"/>
      <c r="E835"/>
      <c r="F835" t="s">
        <v>9</v>
      </c>
    </row>
    <row r="836" spans="2:6" x14ac:dyDescent="0.2">
      <c r="B836"/>
      <c r="C836"/>
      <c r="D836"/>
      <c r="E836"/>
      <c r="F836" t="s">
        <v>10</v>
      </c>
    </row>
    <row r="837" spans="2:6" x14ac:dyDescent="0.2">
      <c r="B837"/>
      <c r="C837"/>
      <c r="D837"/>
      <c r="E837"/>
      <c r="F837" t="s">
        <v>37</v>
      </c>
    </row>
    <row r="838" spans="2:6" x14ac:dyDescent="0.2">
      <c r="B838"/>
      <c r="C838"/>
      <c r="D838"/>
      <c r="E838"/>
      <c r="F838" t="s">
        <v>14</v>
      </c>
    </row>
    <row r="839" spans="2:6" x14ac:dyDescent="0.2">
      <c r="B839"/>
      <c r="C839"/>
      <c r="D839"/>
      <c r="E839"/>
      <c r="F839" t="s">
        <v>15</v>
      </c>
    </row>
    <row r="840" spans="2:6" x14ac:dyDescent="0.2">
      <c r="B840"/>
      <c r="C840"/>
      <c r="D840"/>
      <c r="E840"/>
      <c r="F840" t="s">
        <v>30</v>
      </c>
    </row>
    <row r="841" spans="2:6" x14ac:dyDescent="0.2">
      <c r="B841"/>
      <c r="C841"/>
      <c r="D841"/>
      <c r="E841"/>
      <c r="F841" t="s">
        <v>53</v>
      </c>
    </row>
    <row r="842" spans="2:6" x14ac:dyDescent="0.2">
      <c r="B842"/>
      <c r="C842"/>
      <c r="D842"/>
      <c r="E842"/>
      <c r="F842" t="s">
        <v>31</v>
      </c>
    </row>
    <row r="843" spans="2:6" x14ac:dyDescent="0.2">
      <c r="B843"/>
      <c r="C843"/>
      <c r="D843"/>
      <c r="E843"/>
      <c r="F843" t="s">
        <v>32</v>
      </c>
    </row>
    <row r="844" spans="2:6" x14ac:dyDescent="0.2">
      <c r="B844"/>
      <c r="C844"/>
      <c r="D844"/>
      <c r="E844"/>
      <c r="F844" t="s">
        <v>54</v>
      </c>
    </row>
    <row r="845" spans="2:6" x14ac:dyDescent="0.2">
      <c r="B845"/>
      <c r="C845"/>
      <c r="D845"/>
      <c r="E845"/>
      <c r="F845" t="s">
        <v>38</v>
      </c>
    </row>
    <row r="846" spans="2:6" x14ac:dyDescent="0.2">
      <c r="B846" t="s">
        <v>1099</v>
      </c>
      <c r="C846" t="s">
        <v>1102</v>
      </c>
      <c r="D846" t="s">
        <v>969</v>
      </c>
      <c r="E846" t="s">
        <v>1178</v>
      </c>
      <c r="F846" t="s">
        <v>1004</v>
      </c>
    </row>
    <row r="847" spans="2:6" x14ac:dyDescent="0.2">
      <c r="B847"/>
      <c r="C847"/>
      <c r="D847"/>
      <c r="E847"/>
      <c r="F847" t="s">
        <v>1008</v>
      </c>
    </row>
    <row r="848" spans="2:6" x14ac:dyDescent="0.2">
      <c r="B848" t="s">
        <v>121</v>
      </c>
      <c r="C848" t="s">
        <v>610</v>
      </c>
      <c r="D848" t="s">
        <v>969</v>
      </c>
      <c r="E848" t="s">
        <v>1130</v>
      </c>
      <c r="F848" t="s">
        <v>29</v>
      </c>
    </row>
    <row r="849" spans="2:6" x14ac:dyDescent="0.2">
      <c r="B849" t="s">
        <v>900</v>
      </c>
      <c r="C849" t="s">
        <v>901</v>
      </c>
      <c r="D849" t="s">
        <v>970</v>
      </c>
      <c r="E849" t="s">
        <v>965</v>
      </c>
      <c r="F849" t="s">
        <v>10</v>
      </c>
    </row>
    <row r="850" spans="2:6" x14ac:dyDescent="0.2">
      <c r="B850"/>
      <c r="C850"/>
      <c r="D850"/>
      <c r="E850"/>
      <c r="F850" t="s">
        <v>51</v>
      </c>
    </row>
    <row r="851" spans="2:6" x14ac:dyDescent="0.2">
      <c r="B851"/>
      <c r="C851"/>
      <c r="D851"/>
      <c r="E851"/>
      <c r="F851" t="s">
        <v>14</v>
      </c>
    </row>
    <row r="852" spans="2:6" x14ac:dyDescent="0.2">
      <c r="B852" t="s">
        <v>122</v>
      </c>
      <c r="C852" t="s">
        <v>611</v>
      </c>
      <c r="D852" t="s">
        <v>970</v>
      </c>
      <c r="E852" t="s">
        <v>965</v>
      </c>
      <c r="F852" t="s">
        <v>10</v>
      </c>
    </row>
    <row r="853" spans="2:6" x14ac:dyDescent="0.2">
      <c r="B853"/>
      <c r="C853"/>
      <c r="D853"/>
      <c r="E853"/>
      <c r="F853" t="s">
        <v>51</v>
      </c>
    </row>
    <row r="854" spans="2:6" x14ac:dyDescent="0.2">
      <c r="B854" t="s">
        <v>123</v>
      </c>
      <c r="C854" t="s">
        <v>613</v>
      </c>
      <c r="D854" t="s">
        <v>969</v>
      </c>
      <c r="E854" t="s">
        <v>1134</v>
      </c>
      <c r="F854" t="s">
        <v>35</v>
      </c>
    </row>
    <row r="855" spans="2:6" x14ac:dyDescent="0.2">
      <c r="B855"/>
      <c r="C855"/>
      <c r="D855"/>
      <c r="E855"/>
      <c r="F855" t="s">
        <v>124</v>
      </c>
    </row>
    <row r="856" spans="2:6" x14ac:dyDescent="0.2">
      <c r="B856"/>
      <c r="C856"/>
      <c r="D856"/>
      <c r="E856"/>
      <c r="F856" t="s">
        <v>36</v>
      </c>
    </row>
    <row r="857" spans="2:6" x14ac:dyDescent="0.2">
      <c r="B857"/>
      <c r="C857"/>
      <c r="D857"/>
      <c r="E857"/>
      <c r="F857" t="s">
        <v>125</v>
      </c>
    </row>
    <row r="858" spans="2:6" x14ac:dyDescent="0.2">
      <c r="B858"/>
      <c r="C858"/>
      <c r="D858"/>
      <c r="E858"/>
      <c r="F858" t="s">
        <v>42</v>
      </c>
    </row>
    <row r="859" spans="2:6" x14ac:dyDescent="0.2">
      <c r="B859"/>
      <c r="C859"/>
      <c r="D859"/>
      <c r="E859"/>
      <c r="F859" t="s">
        <v>43</v>
      </c>
    </row>
    <row r="860" spans="2:6" x14ac:dyDescent="0.2">
      <c r="B860"/>
      <c r="C860"/>
      <c r="D860"/>
      <c r="E860"/>
      <c r="F860" t="s">
        <v>44</v>
      </c>
    </row>
    <row r="861" spans="2:6" x14ac:dyDescent="0.2">
      <c r="B861"/>
      <c r="C861"/>
      <c r="D861"/>
      <c r="E861"/>
      <c r="F861" t="s">
        <v>4</v>
      </c>
    </row>
    <row r="862" spans="2:6" x14ac:dyDescent="0.2">
      <c r="B862"/>
      <c r="C862"/>
      <c r="D862"/>
      <c r="E862"/>
      <c r="F862" t="s">
        <v>5</v>
      </c>
    </row>
    <row r="863" spans="2:6" x14ac:dyDescent="0.2">
      <c r="B863"/>
      <c r="C863"/>
      <c r="D863"/>
      <c r="E863"/>
      <c r="F863" t="s">
        <v>6</v>
      </c>
    </row>
    <row r="864" spans="2:6" x14ac:dyDescent="0.2">
      <c r="B864"/>
      <c r="C864"/>
      <c r="D864"/>
      <c r="E864"/>
      <c r="F864" t="s">
        <v>7</v>
      </c>
    </row>
    <row r="865" spans="2:6" x14ac:dyDescent="0.2">
      <c r="B865"/>
      <c r="C865"/>
      <c r="D865"/>
      <c r="E865"/>
      <c r="F865" t="s">
        <v>8</v>
      </c>
    </row>
    <row r="866" spans="2:6" x14ac:dyDescent="0.2">
      <c r="B866"/>
      <c r="C866"/>
      <c r="D866"/>
      <c r="E866"/>
      <c r="F866" t="s">
        <v>24</v>
      </c>
    </row>
    <row r="867" spans="2:6" x14ac:dyDescent="0.2">
      <c r="B867"/>
      <c r="C867"/>
      <c r="D867"/>
      <c r="E867"/>
      <c r="F867" t="s">
        <v>25</v>
      </c>
    </row>
    <row r="868" spans="2:6" x14ac:dyDescent="0.2">
      <c r="B868"/>
      <c r="C868"/>
      <c r="D868"/>
      <c r="E868"/>
      <c r="F868" t="s">
        <v>9</v>
      </c>
    </row>
    <row r="869" spans="2:6" x14ac:dyDescent="0.2">
      <c r="B869"/>
      <c r="C869"/>
      <c r="D869"/>
      <c r="E869"/>
      <c r="F869" t="s">
        <v>26</v>
      </c>
    </row>
    <row r="870" spans="2:6" x14ac:dyDescent="0.2">
      <c r="B870"/>
      <c r="C870"/>
      <c r="D870"/>
      <c r="E870"/>
      <c r="F870" t="s">
        <v>20</v>
      </c>
    </row>
    <row r="871" spans="2:6" x14ac:dyDescent="0.2">
      <c r="B871"/>
      <c r="C871"/>
      <c r="D871"/>
      <c r="E871"/>
      <c r="F871" t="s">
        <v>49</v>
      </c>
    </row>
    <row r="872" spans="2:6" x14ac:dyDescent="0.2">
      <c r="B872"/>
      <c r="C872"/>
      <c r="D872"/>
      <c r="E872"/>
      <c r="F872" t="s">
        <v>27</v>
      </c>
    </row>
    <row r="873" spans="2:6" x14ac:dyDescent="0.2">
      <c r="B873"/>
      <c r="C873"/>
      <c r="D873"/>
      <c r="E873"/>
      <c r="F873" t="s">
        <v>59</v>
      </c>
    </row>
    <row r="874" spans="2:6" x14ac:dyDescent="0.2">
      <c r="B874"/>
      <c r="C874"/>
      <c r="D874"/>
      <c r="E874"/>
      <c r="F874" t="s">
        <v>10</v>
      </c>
    </row>
    <row r="875" spans="2:6" x14ac:dyDescent="0.2">
      <c r="B875"/>
      <c r="C875"/>
      <c r="D875"/>
      <c r="E875"/>
      <c r="F875" t="s">
        <v>21</v>
      </c>
    </row>
    <row r="876" spans="2:6" x14ac:dyDescent="0.2">
      <c r="B876"/>
      <c r="C876"/>
      <c r="D876"/>
      <c r="E876"/>
      <c r="F876" t="s">
        <v>11</v>
      </c>
    </row>
    <row r="877" spans="2:6" x14ac:dyDescent="0.2">
      <c r="B877"/>
      <c r="C877"/>
      <c r="D877"/>
      <c r="E877"/>
      <c r="F877" t="s">
        <v>22</v>
      </c>
    </row>
    <row r="878" spans="2:6" x14ac:dyDescent="0.2">
      <c r="B878"/>
      <c r="C878"/>
      <c r="D878"/>
      <c r="E878"/>
      <c r="F878" t="s">
        <v>39</v>
      </c>
    </row>
    <row r="879" spans="2:6" x14ac:dyDescent="0.2">
      <c r="B879"/>
      <c r="C879"/>
      <c r="D879"/>
      <c r="E879"/>
      <c r="F879" t="s">
        <v>12</v>
      </c>
    </row>
    <row r="880" spans="2:6" x14ac:dyDescent="0.2">
      <c r="B880"/>
      <c r="C880"/>
      <c r="D880"/>
      <c r="E880"/>
      <c r="F880" t="s">
        <v>29</v>
      </c>
    </row>
    <row r="881" spans="2:6" x14ac:dyDescent="0.2">
      <c r="B881"/>
      <c r="C881"/>
      <c r="D881"/>
      <c r="E881"/>
      <c r="F881" t="s">
        <v>37</v>
      </c>
    </row>
    <row r="882" spans="2:6" x14ac:dyDescent="0.2">
      <c r="B882"/>
      <c r="C882"/>
      <c r="D882"/>
      <c r="E882"/>
      <c r="F882" t="s">
        <v>13</v>
      </c>
    </row>
    <row r="883" spans="2:6" x14ac:dyDescent="0.2">
      <c r="B883"/>
      <c r="C883"/>
      <c r="D883"/>
      <c r="E883"/>
      <c r="F883" t="s">
        <v>14</v>
      </c>
    </row>
    <row r="884" spans="2:6" x14ac:dyDescent="0.2">
      <c r="B884"/>
      <c r="C884"/>
      <c r="D884"/>
      <c r="E884"/>
      <c r="F884" t="s">
        <v>15</v>
      </c>
    </row>
    <row r="885" spans="2:6" x14ac:dyDescent="0.2">
      <c r="B885"/>
      <c r="C885"/>
      <c r="D885"/>
      <c r="E885"/>
      <c r="F885" t="s">
        <v>30</v>
      </c>
    </row>
    <row r="886" spans="2:6" x14ac:dyDescent="0.2">
      <c r="B886"/>
      <c r="C886"/>
      <c r="D886"/>
      <c r="E886"/>
      <c r="F886" t="s">
        <v>53</v>
      </c>
    </row>
    <row r="887" spans="2:6" x14ac:dyDescent="0.2">
      <c r="B887"/>
      <c r="C887"/>
      <c r="D887"/>
      <c r="E887"/>
      <c r="F887" t="s">
        <v>31</v>
      </c>
    </row>
    <row r="888" spans="2:6" x14ac:dyDescent="0.2">
      <c r="B888"/>
      <c r="C888"/>
      <c r="D888"/>
      <c r="E888"/>
      <c r="F888" t="s">
        <v>32</v>
      </c>
    </row>
    <row r="889" spans="2:6" x14ac:dyDescent="0.2">
      <c r="B889"/>
      <c r="C889"/>
      <c r="D889"/>
      <c r="E889"/>
      <c r="F889" t="s">
        <v>38</v>
      </c>
    </row>
    <row r="890" spans="2:6" x14ac:dyDescent="0.2">
      <c r="B890"/>
      <c r="C890"/>
      <c r="D890"/>
      <c r="E890"/>
      <c r="F890" t="s">
        <v>55</v>
      </c>
    </row>
    <row r="891" spans="2:6" x14ac:dyDescent="0.2">
      <c r="B891"/>
      <c r="C891"/>
      <c r="D891"/>
      <c r="E891"/>
      <c r="F891" t="s">
        <v>33</v>
      </c>
    </row>
    <row r="892" spans="2:6" x14ac:dyDescent="0.2">
      <c r="B892"/>
      <c r="C892"/>
      <c r="D892"/>
      <c r="E892"/>
      <c r="F892" t="s">
        <v>57</v>
      </c>
    </row>
    <row r="893" spans="2:6" x14ac:dyDescent="0.2">
      <c r="B893"/>
      <c r="C893"/>
      <c r="D893"/>
      <c r="E893"/>
      <c r="F893" t="s">
        <v>976</v>
      </c>
    </row>
    <row r="894" spans="2:6" x14ac:dyDescent="0.2">
      <c r="B894"/>
      <c r="C894"/>
      <c r="D894"/>
      <c r="E894"/>
      <c r="F894" t="s">
        <v>978</v>
      </c>
    </row>
    <row r="895" spans="2:6" x14ac:dyDescent="0.2">
      <c r="B895"/>
      <c r="C895"/>
      <c r="D895"/>
      <c r="E895"/>
      <c r="F895" t="s">
        <v>1004</v>
      </c>
    </row>
    <row r="896" spans="2:6" x14ac:dyDescent="0.2">
      <c r="B896"/>
      <c r="C896"/>
      <c r="D896"/>
      <c r="E896"/>
      <c r="F896" t="s">
        <v>1008</v>
      </c>
    </row>
    <row r="897" spans="2:6" x14ac:dyDescent="0.2">
      <c r="B897" t="s">
        <v>126</v>
      </c>
      <c r="C897" t="s">
        <v>614</v>
      </c>
      <c r="D897" t="s">
        <v>970</v>
      </c>
      <c r="E897" t="s">
        <v>1134</v>
      </c>
      <c r="F897" t="s">
        <v>47</v>
      </c>
    </row>
    <row r="898" spans="2:6" x14ac:dyDescent="0.2">
      <c r="B898"/>
      <c r="C898"/>
      <c r="D898"/>
      <c r="E898"/>
      <c r="F898" t="s">
        <v>4</v>
      </c>
    </row>
    <row r="899" spans="2:6" x14ac:dyDescent="0.2">
      <c r="B899"/>
      <c r="C899"/>
      <c r="D899"/>
      <c r="E899"/>
      <c r="F899" t="s">
        <v>5</v>
      </c>
    </row>
    <row r="900" spans="2:6" x14ac:dyDescent="0.2">
      <c r="B900"/>
      <c r="C900"/>
      <c r="D900"/>
      <c r="E900"/>
      <c r="F900" t="s">
        <v>25</v>
      </c>
    </row>
    <row r="901" spans="2:6" x14ac:dyDescent="0.2">
      <c r="B901"/>
      <c r="C901"/>
      <c r="D901"/>
      <c r="E901"/>
      <c r="F901" t="s">
        <v>9</v>
      </c>
    </row>
    <row r="902" spans="2:6" x14ac:dyDescent="0.2">
      <c r="B902"/>
      <c r="C902"/>
      <c r="D902"/>
      <c r="E902"/>
      <c r="F902" t="s">
        <v>10</v>
      </c>
    </row>
    <row r="903" spans="2:6" x14ac:dyDescent="0.2">
      <c r="B903"/>
      <c r="C903"/>
      <c r="D903"/>
      <c r="E903"/>
      <c r="F903" t="s">
        <v>29</v>
      </c>
    </row>
    <row r="904" spans="2:6" x14ac:dyDescent="0.2">
      <c r="B904"/>
      <c r="C904"/>
      <c r="D904"/>
      <c r="E904"/>
      <c r="F904" t="s">
        <v>13</v>
      </c>
    </row>
    <row r="905" spans="2:6" x14ac:dyDescent="0.2">
      <c r="B905"/>
      <c r="C905"/>
      <c r="D905"/>
      <c r="E905"/>
      <c r="F905" t="s">
        <v>14</v>
      </c>
    </row>
    <row r="906" spans="2:6" x14ac:dyDescent="0.2">
      <c r="B906"/>
      <c r="C906"/>
      <c r="D906"/>
      <c r="E906"/>
      <c r="F906" t="s">
        <v>31</v>
      </c>
    </row>
    <row r="907" spans="2:6" x14ac:dyDescent="0.2">
      <c r="B907"/>
      <c r="C907"/>
      <c r="D907"/>
      <c r="E907"/>
      <c r="F907" t="s">
        <v>32</v>
      </c>
    </row>
    <row r="908" spans="2:6" x14ac:dyDescent="0.2">
      <c r="B908" t="s">
        <v>815</v>
      </c>
      <c r="C908" t="s">
        <v>817</v>
      </c>
      <c r="D908" t="s">
        <v>970</v>
      </c>
      <c r="E908" t="s">
        <v>1179</v>
      </c>
      <c r="F908" t="s">
        <v>22</v>
      </c>
    </row>
    <row r="909" spans="2:6" x14ac:dyDescent="0.2">
      <c r="B909" t="s">
        <v>127</v>
      </c>
      <c r="C909" t="s">
        <v>615</v>
      </c>
      <c r="D909" t="s">
        <v>970</v>
      </c>
      <c r="E909" t="s">
        <v>1125</v>
      </c>
      <c r="F909" t="s">
        <v>4</v>
      </c>
    </row>
    <row r="910" spans="2:6" x14ac:dyDescent="0.2">
      <c r="B910"/>
      <c r="C910"/>
      <c r="D910"/>
      <c r="E910"/>
      <c r="F910" t="s">
        <v>5</v>
      </c>
    </row>
    <row r="911" spans="2:6" x14ac:dyDescent="0.2">
      <c r="B911"/>
      <c r="C911"/>
      <c r="D911"/>
      <c r="E911"/>
      <c r="F911" t="s">
        <v>25</v>
      </c>
    </row>
    <row r="912" spans="2:6" x14ac:dyDescent="0.2">
      <c r="B912"/>
      <c r="C912"/>
      <c r="D912"/>
      <c r="E912"/>
      <c r="F912" t="s">
        <v>9</v>
      </c>
    </row>
    <row r="913" spans="2:6" x14ac:dyDescent="0.2">
      <c r="B913"/>
      <c r="C913"/>
      <c r="D913"/>
      <c r="E913"/>
      <c r="F913" t="s">
        <v>30</v>
      </c>
    </row>
    <row r="914" spans="2:6" x14ac:dyDescent="0.2">
      <c r="B914"/>
      <c r="C914"/>
      <c r="D914"/>
      <c r="E914"/>
      <c r="F914" t="s">
        <v>31</v>
      </c>
    </row>
    <row r="915" spans="2:6" x14ac:dyDescent="0.2">
      <c r="B915"/>
      <c r="C915"/>
      <c r="D915"/>
      <c r="E915"/>
      <c r="F915" t="s">
        <v>32</v>
      </c>
    </row>
    <row r="916" spans="2:6" x14ac:dyDescent="0.2">
      <c r="B916"/>
      <c r="C916"/>
      <c r="D916"/>
      <c r="E916"/>
      <c r="F916" t="s">
        <v>38</v>
      </c>
    </row>
    <row r="917" spans="2:6" x14ac:dyDescent="0.2">
      <c r="B917"/>
      <c r="C917"/>
      <c r="D917"/>
      <c r="E917"/>
      <c r="F917" t="s">
        <v>33</v>
      </c>
    </row>
    <row r="918" spans="2:6" x14ac:dyDescent="0.2">
      <c r="B918" t="s">
        <v>951</v>
      </c>
      <c r="C918" t="s">
        <v>1115</v>
      </c>
      <c r="D918" t="s">
        <v>970</v>
      </c>
      <c r="E918" t="s">
        <v>1180</v>
      </c>
      <c r="F918" t="s">
        <v>70</v>
      </c>
    </row>
    <row r="919" spans="2:6" x14ac:dyDescent="0.2">
      <c r="B919" t="s">
        <v>128</v>
      </c>
      <c r="C919" t="s">
        <v>616</v>
      </c>
      <c r="D919" t="s">
        <v>970</v>
      </c>
      <c r="E919" t="s">
        <v>965</v>
      </c>
      <c r="F919" t="s">
        <v>4</v>
      </c>
    </row>
    <row r="920" spans="2:6" x14ac:dyDescent="0.2">
      <c r="B920"/>
      <c r="C920"/>
      <c r="D920"/>
      <c r="E920"/>
      <c r="F920" t="s">
        <v>5</v>
      </c>
    </row>
    <row r="921" spans="2:6" x14ac:dyDescent="0.2">
      <c r="B921"/>
      <c r="C921"/>
      <c r="D921"/>
      <c r="E921"/>
      <c r="F921" t="s">
        <v>25</v>
      </c>
    </row>
    <row r="922" spans="2:6" x14ac:dyDescent="0.2">
      <c r="B922"/>
      <c r="C922"/>
      <c r="D922"/>
      <c r="E922"/>
      <c r="F922" t="s">
        <v>9</v>
      </c>
    </row>
    <row r="923" spans="2:6" x14ac:dyDescent="0.2">
      <c r="B923"/>
      <c r="C923"/>
      <c r="D923"/>
      <c r="E923"/>
      <c r="F923" t="s">
        <v>10</v>
      </c>
    </row>
    <row r="924" spans="2:6" x14ac:dyDescent="0.2">
      <c r="B924"/>
      <c r="C924"/>
      <c r="D924"/>
      <c r="E924"/>
      <c r="F924" t="s">
        <v>51</v>
      </c>
    </row>
    <row r="925" spans="2:6" x14ac:dyDescent="0.2">
      <c r="B925"/>
      <c r="C925"/>
      <c r="D925"/>
      <c r="E925"/>
      <c r="F925" t="s">
        <v>15</v>
      </c>
    </row>
    <row r="926" spans="2:6" x14ac:dyDescent="0.2">
      <c r="B926" t="s">
        <v>129</v>
      </c>
      <c r="C926" t="s">
        <v>617</v>
      </c>
      <c r="D926" t="s">
        <v>970</v>
      </c>
      <c r="E926" t="s">
        <v>965</v>
      </c>
      <c r="F926" t="s">
        <v>5</v>
      </c>
    </row>
    <row r="927" spans="2:6" x14ac:dyDescent="0.2">
      <c r="B927"/>
      <c r="C927"/>
      <c r="D927"/>
      <c r="E927"/>
      <c r="F927" t="s">
        <v>9</v>
      </c>
    </row>
    <row r="928" spans="2:6" x14ac:dyDescent="0.2">
      <c r="B928"/>
      <c r="C928"/>
      <c r="D928"/>
      <c r="E928"/>
      <c r="F928" t="s">
        <v>27</v>
      </c>
    </row>
    <row r="929" spans="2:6" x14ac:dyDescent="0.2">
      <c r="B929"/>
      <c r="C929"/>
      <c r="D929"/>
      <c r="E929"/>
      <c r="F929" t="s">
        <v>10</v>
      </c>
    </row>
    <row r="930" spans="2:6" x14ac:dyDescent="0.2">
      <c r="B930"/>
      <c r="C930"/>
      <c r="D930"/>
      <c r="E930"/>
      <c r="F930" t="s">
        <v>39</v>
      </c>
    </row>
    <row r="931" spans="2:6" x14ac:dyDescent="0.2">
      <c r="B931"/>
      <c r="C931"/>
      <c r="D931"/>
      <c r="E931"/>
      <c r="F931" t="s">
        <v>37</v>
      </c>
    </row>
    <row r="932" spans="2:6" x14ac:dyDescent="0.2">
      <c r="B932"/>
      <c r="C932"/>
      <c r="D932"/>
      <c r="E932"/>
      <c r="F932" t="s">
        <v>13</v>
      </c>
    </row>
    <row r="933" spans="2:6" x14ac:dyDescent="0.2">
      <c r="B933"/>
      <c r="C933"/>
      <c r="D933"/>
      <c r="E933"/>
      <c r="F933" t="s">
        <v>14</v>
      </c>
    </row>
    <row r="934" spans="2:6" x14ac:dyDescent="0.2">
      <c r="B934" t="s">
        <v>953</v>
      </c>
      <c r="C934" t="s">
        <v>955</v>
      </c>
      <c r="D934" t="s">
        <v>969</v>
      </c>
      <c r="E934" t="s">
        <v>1181</v>
      </c>
      <c r="F934" t="s">
        <v>45</v>
      </c>
    </row>
    <row r="935" spans="2:6" x14ac:dyDescent="0.2">
      <c r="B935"/>
      <c r="C935"/>
      <c r="D935"/>
      <c r="E935"/>
      <c r="F935" t="s">
        <v>46</v>
      </c>
    </row>
    <row r="936" spans="2:6" x14ac:dyDescent="0.2">
      <c r="B936"/>
      <c r="C936"/>
      <c r="D936"/>
      <c r="E936"/>
      <c r="F936" t="s">
        <v>47</v>
      </c>
    </row>
    <row r="937" spans="2:6" x14ac:dyDescent="0.2">
      <c r="B937" t="s">
        <v>130</v>
      </c>
      <c r="C937" t="s">
        <v>618</v>
      </c>
      <c r="D937" t="s">
        <v>970</v>
      </c>
      <c r="E937" t="s">
        <v>965</v>
      </c>
      <c r="F937" t="s">
        <v>10</v>
      </c>
    </row>
    <row r="938" spans="2:6" x14ac:dyDescent="0.2">
      <c r="B938"/>
      <c r="C938"/>
      <c r="D938"/>
      <c r="E938"/>
      <c r="F938" t="s">
        <v>51</v>
      </c>
    </row>
    <row r="939" spans="2:6" x14ac:dyDescent="0.2">
      <c r="B939" t="s">
        <v>1036</v>
      </c>
      <c r="C939" t="s">
        <v>1037</v>
      </c>
      <c r="D939" t="s">
        <v>969</v>
      </c>
      <c r="E939" t="s">
        <v>1138</v>
      </c>
      <c r="F939" t="s">
        <v>993</v>
      </c>
    </row>
    <row r="940" spans="2:6" x14ac:dyDescent="0.2">
      <c r="B940" t="s">
        <v>537</v>
      </c>
      <c r="C940" t="s">
        <v>843</v>
      </c>
      <c r="D940" t="s">
        <v>969</v>
      </c>
      <c r="E940" t="s">
        <v>965</v>
      </c>
      <c r="F940" t="s">
        <v>57</v>
      </c>
    </row>
    <row r="941" spans="2:6" x14ac:dyDescent="0.2">
      <c r="B941" t="s">
        <v>882</v>
      </c>
      <c r="C941" t="s">
        <v>883</v>
      </c>
      <c r="D941" t="s">
        <v>970</v>
      </c>
      <c r="E941" t="s">
        <v>1182</v>
      </c>
      <c r="F941" t="s">
        <v>976</v>
      </c>
    </row>
    <row r="942" spans="2:6" x14ac:dyDescent="0.2">
      <c r="B942"/>
      <c r="C942"/>
      <c r="D942"/>
      <c r="E942"/>
      <c r="F942" t="s">
        <v>978</v>
      </c>
    </row>
    <row r="943" spans="2:6" x14ac:dyDescent="0.2">
      <c r="B943" t="s">
        <v>131</v>
      </c>
      <c r="C943" t="s">
        <v>619</v>
      </c>
      <c r="D943" t="s">
        <v>970</v>
      </c>
      <c r="E943" t="s">
        <v>965</v>
      </c>
      <c r="F943" t="s">
        <v>4</v>
      </c>
    </row>
    <row r="944" spans="2:6" x14ac:dyDescent="0.2">
      <c r="B944"/>
      <c r="C944"/>
      <c r="D944"/>
      <c r="E944"/>
      <c r="F944" t="s">
        <v>5</v>
      </c>
    </row>
    <row r="945" spans="2:6" x14ac:dyDescent="0.2">
      <c r="B945"/>
      <c r="C945"/>
      <c r="D945"/>
      <c r="E945"/>
      <c r="F945" t="s">
        <v>26</v>
      </c>
    </row>
    <row r="946" spans="2:6" x14ac:dyDescent="0.2">
      <c r="B946"/>
      <c r="C946"/>
      <c r="D946"/>
      <c r="E946"/>
      <c r="F946" t="s">
        <v>20</v>
      </c>
    </row>
    <row r="947" spans="2:6" x14ac:dyDescent="0.2">
      <c r="B947"/>
      <c r="C947"/>
      <c r="D947"/>
      <c r="E947"/>
      <c r="F947" t="s">
        <v>49</v>
      </c>
    </row>
    <row r="948" spans="2:6" x14ac:dyDescent="0.2">
      <c r="B948"/>
      <c r="C948"/>
      <c r="D948"/>
      <c r="E948"/>
      <c r="F948" t="s">
        <v>27</v>
      </c>
    </row>
    <row r="949" spans="2:6" x14ac:dyDescent="0.2">
      <c r="B949"/>
      <c r="C949"/>
      <c r="D949"/>
      <c r="E949"/>
      <c r="F949" t="s">
        <v>21</v>
      </c>
    </row>
    <row r="950" spans="2:6" x14ac:dyDescent="0.2">
      <c r="B950"/>
      <c r="C950"/>
      <c r="D950"/>
      <c r="E950"/>
      <c r="F950" t="s">
        <v>22</v>
      </c>
    </row>
    <row r="951" spans="2:6" x14ac:dyDescent="0.2">
      <c r="B951"/>
      <c r="C951"/>
      <c r="D951"/>
      <c r="E951"/>
      <c r="F951" t="s">
        <v>31</v>
      </c>
    </row>
    <row r="952" spans="2:6" x14ac:dyDescent="0.2">
      <c r="B952"/>
      <c r="C952"/>
      <c r="D952"/>
      <c r="E952"/>
      <c r="F952" t="s">
        <v>32</v>
      </c>
    </row>
    <row r="953" spans="2:6" x14ac:dyDescent="0.2">
      <c r="B953" t="s">
        <v>956</v>
      </c>
      <c r="C953" t="s">
        <v>957</v>
      </c>
      <c r="D953" t="s">
        <v>969</v>
      </c>
      <c r="E953" t="s">
        <v>1183</v>
      </c>
      <c r="F953" t="s">
        <v>45</v>
      </c>
    </row>
    <row r="954" spans="2:6" x14ac:dyDescent="0.2">
      <c r="B954"/>
      <c r="C954"/>
      <c r="D954"/>
      <c r="E954"/>
      <c r="F954" t="s">
        <v>46</v>
      </c>
    </row>
    <row r="955" spans="2:6" x14ac:dyDescent="0.2">
      <c r="B955"/>
      <c r="C955"/>
      <c r="D955"/>
      <c r="E955"/>
      <c r="F955" t="s">
        <v>47</v>
      </c>
    </row>
    <row r="956" spans="2:6" x14ac:dyDescent="0.2">
      <c r="B956" t="s">
        <v>132</v>
      </c>
      <c r="C956" t="s">
        <v>620</v>
      </c>
      <c r="D956" t="s">
        <v>970</v>
      </c>
      <c r="E956" t="s">
        <v>965</v>
      </c>
      <c r="F956" t="s">
        <v>10</v>
      </c>
    </row>
    <row r="957" spans="2:6" x14ac:dyDescent="0.2">
      <c r="B957" t="s">
        <v>133</v>
      </c>
      <c r="C957" t="s">
        <v>621</v>
      </c>
      <c r="D957" t="s">
        <v>969</v>
      </c>
      <c r="E957" t="s">
        <v>1163</v>
      </c>
      <c r="F957" t="s">
        <v>33</v>
      </c>
    </row>
    <row r="958" spans="2:6" x14ac:dyDescent="0.2">
      <c r="B958" t="s">
        <v>134</v>
      </c>
      <c r="C958" t="s">
        <v>622</v>
      </c>
      <c r="D958" t="s">
        <v>969</v>
      </c>
      <c r="E958" t="s">
        <v>1182</v>
      </c>
      <c r="F958" t="s">
        <v>5</v>
      </c>
    </row>
    <row r="959" spans="2:6" x14ac:dyDescent="0.2">
      <c r="B959"/>
      <c r="C959"/>
      <c r="D959"/>
      <c r="E959"/>
      <c r="F959" t="s">
        <v>12</v>
      </c>
    </row>
    <row r="960" spans="2:6" x14ac:dyDescent="0.2">
      <c r="B960"/>
      <c r="C960"/>
      <c r="D960"/>
      <c r="E960"/>
      <c r="F960" t="s">
        <v>15</v>
      </c>
    </row>
    <row r="961" spans="2:6" x14ac:dyDescent="0.2">
      <c r="B961" t="s">
        <v>884</v>
      </c>
      <c r="C961" t="s">
        <v>886</v>
      </c>
      <c r="D961" t="s">
        <v>970</v>
      </c>
      <c r="E961" t="s">
        <v>1184</v>
      </c>
      <c r="F961" t="s">
        <v>70</v>
      </c>
    </row>
    <row r="962" spans="2:6" x14ac:dyDescent="0.2">
      <c r="B962" t="s">
        <v>135</v>
      </c>
      <c r="C962" t="s">
        <v>623</v>
      </c>
      <c r="D962" t="s">
        <v>969</v>
      </c>
      <c r="E962" t="s">
        <v>965</v>
      </c>
      <c r="F962" t="s">
        <v>4</v>
      </c>
    </row>
    <row r="963" spans="2:6" x14ac:dyDescent="0.2">
      <c r="B963"/>
      <c r="C963"/>
      <c r="D963"/>
      <c r="E963"/>
      <c r="F963" t="s">
        <v>5</v>
      </c>
    </row>
    <row r="964" spans="2:6" x14ac:dyDescent="0.2">
      <c r="B964"/>
      <c r="C964"/>
      <c r="D964"/>
      <c r="E964"/>
      <c r="F964" t="s">
        <v>7</v>
      </c>
    </row>
    <row r="965" spans="2:6" x14ac:dyDescent="0.2">
      <c r="B965"/>
      <c r="C965"/>
      <c r="D965"/>
      <c r="E965"/>
      <c r="F965" t="s">
        <v>8</v>
      </c>
    </row>
    <row r="966" spans="2:6" x14ac:dyDescent="0.2">
      <c r="B966"/>
      <c r="C966"/>
      <c r="D966"/>
      <c r="E966"/>
      <c r="F966" t="s">
        <v>24</v>
      </c>
    </row>
    <row r="967" spans="2:6" x14ac:dyDescent="0.2">
      <c r="B967"/>
      <c r="C967"/>
      <c r="D967"/>
      <c r="E967"/>
      <c r="F967" t="s">
        <v>25</v>
      </c>
    </row>
    <row r="968" spans="2:6" x14ac:dyDescent="0.2">
      <c r="B968"/>
      <c r="C968"/>
      <c r="D968"/>
      <c r="E968"/>
      <c r="F968" t="s">
        <v>9</v>
      </c>
    </row>
    <row r="969" spans="2:6" x14ac:dyDescent="0.2">
      <c r="B969"/>
      <c r="C969"/>
      <c r="D969"/>
      <c r="E969"/>
      <c r="F969" t="s">
        <v>49</v>
      </c>
    </row>
    <row r="970" spans="2:6" x14ac:dyDescent="0.2">
      <c r="B970"/>
      <c r="C970"/>
      <c r="D970"/>
      <c r="E970"/>
      <c r="F970" t="s">
        <v>27</v>
      </c>
    </row>
    <row r="971" spans="2:6" x14ac:dyDescent="0.2">
      <c r="B971"/>
      <c r="C971"/>
      <c r="D971"/>
      <c r="E971"/>
      <c r="F971" t="s">
        <v>59</v>
      </c>
    </row>
    <row r="972" spans="2:6" x14ac:dyDescent="0.2">
      <c r="B972"/>
      <c r="C972"/>
      <c r="D972"/>
      <c r="E972"/>
      <c r="F972" t="s">
        <v>10</v>
      </c>
    </row>
    <row r="973" spans="2:6" x14ac:dyDescent="0.2">
      <c r="B973"/>
      <c r="C973"/>
      <c r="D973"/>
      <c r="E973"/>
      <c r="F973" t="s">
        <v>21</v>
      </c>
    </row>
    <row r="974" spans="2:6" x14ac:dyDescent="0.2">
      <c r="B974"/>
      <c r="C974"/>
      <c r="D974"/>
      <c r="E974"/>
      <c r="F974" t="s">
        <v>11</v>
      </c>
    </row>
    <row r="975" spans="2:6" x14ac:dyDescent="0.2">
      <c r="B975"/>
      <c r="C975"/>
      <c r="D975"/>
      <c r="E975"/>
      <c r="F975" t="s">
        <v>22</v>
      </c>
    </row>
    <row r="976" spans="2:6" x14ac:dyDescent="0.2">
      <c r="B976"/>
      <c r="C976"/>
      <c r="D976"/>
      <c r="E976"/>
      <c r="F976" t="s">
        <v>12</v>
      </c>
    </row>
    <row r="977" spans="2:6" x14ac:dyDescent="0.2">
      <c r="B977"/>
      <c r="C977"/>
      <c r="D977"/>
      <c r="E977"/>
      <c r="F977" t="s">
        <v>37</v>
      </c>
    </row>
    <row r="978" spans="2:6" x14ac:dyDescent="0.2">
      <c r="B978"/>
      <c r="C978"/>
      <c r="D978"/>
      <c r="E978"/>
      <c r="F978" t="s">
        <v>13</v>
      </c>
    </row>
    <row r="979" spans="2:6" x14ac:dyDescent="0.2">
      <c r="B979"/>
      <c r="C979"/>
      <c r="D979"/>
      <c r="E979"/>
      <c r="F979" t="s">
        <v>14</v>
      </c>
    </row>
    <row r="980" spans="2:6" x14ac:dyDescent="0.2">
      <c r="B980"/>
      <c r="C980"/>
      <c r="D980"/>
      <c r="E980"/>
      <c r="F980" t="s">
        <v>15</v>
      </c>
    </row>
    <row r="981" spans="2:6" x14ac:dyDescent="0.2">
      <c r="B981"/>
      <c r="C981"/>
      <c r="D981"/>
      <c r="E981"/>
      <c r="F981" t="s">
        <v>30</v>
      </c>
    </row>
    <row r="982" spans="2:6" x14ac:dyDescent="0.2">
      <c r="B982"/>
      <c r="C982"/>
      <c r="D982"/>
      <c r="E982"/>
      <c r="F982" t="s">
        <v>31</v>
      </c>
    </row>
    <row r="983" spans="2:6" x14ac:dyDescent="0.2">
      <c r="B983"/>
      <c r="C983"/>
      <c r="D983"/>
      <c r="E983"/>
      <c r="F983" t="s">
        <v>32</v>
      </c>
    </row>
    <row r="984" spans="2:6" x14ac:dyDescent="0.2">
      <c r="B984"/>
      <c r="C984"/>
      <c r="D984"/>
      <c r="E984"/>
      <c r="F984" t="s">
        <v>38</v>
      </c>
    </row>
    <row r="985" spans="2:6" x14ac:dyDescent="0.2">
      <c r="B985" t="s">
        <v>136</v>
      </c>
      <c r="C985" t="s">
        <v>624</v>
      </c>
      <c r="D985" t="s">
        <v>969</v>
      </c>
      <c r="E985" t="s">
        <v>1176</v>
      </c>
      <c r="F985" t="s">
        <v>29</v>
      </c>
    </row>
    <row r="986" spans="2:6" x14ac:dyDescent="0.2">
      <c r="B986" t="s">
        <v>137</v>
      </c>
      <c r="C986" t="s">
        <v>625</v>
      </c>
      <c r="D986" t="s">
        <v>970</v>
      </c>
      <c r="E986" t="s">
        <v>1185</v>
      </c>
      <c r="F986" t="s">
        <v>5</v>
      </c>
    </row>
    <row r="987" spans="2:6" x14ac:dyDescent="0.2">
      <c r="B987"/>
      <c r="C987"/>
      <c r="D987"/>
      <c r="E987"/>
      <c r="F987" t="s">
        <v>10</v>
      </c>
    </row>
    <row r="988" spans="2:6" x14ac:dyDescent="0.2">
      <c r="B988"/>
      <c r="C988"/>
      <c r="D988"/>
      <c r="E988"/>
      <c r="F988" t="s">
        <v>12</v>
      </c>
    </row>
    <row r="989" spans="2:6" x14ac:dyDescent="0.2">
      <c r="B989"/>
      <c r="C989"/>
      <c r="D989"/>
      <c r="E989"/>
      <c r="F989" t="s">
        <v>29</v>
      </c>
    </row>
    <row r="990" spans="2:6" x14ac:dyDescent="0.2">
      <c r="B990" t="s">
        <v>138</v>
      </c>
      <c r="C990" t="s">
        <v>844</v>
      </c>
      <c r="D990" t="s">
        <v>969</v>
      </c>
      <c r="E990" t="s">
        <v>965</v>
      </c>
      <c r="F990" t="s">
        <v>5</v>
      </c>
    </row>
    <row r="991" spans="2:6" x14ac:dyDescent="0.2">
      <c r="B991"/>
      <c r="C991"/>
      <c r="D991"/>
      <c r="E991"/>
      <c r="F991" t="s">
        <v>6</v>
      </c>
    </row>
    <row r="992" spans="2:6" x14ac:dyDescent="0.2">
      <c r="B992"/>
      <c r="C992"/>
      <c r="D992"/>
      <c r="E992"/>
      <c r="F992" t="s">
        <v>7</v>
      </c>
    </row>
    <row r="993" spans="2:6" x14ac:dyDescent="0.2">
      <c r="B993"/>
      <c r="C993"/>
      <c r="D993"/>
      <c r="E993"/>
      <c r="F993" t="s">
        <v>8</v>
      </c>
    </row>
    <row r="994" spans="2:6" x14ac:dyDescent="0.2">
      <c r="B994"/>
      <c r="C994"/>
      <c r="D994"/>
      <c r="E994"/>
      <c r="F994" t="s">
        <v>9</v>
      </c>
    </row>
    <row r="995" spans="2:6" x14ac:dyDescent="0.2">
      <c r="B995"/>
      <c r="C995"/>
      <c r="D995"/>
      <c r="E995"/>
      <c r="F995" t="s">
        <v>49</v>
      </c>
    </row>
    <row r="996" spans="2:6" x14ac:dyDescent="0.2">
      <c r="B996"/>
      <c r="C996"/>
      <c r="D996"/>
      <c r="E996"/>
      <c r="F996" t="s">
        <v>21</v>
      </c>
    </row>
    <row r="997" spans="2:6" x14ac:dyDescent="0.2">
      <c r="B997"/>
      <c r="C997"/>
      <c r="D997"/>
      <c r="E997"/>
      <c r="F997" t="s">
        <v>22</v>
      </c>
    </row>
    <row r="998" spans="2:6" x14ac:dyDescent="0.2">
      <c r="B998"/>
      <c r="C998"/>
      <c r="D998"/>
      <c r="E998"/>
      <c r="F998" t="s">
        <v>12</v>
      </c>
    </row>
    <row r="999" spans="2:6" x14ac:dyDescent="0.2">
      <c r="B999"/>
      <c r="C999"/>
      <c r="D999"/>
      <c r="E999"/>
      <c r="F999" t="s">
        <v>15</v>
      </c>
    </row>
    <row r="1000" spans="2:6" x14ac:dyDescent="0.2">
      <c r="B1000"/>
      <c r="C1000"/>
      <c r="D1000"/>
      <c r="E1000"/>
      <c r="F1000" t="s">
        <v>31</v>
      </c>
    </row>
    <row r="1001" spans="2:6" x14ac:dyDescent="0.2">
      <c r="B1001" t="s">
        <v>139</v>
      </c>
      <c r="C1001" t="s">
        <v>626</v>
      </c>
      <c r="D1001" t="s">
        <v>970</v>
      </c>
      <c r="E1001" t="s">
        <v>965</v>
      </c>
      <c r="F1001" t="s">
        <v>29</v>
      </c>
    </row>
    <row r="1002" spans="2:6" x14ac:dyDescent="0.2">
      <c r="B1002" t="s">
        <v>850</v>
      </c>
      <c r="C1002" t="s">
        <v>853</v>
      </c>
      <c r="D1002" t="s">
        <v>969</v>
      </c>
      <c r="E1002" t="s">
        <v>1133</v>
      </c>
      <c r="F1002" t="s">
        <v>59</v>
      </c>
    </row>
    <row r="1003" spans="2:6" x14ac:dyDescent="0.2">
      <c r="B1003" t="s">
        <v>140</v>
      </c>
      <c r="C1003" t="s">
        <v>627</v>
      </c>
      <c r="D1003" t="s">
        <v>969</v>
      </c>
      <c r="E1003" t="s">
        <v>1186</v>
      </c>
      <c r="F1003" t="s">
        <v>46</v>
      </c>
    </row>
    <row r="1004" spans="2:6" x14ac:dyDescent="0.2">
      <c r="B1004"/>
      <c r="C1004"/>
      <c r="D1004"/>
      <c r="E1004"/>
      <c r="F1004" t="s">
        <v>47</v>
      </c>
    </row>
    <row r="1005" spans="2:6" x14ac:dyDescent="0.2">
      <c r="B1005"/>
      <c r="C1005"/>
      <c r="D1005"/>
      <c r="E1005"/>
      <c r="F1005" t="s">
        <v>48</v>
      </c>
    </row>
    <row r="1006" spans="2:6" x14ac:dyDescent="0.2">
      <c r="B1006"/>
      <c r="C1006"/>
      <c r="D1006"/>
      <c r="E1006"/>
      <c r="F1006" t="s">
        <v>75</v>
      </c>
    </row>
    <row r="1007" spans="2:6" x14ac:dyDescent="0.2">
      <c r="B1007"/>
      <c r="C1007"/>
      <c r="D1007"/>
      <c r="E1007"/>
      <c r="F1007" t="s">
        <v>107</v>
      </c>
    </row>
    <row r="1008" spans="2:6" x14ac:dyDescent="0.2">
      <c r="B1008"/>
      <c r="C1008"/>
      <c r="D1008"/>
      <c r="E1008"/>
      <c r="F1008" t="s">
        <v>108</v>
      </c>
    </row>
    <row r="1009" spans="2:6" x14ac:dyDescent="0.2">
      <c r="B1009" t="s">
        <v>141</v>
      </c>
      <c r="C1009" t="s">
        <v>628</v>
      </c>
      <c r="D1009" t="s">
        <v>970</v>
      </c>
      <c r="E1009" t="s">
        <v>1163</v>
      </c>
      <c r="F1009" t="s">
        <v>4</v>
      </c>
    </row>
    <row r="1010" spans="2:6" x14ac:dyDescent="0.2">
      <c r="B1010"/>
      <c r="C1010"/>
      <c r="D1010"/>
      <c r="E1010"/>
      <c r="F1010" t="s">
        <v>5</v>
      </c>
    </row>
    <row r="1011" spans="2:6" x14ac:dyDescent="0.2">
      <c r="B1011"/>
      <c r="C1011"/>
      <c r="D1011"/>
      <c r="E1011"/>
      <c r="F1011" t="s">
        <v>8</v>
      </c>
    </row>
    <row r="1012" spans="2:6" x14ac:dyDescent="0.2">
      <c r="B1012"/>
      <c r="C1012"/>
      <c r="D1012"/>
      <c r="E1012"/>
      <c r="F1012" t="s">
        <v>24</v>
      </c>
    </row>
    <row r="1013" spans="2:6" x14ac:dyDescent="0.2">
      <c r="B1013"/>
      <c r="C1013"/>
      <c r="D1013"/>
      <c r="E1013"/>
      <c r="F1013" t="s">
        <v>25</v>
      </c>
    </row>
    <row r="1014" spans="2:6" x14ac:dyDescent="0.2">
      <c r="B1014"/>
      <c r="C1014"/>
      <c r="D1014"/>
      <c r="E1014"/>
      <c r="F1014" t="s">
        <v>9</v>
      </c>
    </row>
    <row r="1015" spans="2:6" x14ac:dyDescent="0.2">
      <c r="B1015"/>
      <c r="C1015"/>
      <c r="D1015"/>
      <c r="E1015"/>
      <c r="F1015" t="s">
        <v>27</v>
      </c>
    </row>
    <row r="1016" spans="2:6" x14ac:dyDescent="0.2">
      <c r="B1016"/>
      <c r="C1016"/>
      <c r="D1016"/>
      <c r="E1016"/>
      <c r="F1016" t="s">
        <v>10</v>
      </c>
    </row>
    <row r="1017" spans="2:6" x14ac:dyDescent="0.2">
      <c r="B1017"/>
      <c r="C1017"/>
      <c r="D1017"/>
      <c r="E1017"/>
      <c r="F1017" t="s">
        <v>29</v>
      </c>
    </row>
    <row r="1018" spans="2:6" x14ac:dyDescent="0.2">
      <c r="B1018"/>
      <c r="C1018"/>
      <c r="D1018"/>
      <c r="E1018"/>
      <c r="F1018" t="s">
        <v>37</v>
      </c>
    </row>
    <row r="1019" spans="2:6" x14ac:dyDescent="0.2">
      <c r="B1019"/>
      <c r="C1019"/>
      <c r="D1019"/>
      <c r="E1019"/>
      <c r="F1019" t="s">
        <v>13</v>
      </c>
    </row>
    <row r="1020" spans="2:6" x14ac:dyDescent="0.2">
      <c r="B1020"/>
      <c r="C1020"/>
      <c r="D1020"/>
      <c r="E1020"/>
      <c r="F1020" t="s">
        <v>14</v>
      </c>
    </row>
    <row r="1021" spans="2:6" x14ac:dyDescent="0.2">
      <c r="B1021"/>
      <c r="C1021"/>
      <c r="D1021"/>
      <c r="E1021"/>
      <c r="F1021" t="s">
        <v>15</v>
      </c>
    </row>
    <row r="1022" spans="2:6" x14ac:dyDescent="0.2">
      <c r="B1022"/>
      <c r="C1022"/>
      <c r="D1022"/>
      <c r="E1022"/>
      <c r="F1022" t="s">
        <v>30</v>
      </c>
    </row>
    <row r="1023" spans="2:6" x14ac:dyDescent="0.2">
      <c r="B1023"/>
      <c r="C1023"/>
      <c r="D1023"/>
      <c r="E1023"/>
      <c r="F1023" t="s">
        <v>31</v>
      </c>
    </row>
    <row r="1024" spans="2:6" x14ac:dyDescent="0.2">
      <c r="B1024"/>
      <c r="C1024"/>
      <c r="D1024"/>
      <c r="E1024"/>
      <c r="F1024" t="s">
        <v>32</v>
      </c>
    </row>
    <row r="1025" spans="2:6" x14ac:dyDescent="0.2">
      <c r="B1025" t="s">
        <v>1027</v>
      </c>
      <c r="C1025" t="s">
        <v>1028</v>
      </c>
      <c r="D1025" t="s">
        <v>969</v>
      </c>
      <c r="E1025" t="s">
        <v>1134</v>
      </c>
      <c r="F1025" t="s">
        <v>976</v>
      </c>
    </row>
    <row r="1026" spans="2:6" x14ac:dyDescent="0.2">
      <c r="B1026"/>
      <c r="C1026"/>
      <c r="D1026"/>
      <c r="E1026"/>
      <c r="F1026" t="s">
        <v>978</v>
      </c>
    </row>
    <row r="1027" spans="2:6" x14ac:dyDescent="0.2">
      <c r="B1027" t="s">
        <v>1029</v>
      </c>
      <c r="C1027" t="s">
        <v>1031</v>
      </c>
      <c r="D1027" t="s">
        <v>969</v>
      </c>
      <c r="E1027" t="s">
        <v>1187</v>
      </c>
      <c r="F1027" t="s">
        <v>1004</v>
      </c>
    </row>
    <row r="1028" spans="2:6" x14ac:dyDescent="0.2">
      <c r="B1028"/>
      <c r="C1028"/>
      <c r="D1028"/>
      <c r="E1028"/>
      <c r="F1028" t="s">
        <v>1008</v>
      </c>
    </row>
    <row r="1029" spans="2:6" x14ac:dyDescent="0.2">
      <c r="B1029" t="s">
        <v>142</v>
      </c>
      <c r="C1029" t="s">
        <v>629</v>
      </c>
      <c r="D1029" t="s">
        <v>970</v>
      </c>
      <c r="E1029" t="s">
        <v>1188</v>
      </c>
      <c r="F1029" t="s">
        <v>5</v>
      </c>
    </row>
    <row r="1030" spans="2:6" x14ac:dyDescent="0.2">
      <c r="B1030"/>
      <c r="C1030"/>
      <c r="D1030"/>
      <c r="E1030"/>
      <c r="F1030" t="s">
        <v>25</v>
      </c>
    </row>
    <row r="1031" spans="2:6" x14ac:dyDescent="0.2">
      <c r="B1031"/>
      <c r="C1031"/>
      <c r="D1031"/>
      <c r="E1031"/>
      <c r="F1031" t="s">
        <v>9</v>
      </c>
    </row>
    <row r="1032" spans="2:6" x14ac:dyDescent="0.2">
      <c r="B1032"/>
      <c r="C1032"/>
      <c r="D1032"/>
      <c r="E1032"/>
      <c r="F1032" t="s">
        <v>27</v>
      </c>
    </row>
    <row r="1033" spans="2:6" x14ac:dyDescent="0.2">
      <c r="B1033"/>
      <c r="C1033"/>
      <c r="D1033"/>
      <c r="E1033"/>
      <c r="F1033" t="s">
        <v>81</v>
      </c>
    </row>
    <row r="1034" spans="2:6" x14ac:dyDescent="0.2">
      <c r="B1034"/>
      <c r="C1034"/>
      <c r="D1034"/>
      <c r="E1034"/>
      <c r="F1034" t="s">
        <v>10</v>
      </c>
    </row>
    <row r="1035" spans="2:6" x14ac:dyDescent="0.2">
      <c r="B1035"/>
      <c r="C1035"/>
      <c r="D1035"/>
      <c r="E1035"/>
      <c r="F1035" t="s">
        <v>63</v>
      </c>
    </row>
    <row r="1036" spans="2:6" x14ac:dyDescent="0.2">
      <c r="B1036"/>
      <c r="C1036"/>
      <c r="D1036"/>
      <c r="E1036"/>
      <c r="F1036" t="s">
        <v>29</v>
      </c>
    </row>
    <row r="1037" spans="2:6" x14ac:dyDescent="0.2">
      <c r="B1037"/>
      <c r="C1037"/>
      <c r="D1037"/>
      <c r="E1037"/>
      <c r="F1037" t="s">
        <v>14</v>
      </c>
    </row>
    <row r="1038" spans="2:6" x14ac:dyDescent="0.2">
      <c r="B1038" t="s">
        <v>143</v>
      </c>
      <c r="C1038" t="s">
        <v>630</v>
      </c>
      <c r="D1038" t="s">
        <v>969</v>
      </c>
      <c r="E1038" t="s">
        <v>1189</v>
      </c>
      <c r="F1038" t="s">
        <v>5</v>
      </c>
    </row>
    <row r="1039" spans="2:6" x14ac:dyDescent="0.2">
      <c r="B1039"/>
      <c r="C1039"/>
      <c r="D1039"/>
      <c r="E1039"/>
      <c r="F1039" t="s">
        <v>25</v>
      </c>
    </row>
    <row r="1040" spans="2:6" x14ac:dyDescent="0.2">
      <c r="B1040"/>
      <c r="C1040"/>
      <c r="D1040"/>
      <c r="E1040"/>
      <c r="F1040" t="s">
        <v>9</v>
      </c>
    </row>
    <row r="1041" spans="2:6" x14ac:dyDescent="0.2">
      <c r="B1041"/>
      <c r="C1041"/>
      <c r="D1041"/>
      <c r="E1041"/>
      <c r="F1041" t="s">
        <v>27</v>
      </c>
    </row>
    <row r="1042" spans="2:6" x14ac:dyDescent="0.2">
      <c r="B1042"/>
      <c r="C1042"/>
      <c r="D1042"/>
      <c r="E1042"/>
      <c r="F1042" t="s">
        <v>10</v>
      </c>
    </row>
    <row r="1043" spans="2:6" x14ac:dyDescent="0.2">
      <c r="B1043"/>
      <c r="C1043"/>
      <c r="D1043"/>
      <c r="E1043"/>
      <c r="F1043" t="s">
        <v>12</v>
      </c>
    </row>
    <row r="1044" spans="2:6" x14ac:dyDescent="0.2">
      <c r="B1044"/>
      <c r="C1044"/>
      <c r="D1044"/>
      <c r="E1044"/>
      <c r="F1044" t="s">
        <v>29</v>
      </c>
    </row>
    <row r="1045" spans="2:6" x14ac:dyDescent="0.2">
      <c r="B1045"/>
      <c r="C1045"/>
      <c r="D1045"/>
      <c r="E1045"/>
      <c r="F1045" t="s">
        <v>37</v>
      </c>
    </row>
    <row r="1046" spans="2:6" x14ac:dyDescent="0.2">
      <c r="B1046"/>
      <c r="C1046"/>
      <c r="D1046"/>
      <c r="E1046"/>
      <c r="F1046" t="s">
        <v>13</v>
      </c>
    </row>
    <row r="1047" spans="2:6" x14ac:dyDescent="0.2">
      <c r="B1047"/>
      <c r="C1047"/>
      <c r="D1047"/>
      <c r="E1047"/>
      <c r="F1047" t="s">
        <v>14</v>
      </c>
    </row>
    <row r="1048" spans="2:6" x14ac:dyDescent="0.2">
      <c r="B1048"/>
      <c r="C1048"/>
      <c r="D1048"/>
      <c r="E1048"/>
      <c r="F1048" t="s">
        <v>15</v>
      </c>
    </row>
    <row r="1049" spans="2:6" x14ac:dyDescent="0.2">
      <c r="B1049" t="s">
        <v>144</v>
      </c>
      <c r="C1049" t="s">
        <v>631</v>
      </c>
      <c r="D1049" t="s">
        <v>969</v>
      </c>
      <c r="E1049" t="s">
        <v>1190</v>
      </c>
      <c r="F1049" t="s">
        <v>5</v>
      </c>
    </row>
    <row r="1050" spans="2:6" x14ac:dyDescent="0.2">
      <c r="B1050"/>
      <c r="C1050"/>
      <c r="D1050"/>
      <c r="E1050"/>
      <c r="F1050" t="s">
        <v>6</v>
      </c>
    </row>
    <row r="1051" spans="2:6" x14ac:dyDescent="0.2">
      <c r="B1051"/>
      <c r="C1051"/>
      <c r="D1051"/>
      <c r="E1051"/>
      <c r="F1051" t="s">
        <v>7</v>
      </c>
    </row>
    <row r="1052" spans="2:6" x14ac:dyDescent="0.2">
      <c r="B1052"/>
      <c r="C1052"/>
      <c r="D1052"/>
      <c r="E1052"/>
      <c r="F1052" t="s">
        <v>8</v>
      </c>
    </row>
    <row r="1053" spans="2:6" x14ac:dyDescent="0.2">
      <c r="B1053"/>
      <c r="C1053"/>
      <c r="D1053"/>
      <c r="E1053"/>
      <c r="F1053" t="s">
        <v>25</v>
      </c>
    </row>
    <row r="1054" spans="2:6" x14ac:dyDescent="0.2">
      <c r="B1054"/>
      <c r="C1054"/>
      <c r="D1054"/>
      <c r="E1054"/>
      <c r="F1054" t="s">
        <v>9</v>
      </c>
    </row>
    <row r="1055" spans="2:6" x14ac:dyDescent="0.2">
      <c r="B1055"/>
      <c r="C1055"/>
      <c r="D1055"/>
      <c r="E1055"/>
      <c r="F1055" t="s">
        <v>27</v>
      </c>
    </row>
    <row r="1056" spans="2:6" x14ac:dyDescent="0.2">
      <c r="B1056"/>
      <c r="C1056"/>
      <c r="D1056"/>
      <c r="E1056"/>
      <c r="F1056" t="s">
        <v>10</v>
      </c>
    </row>
    <row r="1057" spans="2:6" x14ac:dyDescent="0.2">
      <c r="B1057"/>
      <c r="C1057"/>
      <c r="D1057"/>
      <c r="E1057"/>
      <c r="F1057" t="s">
        <v>29</v>
      </c>
    </row>
    <row r="1058" spans="2:6" x14ac:dyDescent="0.2">
      <c r="B1058"/>
      <c r="C1058"/>
      <c r="D1058"/>
      <c r="E1058"/>
      <c r="F1058" t="s">
        <v>37</v>
      </c>
    </row>
    <row r="1059" spans="2:6" x14ac:dyDescent="0.2">
      <c r="B1059"/>
      <c r="C1059"/>
      <c r="D1059"/>
      <c r="E1059"/>
      <c r="F1059" t="s">
        <v>14</v>
      </c>
    </row>
    <row r="1060" spans="2:6" x14ac:dyDescent="0.2">
      <c r="B1060"/>
      <c r="C1060"/>
      <c r="D1060"/>
      <c r="E1060"/>
      <c r="F1060" t="s">
        <v>15</v>
      </c>
    </row>
    <row r="1061" spans="2:6" x14ac:dyDescent="0.2">
      <c r="B1061"/>
      <c r="C1061"/>
      <c r="D1061"/>
      <c r="E1061"/>
      <c r="F1061" t="s">
        <v>31</v>
      </c>
    </row>
    <row r="1062" spans="2:6" x14ac:dyDescent="0.2">
      <c r="B1062"/>
      <c r="C1062"/>
      <c r="D1062"/>
      <c r="E1062"/>
      <c r="F1062" t="s">
        <v>32</v>
      </c>
    </row>
    <row r="1063" spans="2:6" x14ac:dyDescent="0.2">
      <c r="B1063" t="s">
        <v>145</v>
      </c>
      <c r="C1063" t="s">
        <v>632</v>
      </c>
      <c r="D1063" t="s">
        <v>970</v>
      </c>
      <c r="E1063" t="s">
        <v>1130</v>
      </c>
      <c r="F1063" t="s">
        <v>5</v>
      </c>
    </row>
    <row r="1064" spans="2:6" x14ac:dyDescent="0.2">
      <c r="B1064"/>
      <c r="C1064"/>
      <c r="D1064"/>
      <c r="E1064"/>
      <c r="F1064" t="s">
        <v>27</v>
      </c>
    </row>
    <row r="1065" spans="2:6" x14ac:dyDescent="0.2">
      <c r="B1065"/>
      <c r="C1065"/>
      <c r="D1065"/>
      <c r="E1065"/>
      <c r="F1065" t="s">
        <v>10</v>
      </c>
    </row>
    <row r="1066" spans="2:6" x14ac:dyDescent="0.2">
      <c r="B1066"/>
      <c r="C1066"/>
      <c r="D1066"/>
      <c r="E1066"/>
      <c r="F1066" t="s">
        <v>14</v>
      </c>
    </row>
    <row r="1067" spans="2:6" x14ac:dyDescent="0.2">
      <c r="B1067"/>
      <c r="C1067"/>
      <c r="D1067"/>
      <c r="E1067"/>
      <c r="F1067" t="s">
        <v>15</v>
      </c>
    </row>
    <row r="1068" spans="2:6" x14ac:dyDescent="0.2">
      <c r="B1068" t="s">
        <v>146</v>
      </c>
      <c r="C1068" t="s">
        <v>633</v>
      </c>
      <c r="D1068" t="s">
        <v>970</v>
      </c>
      <c r="E1068" t="s">
        <v>1146</v>
      </c>
      <c r="F1068" t="s">
        <v>5</v>
      </c>
    </row>
    <row r="1069" spans="2:6" x14ac:dyDescent="0.2">
      <c r="B1069"/>
      <c r="C1069"/>
      <c r="D1069"/>
      <c r="E1069"/>
      <c r="F1069" t="s">
        <v>7</v>
      </c>
    </row>
    <row r="1070" spans="2:6" x14ac:dyDescent="0.2">
      <c r="B1070"/>
      <c r="C1070"/>
      <c r="D1070"/>
      <c r="E1070"/>
      <c r="F1070" t="s">
        <v>8</v>
      </c>
    </row>
    <row r="1071" spans="2:6" x14ac:dyDescent="0.2">
      <c r="B1071"/>
      <c r="C1071"/>
      <c r="D1071"/>
      <c r="E1071"/>
      <c r="F1071" t="s">
        <v>9</v>
      </c>
    </row>
    <row r="1072" spans="2:6" x14ac:dyDescent="0.2">
      <c r="B1072"/>
      <c r="C1072"/>
      <c r="D1072"/>
      <c r="E1072"/>
      <c r="F1072" t="s">
        <v>75</v>
      </c>
    </row>
    <row r="1073" spans="2:6" x14ac:dyDescent="0.2">
      <c r="B1073"/>
      <c r="C1073"/>
      <c r="D1073"/>
      <c r="E1073"/>
      <c r="F1073" t="s">
        <v>10</v>
      </c>
    </row>
    <row r="1074" spans="2:6" x14ac:dyDescent="0.2">
      <c r="B1074"/>
      <c r="C1074"/>
      <c r="D1074"/>
      <c r="E1074"/>
      <c r="F1074" t="s">
        <v>18</v>
      </c>
    </row>
    <row r="1075" spans="2:6" x14ac:dyDescent="0.2">
      <c r="B1075"/>
      <c r="C1075"/>
      <c r="D1075"/>
      <c r="E1075"/>
      <c r="F1075" t="s">
        <v>12</v>
      </c>
    </row>
    <row r="1076" spans="2:6" x14ac:dyDescent="0.2">
      <c r="B1076"/>
      <c r="C1076"/>
      <c r="D1076"/>
      <c r="E1076"/>
      <c r="F1076" t="s">
        <v>29</v>
      </c>
    </row>
    <row r="1077" spans="2:6" x14ac:dyDescent="0.2">
      <c r="B1077"/>
      <c r="C1077"/>
      <c r="D1077"/>
      <c r="E1077"/>
      <c r="F1077" t="s">
        <v>13</v>
      </c>
    </row>
    <row r="1078" spans="2:6" x14ac:dyDescent="0.2">
      <c r="B1078"/>
      <c r="C1078"/>
      <c r="D1078"/>
      <c r="E1078"/>
      <c r="F1078" t="s">
        <v>14</v>
      </c>
    </row>
    <row r="1079" spans="2:6" x14ac:dyDescent="0.2">
      <c r="B1079"/>
      <c r="C1079"/>
      <c r="D1079"/>
      <c r="E1079"/>
      <c r="F1079" t="s">
        <v>15</v>
      </c>
    </row>
    <row r="1080" spans="2:6" x14ac:dyDescent="0.2">
      <c r="B1080" t="s">
        <v>147</v>
      </c>
      <c r="C1080" t="s">
        <v>634</v>
      </c>
      <c r="D1080" t="s">
        <v>969</v>
      </c>
      <c r="E1080" t="s">
        <v>965</v>
      </c>
      <c r="F1080" t="s">
        <v>36</v>
      </c>
    </row>
    <row r="1081" spans="2:6" x14ac:dyDescent="0.2">
      <c r="B1081"/>
      <c r="C1081"/>
      <c r="D1081"/>
      <c r="E1081"/>
      <c r="F1081" t="s">
        <v>43</v>
      </c>
    </row>
    <row r="1082" spans="2:6" x14ac:dyDescent="0.2">
      <c r="B1082"/>
      <c r="C1082"/>
      <c r="D1082"/>
      <c r="E1082"/>
      <c r="F1082" t="s">
        <v>4</v>
      </c>
    </row>
    <row r="1083" spans="2:6" x14ac:dyDescent="0.2">
      <c r="B1083"/>
      <c r="C1083"/>
      <c r="D1083"/>
      <c r="E1083"/>
      <c r="F1083" t="s">
        <v>5</v>
      </c>
    </row>
    <row r="1084" spans="2:6" x14ac:dyDescent="0.2">
      <c r="B1084"/>
      <c r="C1084"/>
      <c r="D1084"/>
      <c r="E1084"/>
      <c r="F1084" t="s">
        <v>7</v>
      </c>
    </row>
    <row r="1085" spans="2:6" x14ac:dyDescent="0.2">
      <c r="B1085"/>
      <c r="C1085"/>
      <c r="D1085"/>
      <c r="E1085"/>
      <c r="F1085" t="s">
        <v>8</v>
      </c>
    </row>
    <row r="1086" spans="2:6" x14ac:dyDescent="0.2">
      <c r="B1086"/>
      <c r="C1086"/>
      <c r="D1086"/>
      <c r="E1086"/>
      <c r="F1086" t="s">
        <v>24</v>
      </c>
    </row>
    <row r="1087" spans="2:6" x14ac:dyDescent="0.2">
      <c r="B1087"/>
      <c r="C1087"/>
      <c r="D1087"/>
      <c r="E1087"/>
      <c r="F1087" t="s">
        <v>25</v>
      </c>
    </row>
    <row r="1088" spans="2:6" x14ac:dyDescent="0.2">
      <c r="B1088"/>
      <c r="C1088"/>
      <c r="D1088"/>
      <c r="E1088"/>
      <c r="F1088" t="s">
        <v>9</v>
      </c>
    </row>
    <row r="1089" spans="2:6" x14ac:dyDescent="0.2">
      <c r="B1089"/>
      <c r="C1089"/>
      <c r="D1089"/>
      <c r="E1089"/>
      <c r="F1089" t="s">
        <v>49</v>
      </c>
    </row>
    <row r="1090" spans="2:6" x14ac:dyDescent="0.2">
      <c r="B1090"/>
      <c r="C1090"/>
      <c r="D1090"/>
      <c r="E1090"/>
      <c r="F1090" t="s">
        <v>27</v>
      </c>
    </row>
    <row r="1091" spans="2:6" x14ac:dyDescent="0.2">
      <c r="B1091"/>
      <c r="C1091"/>
      <c r="D1091"/>
      <c r="E1091"/>
      <c r="F1091" t="s">
        <v>59</v>
      </c>
    </row>
    <row r="1092" spans="2:6" x14ac:dyDescent="0.2">
      <c r="B1092"/>
      <c r="C1092"/>
      <c r="D1092"/>
      <c r="E1092"/>
      <c r="F1092" t="s">
        <v>21</v>
      </c>
    </row>
    <row r="1093" spans="2:6" x14ac:dyDescent="0.2">
      <c r="B1093"/>
      <c r="C1093"/>
      <c r="D1093"/>
      <c r="E1093"/>
      <c r="F1093" t="s">
        <v>11</v>
      </c>
    </row>
    <row r="1094" spans="2:6" x14ac:dyDescent="0.2">
      <c r="B1094"/>
      <c r="C1094"/>
      <c r="D1094"/>
      <c r="E1094"/>
      <c r="F1094" t="s">
        <v>22</v>
      </c>
    </row>
    <row r="1095" spans="2:6" x14ac:dyDescent="0.2">
      <c r="B1095"/>
      <c r="C1095"/>
      <c r="D1095"/>
      <c r="E1095"/>
      <c r="F1095" t="s">
        <v>39</v>
      </c>
    </row>
    <row r="1096" spans="2:6" x14ac:dyDescent="0.2">
      <c r="B1096"/>
      <c r="C1096"/>
      <c r="D1096"/>
      <c r="E1096"/>
      <c r="F1096" t="s">
        <v>12</v>
      </c>
    </row>
    <row r="1097" spans="2:6" x14ac:dyDescent="0.2">
      <c r="B1097"/>
      <c r="C1097"/>
      <c r="D1097"/>
      <c r="E1097"/>
      <c r="F1097" t="s">
        <v>37</v>
      </c>
    </row>
    <row r="1098" spans="2:6" x14ac:dyDescent="0.2">
      <c r="B1098"/>
      <c r="C1098"/>
      <c r="D1098"/>
      <c r="E1098"/>
      <c r="F1098" t="s">
        <v>13</v>
      </c>
    </row>
    <row r="1099" spans="2:6" x14ac:dyDescent="0.2">
      <c r="B1099"/>
      <c r="C1099"/>
      <c r="D1099"/>
      <c r="E1099"/>
      <c r="F1099" t="s">
        <v>14</v>
      </c>
    </row>
    <row r="1100" spans="2:6" x14ac:dyDescent="0.2">
      <c r="B1100"/>
      <c r="C1100"/>
      <c r="D1100"/>
      <c r="E1100"/>
      <c r="F1100" t="s">
        <v>15</v>
      </c>
    </row>
    <row r="1101" spans="2:6" x14ac:dyDescent="0.2">
      <c r="B1101"/>
      <c r="C1101"/>
      <c r="D1101"/>
      <c r="E1101"/>
      <c r="F1101" t="s">
        <v>30</v>
      </c>
    </row>
    <row r="1102" spans="2:6" x14ac:dyDescent="0.2">
      <c r="B1102"/>
      <c r="C1102"/>
      <c r="D1102"/>
      <c r="E1102"/>
      <c r="F1102" t="s">
        <v>31</v>
      </c>
    </row>
    <row r="1103" spans="2:6" x14ac:dyDescent="0.2">
      <c r="B1103"/>
      <c r="C1103"/>
      <c r="D1103"/>
      <c r="E1103"/>
      <c r="F1103" t="s">
        <v>32</v>
      </c>
    </row>
    <row r="1104" spans="2:6" x14ac:dyDescent="0.2">
      <c r="B1104"/>
      <c r="C1104"/>
      <c r="D1104"/>
      <c r="E1104"/>
      <c r="F1104" t="s">
        <v>54</v>
      </c>
    </row>
    <row r="1105" spans="2:6" x14ac:dyDescent="0.2">
      <c r="B1105"/>
      <c r="C1105"/>
      <c r="D1105"/>
      <c r="E1105"/>
      <c r="F1105" t="s">
        <v>38</v>
      </c>
    </row>
    <row r="1106" spans="2:6" x14ac:dyDescent="0.2">
      <c r="B1106" t="s">
        <v>887</v>
      </c>
      <c r="C1106" t="s">
        <v>889</v>
      </c>
      <c r="D1106" t="s">
        <v>969</v>
      </c>
      <c r="E1106" t="s">
        <v>1191</v>
      </c>
      <c r="F1106" t="s">
        <v>70</v>
      </c>
    </row>
    <row r="1107" spans="2:6" x14ac:dyDescent="0.2">
      <c r="B1107" t="s">
        <v>148</v>
      </c>
      <c r="C1107" t="s">
        <v>635</v>
      </c>
      <c r="D1107" t="s">
        <v>969</v>
      </c>
      <c r="E1107" t="s">
        <v>1154</v>
      </c>
      <c r="F1107" t="s">
        <v>4</v>
      </c>
    </row>
    <row r="1108" spans="2:6" x14ac:dyDescent="0.2">
      <c r="B1108"/>
      <c r="C1108"/>
      <c r="D1108"/>
      <c r="E1108"/>
      <c r="F1108" t="s">
        <v>5</v>
      </c>
    </row>
    <row r="1109" spans="2:6" x14ac:dyDescent="0.2">
      <c r="B1109"/>
      <c r="C1109"/>
      <c r="D1109"/>
      <c r="E1109"/>
      <c r="F1109" t="s">
        <v>8</v>
      </c>
    </row>
    <row r="1110" spans="2:6" x14ac:dyDescent="0.2">
      <c r="B1110"/>
      <c r="C1110"/>
      <c r="D1110"/>
      <c r="E1110"/>
      <c r="F1110" t="s">
        <v>25</v>
      </c>
    </row>
    <row r="1111" spans="2:6" x14ac:dyDescent="0.2">
      <c r="B1111"/>
      <c r="C1111"/>
      <c r="D1111"/>
      <c r="E1111"/>
      <c r="F1111" t="s">
        <v>9</v>
      </c>
    </row>
    <row r="1112" spans="2:6" x14ac:dyDescent="0.2">
      <c r="B1112"/>
      <c r="C1112"/>
      <c r="D1112"/>
      <c r="E1112"/>
      <c r="F1112" t="s">
        <v>27</v>
      </c>
    </row>
    <row r="1113" spans="2:6" x14ac:dyDescent="0.2">
      <c r="B1113"/>
      <c r="C1113"/>
      <c r="D1113"/>
      <c r="E1113"/>
      <c r="F1113" t="s">
        <v>10</v>
      </c>
    </row>
    <row r="1114" spans="2:6" x14ac:dyDescent="0.2">
      <c r="B1114"/>
      <c r="C1114"/>
      <c r="D1114"/>
      <c r="E1114"/>
      <c r="F1114" t="s">
        <v>37</v>
      </c>
    </row>
    <row r="1115" spans="2:6" x14ac:dyDescent="0.2">
      <c r="B1115"/>
      <c r="C1115"/>
      <c r="D1115"/>
      <c r="E1115"/>
      <c r="F1115" t="s">
        <v>14</v>
      </c>
    </row>
    <row r="1116" spans="2:6" x14ac:dyDescent="0.2">
      <c r="B1116"/>
      <c r="C1116"/>
      <c r="D1116"/>
      <c r="E1116"/>
      <c r="F1116" t="s">
        <v>15</v>
      </c>
    </row>
    <row r="1117" spans="2:6" x14ac:dyDescent="0.2">
      <c r="B1117"/>
      <c r="C1117"/>
      <c r="D1117"/>
      <c r="E1117"/>
      <c r="F1117" t="s">
        <v>30</v>
      </c>
    </row>
    <row r="1118" spans="2:6" x14ac:dyDescent="0.2">
      <c r="B1118"/>
      <c r="C1118"/>
      <c r="D1118"/>
      <c r="E1118"/>
      <c r="F1118" t="s">
        <v>31</v>
      </c>
    </row>
    <row r="1119" spans="2:6" x14ac:dyDescent="0.2">
      <c r="B1119"/>
      <c r="C1119"/>
      <c r="D1119"/>
      <c r="E1119"/>
      <c r="F1119" t="s">
        <v>32</v>
      </c>
    </row>
    <row r="1120" spans="2:6" x14ac:dyDescent="0.2">
      <c r="B1120"/>
      <c r="C1120"/>
      <c r="D1120"/>
      <c r="E1120"/>
      <c r="F1120" t="s">
        <v>38</v>
      </c>
    </row>
    <row r="1121" spans="2:6" x14ac:dyDescent="0.2">
      <c r="B1121"/>
      <c r="C1121"/>
      <c r="D1121"/>
      <c r="E1121"/>
      <c r="F1121" t="s">
        <v>33</v>
      </c>
    </row>
    <row r="1122" spans="2:6" x14ac:dyDescent="0.2">
      <c r="B1122" t="s">
        <v>958</v>
      </c>
      <c r="C1122" t="s">
        <v>1079</v>
      </c>
      <c r="D1122" t="s">
        <v>970</v>
      </c>
      <c r="E1122" t="s">
        <v>1192</v>
      </c>
      <c r="F1122" t="s">
        <v>70</v>
      </c>
    </row>
    <row r="1123" spans="2:6" x14ac:dyDescent="0.2">
      <c r="B1123"/>
      <c r="C1123"/>
      <c r="D1123"/>
      <c r="E1123"/>
      <c r="F1123" t="s">
        <v>1004</v>
      </c>
    </row>
    <row r="1124" spans="2:6" x14ac:dyDescent="0.2">
      <c r="B1124" t="s">
        <v>149</v>
      </c>
      <c r="C1124" t="s">
        <v>636</v>
      </c>
      <c r="D1124" t="s">
        <v>969</v>
      </c>
      <c r="E1124" t="s">
        <v>965</v>
      </c>
      <c r="F1124" t="s">
        <v>36</v>
      </c>
    </row>
    <row r="1125" spans="2:6" x14ac:dyDescent="0.2">
      <c r="B1125"/>
      <c r="C1125"/>
      <c r="D1125"/>
      <c r="E1125"/>
      <c r="F1125" t="s">
        <v>43</v>
      </c>
    </row>
    <row r="1126" spans="2:6" x14ac:dyDescent="0.2">
      <c r="B1126"/>
      <c r="C1126"/>
      <c r="D1126"/>
      <c r="E1126"/>
      <c r="F1126" t="s">
        <v>4</v>
      </c>
    </row>
    <row r="1127" spans="2:6" x14ac:dyDescent="0.2">
      <c r="B1127"/>
      <c r="C1127"/>
      <c r="D1127"/>
      <c r="E1127"/>
      <c r="F1127" t="s">
        <v>5</v>
      </c>
    </row>
    <row r="1128" spans="2:6" x14ac:dyDescent="0.2">
      <c r="B1128"/>
      <c r="C1128"/>
      <c r="D1128"/>
      <c r="E1128"/>
      <c r="F1128" t="s">
        <v>6</v>
      </c>
    </row>
    <row r="1129" spans="2:6" x14ac:dyDescent="0.2">
      <c r="B1129"/>
      <c r="C1129"/>
      <c r="D1129"/>
      <c r="E1129"/>
      <c r="F1129" t="s">
        <v>7</v>
      </c>
    </row>
    <row r="1130" spans="2:6" x14ac:dyDescent="0.2">
      <c r="B1130"/>
      <c r="C1130"/>
      <c r="D1130"/>
      <c r="E1130"/>
      <c r="F1130" t="s">
        <v>8</v>
      </c>
    </row>
    <row r="1131" spans="2:6" x14ac:dyDescent="0.2">
      <c r="B1131"/>
      <c r="C1131"/>
      <c r="D1131"/>
      <c r="E1131"/>
      <c r="F1131" t="s">
        <v>24</v>
      </c>
    </row>
    <row r="1132" spans="2:6" x14ac:dyDescent="0.2">
      <c r="B1132"/>
      <c r="C1132"/>
      <c r="D1132"/>
      <c r="E1132"/>
      <c r="F1132" t="s">
        <v>25</v>
      </c>
    </row>
    <row r="1133" spans="2:6" x14ac:dyDescent="0.2">
      <c r="B1133"/>
      <c r="C1133"/>
      <c r="D1133"/>
      <c r="E1133"/>
      <c r="F1133" t="s">
        <v>9</v>
      </c>
    </row>
    <row r="1134" spans="2:6" x14ac:dyDescent="0.2">
      <c r="B1134"/>
      <c r="C1134"/>
      <c r="D1134"/>
      <c r="E1134"/>
      <c r="F1134" t="s">
        <v>49</v>
      </c>
    </row>
    <row r="1135" spans="2:6" x14ac:dyDescent="0.2">
      <c r="B1135"/>
      <c r="C1135"/>
      <c r="D1135"/>
      <c r="E1135"/>
      <c r="F1135" t="s">
        <v>27</v>
      </c>
    </row>
    <row r="1136" spans="2:6" x14ac:dyDescent="0.2">
      <c r="B1136"/>
      <c r="C1136"/>
      <c r="D1136"/>
      <c r="E1136"/>
      <c r="F1136" t="s">
        <v>59</v>
      </c>
    </row>
    <row r="1137" spans="2:6" x14ac:dyDescent="0.2">
      <c r="B1137"/>
      <c r="C1137"/>
      <c r="D1137"/>
      <c r="E1137"/>
      <c r="F1137" t="s">
        <v>10</v>
      </c>
    </row>
    <row r="1138" spans="2:6" x14ac:dyDescent="0.2">
      <c r="B1138"/>
      <c r="C1138"/>
      <c r="D1138"/>
      <c r="E1138"/>
      <c r="F1138" t="s">
        <v>21</v>
      </c>
    </row>
    <row r="1139" spans="2:6" x14ac:dyDescent="0.2">
      <c r="B1139"/>
      <c r="C1139"/>
      <c r="D1139"/>
      <c r="E1139"/>
      <c r="F1139" t="s">
        <v>11</v>
      </c>
    </row>
    <row r="1140" spans="2:6" x14ac:dyDescent="0.2">
      <c r="B1140"/>
      <c r="C1140"/>
      <c r="D1140"/>
      <c r="E1140"/>
      <c r="F1140" t="s">
        <v>22</v>
      </c>
    </row>
    <row r="1141" spans="2:6" x14ac:dyDescent="0.2">
      <c r="B1141"/>
      <c r="C1141"/>
      <c r="D1141"/>
      <c r="E1141"/>
      <c r="F1141" t="s">
        <v>39</v>
      </c>
    </row>
    <row r="1142" spans="2:6" x14ac:dyDescent="0.2">
      <c r="B1142"/>
      <c r="C1142"/>
      <c r="D1142"/>
      <c r="E1142"/>
      <c r="F1142" t="s">
        <v>29</v>
      </c>
    </row>
    <row r="1143" spans="2:6" x14ac:dyDescent="0.2">
      <c r="B1143"/>
      <c r="C1143"/>
      <c r="D1143"/>
      <c r="E1143"/>
      <c r="F1143" t="s">
        <v>37</v>
      </c>
    </row>
    <row r="1144" spans="2:6" x14ac:dyDescent="0.2">
      <c r="B1144"/>
      <c r="C1144"/>
      <c r="D1144"/>
      <c r="E1144"/>
      <c r="F1144" t="s">
        <v>13</v>
      </c>
    </row>
    <row r="1145" spans="2:6" x14ac:dyDescent="0.2">
      <c r="B1145"/>
      <c r="C1145"/>
      <c r="D1145"/>
      <c r="E1145"/>
      <c r="F1145" t="s">
        <v>14</v>
      </c>
    </row>
    <row r="1146" spans="2:6" x14ac:dyDescent="0.2">
      <c r="B1146"/>
      <c r="C1146"/>
      <c r="D1146"/>
      <c r="E1146"/>
      <c r="F1146" t="s">
        <v>15</v>
      </c>
    </row>
    <row r="1147" spans="2:6" x14ac:dyDescent="0.2">
      <c r="B1147"/>
      <c r="C1147"/>
      <c r="D1147"/>
      <c r="E1147"/>
      <c r="F1147" t="s">
        <v>30</v>
      </c>
    </row>
    <row r="1148" spans="2:6" x14ac:dyDescent="0.2">
      <c r="B1148"/>
      <c r="C1148"/>
      <c r="D1148"/>
      <c r="E1148"/>
      <c r="F1148" t="s">
        <v>53</v>
      </c>
    </row>
    <row r="1149" spans="2:6" x14ac:dyDescent="0.2">
      <c r="B1149"/>
      <c r="C1149"/>
      <c r="D1149"/>
      <c r="E1149"/>
      <c r="F1149" t="s">
        <v>31</v>
      </c>
    </row>
    <row r="1150" spans="2:6" x14ac:dyDescent="0.2">
      <c r="B1150"/>
      <c r="C1150"/>
      <c r="D1150"/>
      <c r="E1150"/>
      <c r="F1150" t="s">
        <v>32</v>
      </c>
    </row>
    <row r="1151" spans="2:6" x14ac:dyDescent="0.2">
      <c r="B1151"/>
      <c r="C1151"/>
      <c r="D1151"/>
      <c r="E1151"/>
      <c r="F1151" t="s">
        <v>54</v>
      </c>
    </row>
    <row r="1152" spans="2:6" x14ac:dyDescent="0.2">
      <c r="B1152"/>
      <c r="C1152"/>
      <c r="D1152"/>
      <c r="E1152"/>
      <c r="F1152" t="s">
        <v>38</v>
      </c>
    </row>
    <row r="1153" spans="2:6" x14ac:dyDescent="0.2">
      <c r="B1153"/>
      <c r="C1153"/>
      <c r="D1153"/>
      <c r="E1153"/>
      <c r="F1153" t="s">
        <v>55</v>
      </c>
    </row>
    <row r="1154" spans="2:6" x14ac:dyDescent="0.2">
      <c r="B1154"/>
      <c r="C1154"/>
      <c r="D1154"/>
      <c r="E1154"/>
      <c r="F1154" t="s">
        <v>56</v>
      </c>
    </row>
    <row r="1155" spans="2:6" x14ac:dyDescent="0.2">
      <c r="B1155"/>
      <c r="C1155"/>
      <c r="D1155"/>
      <c r="E1155"/>
      <c r="F1155" t="s">
        <v>33</v>
      </c>
    </row>
    <row r="1156" spans="2:6" x14ac:dyDescent="0.2">
      <c r="B1156" t="s">
        <v>150</v>
      </c>
      <c r="C1156" t="s">
        <v>637</v>
      </c>
      <c r="D1156" t="s">
        <v>970</v>
      </c>
      <c r="E1156" t="s">
        <v>965</v>
      </c>
      <c r="F1156" t="s">
        <v>21</v>
      </c>
    </row>
    <row r="1157" spans="2:6" x14ac:dyDescent="0.2">
      <c r="B1157" t="s">
        <v>151</v>
      </c>
      <c r="C1157" t="s">
        <v>638</v>
      </c>
      <c r="D1157" t="s">
        <v>969</v>
      </c>
      <c r="E1157" t="s">
        <v>1193</v>
      </c>
      <c r="F1157" t="s">
        <v>36</v>
      </c>
    </row>
    <row r="1158" spans="2:6" x14ac:dyDescent="0.2">
      <c r="B1158"/>
      <c r="C1158"/>
      <c r="D1158"/>
      <c r="E1158"/>
      <c r="F1158" t="s">
        <v>43</v>
      </c>
    </row>
    <row r="1159" spans="2:6" x14ac:dyDescent="0.2">
      <c r="B1159"/>
      <c r="C1159"/>
      <c r="D1159"/>
      <c r="E1159"/>
      <c r="F1159" t="s">
        <v>4</v>
      </c>
    </row>
    <row r="1160" spans="2:6" x14ac:dyDescent="0.2">
      <c r="B1160"/>
      <c r="C1160"/>
      <c r="D1160"/>
      <c r="E1160"/>
      <c r="F1160" t="s">
        <v>5</v>
      </c>
    </row>
    <row r="1161" spans="2:6" x14ac:dyDescent="0.2">
      <c r="B1161"/>
      <c r="C1161"/>
      <c r="D1161"/>
      <c r="E1161"/>
      <c r="F1161" t="s">
        <v>7</v>
      </c>
    </row>
    <row r="1162" spans="2:6" x14ac:dyDescent="0.2">
      <c r="B1162"/>
      <c r="C1162"/>
      <c r="D1162"/>
      <c r="E1162"/>
      <c r="F1162" t="s">
        <v>8</v>
      </c>
    </row>
    <row r="1163" spans="2:6" x14ac:dyDescent="0.2">
      <c r="B1163"/>
      <c r="C1163"/>
      <c r="D1163"/>
      <c r="E1163"/>
      <c r="F1163" t="s">
        <v>24</v>
      </c>
    </row>
    <row r="1164" spans="2:6" x14ac:dyDescent="0.2">
      <c r="B1164"/>
      <c r="C1164"/>
      <c r="D1164"/>
      <c r="E1164"/>
      <c r="F1164" t="s">
        <v>25</v>
      </c>
    </row>
    <row r="1165" spans="2:6" x14ac:dyDescent="0.2">
      <c r="B1165"/>
      <c r="C1165"/>
      <c r="D1165"/>
      <c r="E1165"/>
      <c r="F1165" t="s">
        <v>9</v>
      </c>
    </row>
    <row r="1166" spans="2:6" x14ac:dyDescent="0.2">
      <c r="B1166"/>
      <c r="C1166"/>
      <c r="D1166"/>
      <c r="E1166"/>
      <c r="F1166" t="s">
        <v>20</v>
      </c>
    </row>
    <row r="1167" spans="2:6" x14ac:dyDescent="0.2">
      <c r="B1167"/>
      <c r="C1167"/>
      <c r="D1167"/>
      <c r="E1167"/>
      <c r="F1167" t="s">
        <v>49</v>
      </c>
    </row>
    <row r="1168" spans="2:6" x14ac:dyDescent="0.2">
      <c r="B1168"/>
      <c r="C1168"/>
      <c r="D1168"/>
      <c r="E1168"/>
      <c r="F1168" t="s">
        <v>27</v>
      </c>
    </row>
    <row r="1169" spans="2:6" x14ac:dyDescent="0.2">
      <c r="B1169"/>
      <c r="C1169"/>
      <c r="D1169"/>
      <c r="E1169"/>
      <c r="F1169" t="s">
        <v>81</v>
      </c>
    </row>
    <row r="1170" spans="2:6" x14ac:dyDescent="0.2">
      <c r="B1170"/>
      <c r="C1170"/>
      <c r="D1170"/>
      <c r="E1170"/>
      <c r="F1170" t="s">
        <v>59</v>
      </c>
    </row>
    <row r="1171" spans="2:6" x14ac:dyDescent="0.2">
      <c r="B1171"/>
      <c r="C1171"/>
      <c r="D1171"/>
      <c r="E1171"/>
      <c r="F1171" t="s">
        <v>10</v>
      </c>
    </row>
    <row r="1172" spans="2:6" x14ac:dyDescent="0.2">
      <c r="B1172"/>
      <c r="C1172"/>
      <c r="D1172"/>
      <c r="E1172"/>
      <c r="F1172" t="s">
        <v>21</v>
      </c>
    </row>
    <row r="1173" spans="2:6" x14ac:dyDescent="0.2">
      <c r="B1173"/>
      <c r="C1173"/>
      <c r="D1173"/>
      <c r="E1173"/>
      <c r="F1173" t="s">
        <v>11</v>
      </c>
    </row>
    <row r="1174" spans="2:6" x14ac:dyDescent="0.2">
      <c r="B1174"/>
      <c r="C1174"/>
      <c r="D1174"/>
      <c r="E1174"/>
      <c r="F1174" t="s">
        <v>22</v>
      </c>
    </row>
    <row r="1175" spans="2:6" x14ac:dyDescent="0.2">
      <c r="B1175"/>
      <c r="C1175"/>
      <c r="D1175"/>
      <c r="E1175"/>
      <c r="F1175" t="s">
        <v>51</v>
      </c>
    </row>
    <row r="1176" spans="2:6" x14ac:dyDescent="0.2">
      <c r="B1176"/>
      <c r="C1176"/>
      <c r="D1176"/>
      <c r="E1176"/>
      <c r="F1176" t="s">
        <v>12</v>
      </c>
    </row>
    <row r="1177" spans="2:6" x14ac:dyDescent="0.2">
      <c r="B1177"/>
      <c r="C1177"/>
      <c r="D1177"/>
      <c r="E1177"/>
      <c r="F1177" t="s">
        <v>28</v>
      </c>
    </row>
    <row r="1178" spans="2:6" x14ac:dyDescent="0.2">
      <c r="B1178"/>
      <c r="C1178"/>
      <c r="D1178"/>
      <c r="E1178"/>
      <c r="F1178" t="s">
        <v>29</v>
      </c>
    </row>
    <row r="1179" spans="2:6" x14ac:dyDescent="0.2">
      <c r="B1179"/>
      <c r="C1179"/>
      <c r="D1179"/>
      <c r="E1179"/>
      <c r="F1179" t="s">
        <v>37</v>
      </c>
    </row>
    <row r="1180" spans="2:6" x14ac:dyDescent="0.2">
      <c r="B1180"/>
      <c r="C1180"/>
      <c r="D1180"/>
      <c r="E1180"/>
      <c r="F1180" t="s">
        <v>13</v>
      </c>
    </row>
    <row r="1181" spans="2:6" x14ac:dyDescent="0.2">
      <c r="B1181"/>
      <c r="C1181"/>
      <c r="D1181"/>
      <c r="E1181"/>
      <c r="F1181" t="s">
        <v>14</v>
      </c>
    </row>
    <row r="1182" spans="2:6" x14ac:dyDescent="0.2">
      <c r="B1182"/>
      <c r="C1182"/>
      <c r="D1182"/>
      <c r="E1182"/>
      <c r="F1182" t="s">
        <v>15</v>
      </c>
    </row>
    <row r="1183" spans="2:6" x14ac:dyDescent="0.2">
      <c r="B1183"/>
      <c r="C1183"/>
      <c r="D1183"/>
      <c r="E1183"/>
      <c r="F1183" t="s">
        <v>30</v>
      </c>
    </row>
    <row r="1184" spans="2:6" x14ac:dyDescent="0.2">
      <c r="B1184"/>
      <c r="C1184"/>
      <c r="D1184"/>
      <c r="E1184"/>
      <c r="F1184" t="s">
        <v>53</v>
      </c>
    </row>
    <row r="1185" spans="2:6" x14ac:dyDescent="0.2">
      <c r="B1185"/>
      <c r="C1185"/>
      <c r="D1185"/>
      <c r="E1185"/>
      <c r="F1185" t="s">
        <v>31</v>
      </c>
    </row>
    <row r="1186" spans="2:6" x14ac:dyDescent="0.2">
      <c r="B1186"/>
      <c r="C1186"/>
      <c r="D1186"/>
      <c r="E1186"/>
      <c r="F1186" t="s">
        <v>32</v>
      </c>
    </row>
    <row r="1187" spans="2:6" x14ac:dyDescent="0.2">
      <c r="B1187"/>
      <c r="C1187"/>
      <c r="D1187"/>
      <c r="E1187"/>
      <c r="F1187" t="s">
        <v>38</v>
      </c>
    </row>
    <row r="1188" spans="2:6" x14ac:dyDescent="0.2">
      <c r="B1188"/>
      <c r="C1188"/>
      <c r="D1188"/>
      <c r="E1188"/>
      <c r="F1188" t="s">
        <v>33</v>
      </c>
    </row>
    <row r="1189" spans="2:6" x14ac:dyDescent="0.2">
      <c r="B1189" t="s">
        <v>152</v>
      </c>
      <c r="C1189" t="s">
        <v>870</v>
      </c>
      <c r="D1189" t="s">
        <v>969</v>
      </c>
      <c r="E1189" t="s">
        <v>1194</v>
      </c>
      <c r="F1189" t="s">
        <v>5</v>
      </c>
    </row>
    <row r="1190" spans="2:6" x14ac:dyDescent="0.2">
      <c r="B1190"/>
      <c r="C1190"/>
      <c r="D1190"/>
      <c r="E1190"/>
      <c r="F1190" t="s">
        <v>8</v>
      </c>
    </row>
    <row r="1191" spans="2:6" x14ac:dyDescent="0.2">
      <c r="B1191"/>
      <c r="C1191"/>
      <c r="D1191"/>
      <c r="E1191"/>
      <c r="F1191" t="s">
        <v>24</v>
      </c>
    </row>
    <row r="1192" spans="2:6" x14ac:dyDescent="0.2">
      <c r="B1192"/>
      <c r="C1192"/>
      <c r="D1192"/>
      <c r="E1192"/>
      <c r="F1192" t="s">
        <v>25</v>
      </c>
    </row>
    <row r="1193" spans="2:6" x14ac:dyDescent="0.2">
      <c r="B1193"/>
      <c r="C1193"/>
      <c r="D1193"/>
      <c r="E1193"/>
      <c r="F1193" t="s">
        <v>9</v>
      </c>
    </row>
    <row r="1194" spans="2:6" x14ac:dyDescent="0.2">
      <c r="B1194"/>
      <c r="C1194"/>
      <c r="D1194"/>
      <c r="E1194"/>
      <c r="F1194" t="s">
        <v>27</v>
      </c>
    </row>
    <row r="1195" spans="2:6" x14ac:dyDescent="0.2">
      <c r="B1195"/>
      <c r="C1195"/>
      <c r="D1195"/>
      <c r="E1195"/>
      <c r="F1195" t="s">
        <v>10</v>
      </c>
    </row>
    <row r="1196" spans="2:6" x14ac:dyDescent="0.2">
      <c r="B1196"/>
      <c r="C1196"/>
      <c r="D1196"/>
      <c r="E1196"/>
      <c r="F1196" t="s">
        <v>50</v>
      </c>
    </row>
    <row r="1197" spans="2:6" x14ac:dyDescent="0.2">
      <c r="B1197"/>
      <c r="C1197"/>
      <c r="D1197"/>
      <c r="E1197"/>
      <c r="F1197" t="s">
        <v>18</v>
      </c>
    </row>
    <row r="1198" spans="2:6" x14ac:dyDescent="0.2">
      <c r="B1198"/>
      <c r="C1198"/>
      <c r="D1198"/>
      <c r="E1198"/>
      <c r="F1198" t="s">
        <v>11</v>
      </c>
    </row>
    <row r="1199" spans="2:6" x14ac:dyDescent="0.2">
      <c r="B1199"/>
      <c r="C1199"/>
      <c r="D1199"/>
      <c r="E1199"/>
      <c r="F1199" t="s">
        <v>12</v>
      </c>
    </row>
    <row r="1200" spans="2:6" x14ac:dyDescent="0.2">
      <c r="B1200"/>
      <c r="C1200"/>
      <c r="D1200"/>
      <c r="E1200"/>
      <c r="F1200" t="s">
        <v>29</v>
      </c>
    </row>
    <row r="1201" spans="2:6" x14ac:dyDescent="0.2">
      <c r="B1201"/>
      <c r="C1201"/>
      <c r="D1201"/>
      <c r="E1201"/>
      <c r="F1201" t="s">
        <v>37</v>
      </c>
    </row>
    <row r="1202" spans="2:6" x14ac:dyDescent="0.2">
      <c r="B1202"/>
      <c r="C1202"/>
      <c r="D1202"/>
      <c r="E1202"/>
      <c r="F1202" t="s">
        <v>14</v>
      </c>
    </row>
    <row r="1203" spans="2:6" x14ac:dyDescent="0.2">
      <c r="B1203"/>
      <c r="C1203"/>
      <c r="D1203"/>
      <c r="E1203"/>
      <c r="F1203" t="s">
        <v>15</v>
      </c>
    </row>
    <row r="1204" spans="2:6" x14ac:dyDescent="0.2">
      <c r="B1204"/>
      <c r="C1204"/>
      <c r="D1204"/>
      <c r="E1204"/>
      <c r="F1204" t="s">
        <v>31</v>
      </c>
    </row>
    <row r="1205" spans="2:6" x14ac:dyDescent="0.2">
      <c r="B1205"/>
      <c r="C1205"/>
      <c r="D1205"/>
      <c r="E1205"/>
      <c r="F1205" t="s">
        <v>32</v>
      </c>
    </row>
    <row r="1206" spans="2:6" x14ac:dyDescent="0.2">
      <c r="B1206" t="s">
        <v>153</v>
      </c>
      <c r="C1206" t="s">
        <v>829</v>
      </c>
      <c r="D1206" t="s">
        <v>970</v>
      </c>
      <c r="E1206" t="s">
        <v>1195</v>
      </c>
      <c r="F1206" t="s">
        <v>6</v>
      </c>
    </row>
    <row r="1207" spans="2:6" x14ac:dyDescent="0.2">
      <c r="B1207"/>
      <c r="C1207"/>
      <c r="D1207"/>
      <c r="E1207"/>
      <c r="F1207" t="s">
        <v>7</v>
      </c>
    </row>
    <row r="1208" spans="2:6" x14ac:dyDescent="0.2">
      <c r="B1208"/>
      <c r="C1208"/>
      <c r="D1208"/>
      <c r="E1208"/>
      <c r="F1208" t="s">
        <v>8</v>
      </c>
    </row>
    <row r="1209" spans="2:6" x14ac:dyDescent="0.2">
      <c r="B1209"/>
      <c r="C1209"/>
      <c r="D1209"/>
      <c r="E1209"/>
      <c r="F1209" t="s">
        <v>12</v>
      </c>
    </row>
    <row r="1210" spans="2:6" x14ac:dyDescent="0.2">
      <c r="B1210"/>
      <c r="C1210"/>
      <c r="D1210"/>
      <c r="E1210"/>
      <c r="F1210" t="s">
        <v>29</v>
      </c>
    </row>
    <row r="1211" spans="2:6" x14ac:dyDescent="0.2">
      <c r="B1211"/>
      <c r="C1211"/>
      <c r="D1211"/>
      <c r="E1211"/>
      <c r="F1211" t="s">
        <v>15</v>
      </c>
    </row>
    <row r="1212" spans="2:6" x14ac:dyDescent="0.2">
      <c r="B1212" t="s">
        <v>154</v>
      </c>
      <c r="C1212" t="s">
        <v>639</v>
      </c>
      <c r="D1212" t="s">
        <v>970</v>
      </c>
      <c r="E1212" t="s">
        <v>965</v>
      </c>
      <c r="F1212" t="s">
        <v>10</v>
      </c>
    </row>
    <row r="1213" spans="2:6" x14ac:dyDescent="0.2">
      <c r="B1213" t="s">
        <v>996</v>
      </c>
      <c r="C1213" t="s">
        <v>997</v>
      </c>
      <c r="D1213" t="s">
        <v>970</v>
      </c>
      <c r="E1213" t="s">
        <v>965</v>
      </c>
      <c r="F1213" t="s">
        <v>39</v>
      </c>
    </row>
    <row r="1214" spans="2:6" x14ac:dyDescent="0.2">
      <c r="B1214" t="s">
        <v>155</v>
      </c>
      <c r="C1214" t="s">
        <v>640</v>
      </c>
      <c r="D1214" t="s">
        <v>970</v>
      </c>
      <c r="E1214" t="s">
        <v>1134</v>
      </c>
      <c r="F1214" t="s">
        <v>4</v>
      </c>
    </row>
    <row r="1215" spans="2:6" x14ac:dyDescent="0.2">
      <c r="B1215"/>
      <c r="C1215"/>
      <c r="D1215"/>
      <c r="E1215"/>
      <c r="F1215" t="s">
        <v>5</v>
      </c>
    </row>
    <row r="1216" spans="2:6" x14ac:dyDescent="0.2">
      <c r="B1216"/>
      <c r="C1216"/>
      <c r="D1216"/>
      <c r="E1216"/>
      <c r="F1216" t="s">
        <v>8</v>
      </c>
    </row>
    <row r="1217" spans="2:6" x14ac:dyDescent="0.2">
      <c r="B1217"/>
      <c r="C1217"/>
      <c r="D1217"/>
      <c r="E1217"/>
      <c r="F1217" t="s">
        <v>25</v>
      </c>
    </row>
    <row r="1218" spans="2:6" x14ac:dyDescent="0.2">
      <c r="B1218"/>
      <c r="C1218"/>
      <c r="D1218"/>
      <c r="E1218"/>
      <c r="F1218" t="s">
        <v>9</v>
      </c>
    </row>
    <row r="1219" spans="2:6" x14ac:dyDescent="0.2">
      <c r="B1219"/>
      <c r="C1219"/>
      <c r="D1219"/>
      <c r="E1219"/>
      <c r="F1219" t="s">
        <v>27</v>
      </c>
    </row>
    <row r="1220" spans="2:6" x14ac:dyDescent="0.2">
      <c r="B1220"/>
      <c r="C1220"/>
      <c r="D1220"/>
      <c r="E1220"/>
      <c r="F1220" t="s">
        <v>10</v>
      </c>
    </row>
    <row r="1221" spans="2:6" x14ac:dyDescent="0.2">
      <c r="B1221"/>
      <c r="C1221"/>
      <c r="D1221"/>
      <c r="E1221"/>
      <c r="F1221" t="s">
        <v>21</v>
      </c>
    </row>
    <row r="1222" spans="2:6" x14ac:dyDescent="0.2">
      <c r="B1222"/>
      <c r="C1222"/>
      <c r="D1222"/>
      <c r="E1222"/>
      <c r="F1222" t="s">
        <v>29</v>
      </c>
    </row>
    <row r="1223" spans="2:6" x14ac:dyDescent="0.2">
      <c r="B1223"/>
      <c r="C1223"/>
      <c r="D1223"/>
      <c r="E1223"/>
      <c r="F1223" t="s">
        <v>13</v>
      </c>
    </row>
    <row r="1224" spans="2:6" x14ac:dyDescent="0.2">
      <c r="B1224"/>
      <c r="C1224"/>
      <c r="D1224"/>
      <c r="E1224"/>
      <c r="F1224" t="s">
        <v>14</v>
      </c>
    </row>
    <row r="1225" spans="2:6" x14ac:dyDescent="0.2">
      <c r="B1225"/>
      <c r="C1225"/>
      <c r="D1225"/>
      <c r="E1225"/>
      <c r="F1225" t="s">
        <v>15</v>
      </c>
    </row>
    <row r="1226" spans="2:6" x14ac:dyDescent="0.2">
      <c r="B1226" t="s">
        <v>156</v>
      </c>
      <c r="C1226" t="s">
        <v>641</v>
      </c>
      <c r="D1226" t="s">
        <v>970</v>
      </c>
      <c r="E1226" t="s">
        <v>965</v>
      </c>
      <c r="F1226" t="s">
        <v>26</v>
      </c>
    </row>
    <row r="1227" spans="2:6" x14ac:dyDescent="0.2">
      <c r="B1227"/>
      <c r="C1227"/>
      <c r="D1227"/>
      <c r="E1227"/>
      <c r="F1227" t="s">
        <v>20</v>
      </c>
    </row>
    <row r="1228" spans="2:6" x14ac:dyDescent="0.2">
      <c r="B1228"/>
      <c r="C1228"/>
      <c r="D1228"/>
      <c r="E1228"/>
      <c r="F1228" t="s">
        <v>27</v>
      </c>
    </row>
    <row r="1229" spans="2:6" x14ac:dyDescent="0.2">
      <c r="B1229"/>
      <c r="C1229"/>
      <c r="D1229"/>
      <c r="E1229"/>
      <c r="F1229" t="s">
        <v>21</v>
      </c>
    </row>
    <row r="1230" spans="2:6" x14ac:dyDescent="0.2">
      <c r="B1230"/>
      <c r="C1230"/>
      <c r="D1230"/>
      <c r="E1230"/>
      <c r="F1230" t="s">
        <v>22</v>
      </c>
    </row>
    <row r="1231" spans="2:6" x14ac:dyDescent="0.2">
      <c r="B1231"/>
      <c r="C1231"/>
      <c r="D1231"/>
      <c r="E1231"/>
      <c r="F1231" t="s">
        <v>14</v>
      </c>
    </row>
    <row r="1232" spans="2:6" x14ac:dyDescent="0.2">
      <c r="B1232" t="s">
        <v>1050</v>
      </c>
      <c r="C1232" t="s">
        <v>1051</v>
      </c>
      <c r="D1232" t="s">
        <v>969</v>
      </c>
      <c r="E1232" t="s">
        <v>1132</v>
      </c>
      <c r="F1232" t="s">
        <v>36</v>
      </c>
    </row>
    <row r="1233" spans="2:6" x14ac:dyDescent="0.2">
      <c r="B1233"/>
      <c r="C1233"/>
      <c r="D1233"/>
      <c r="E1233"/>
      <c r="F1233" t="s">
        <v>125</v>
      </c>
    </row>
    <row r="1234" spans="2:6" x14ac:dyDescent="0.2">
      <c r="B1234"/>
      <c r="C1234"/>
      <c r="D1234"/>
      <c r="E1234"/>
      <c r="F1234" t="s">
        <v>42</v>
      </c>
    </row>
    <row r="1235" spans="2:6" x14ac:dyDescent="0.2">
      <c r="B1235"/>
      <c r="C1235"/>
      <c r="D1235"/>
      <c r="E1235"/>
      <c r="F1235" t="s">
        <v>51</v>
      </c>
    </row>
    <row r="1236" spans="2:6" x14ac:dyDescent="0.2">
      <c r="B1236" t="s">
        <v>157</v>
      </c>
      <c r="C1236" t="s">
        <v>642</v>
      </c>
      <c r="D1236" t="s">
        <v>970</v>
      </c>
      <c r="E1236" t="s">
        <v>965</v>
      </c>
      <c r="F1236" t="s">
        <v>4</v>
      </c>
    </row>
    <row r="1237" spans="2:6" x14ac:dyDescent="0.2">
      <c r="B1237"/>
      <c r="C1237"/>
      <c r="D1237"/>
      <c r="E1237"/>
      <c r="F1237" t="s">
        <v>5</v>
      </c>
    </row>
    <row r="1238" spans="2:6" x14ac:dyDescent="0.2">
      <c r="B1238"/>
      <c r="C1238"/>
      <c r="D1238"/>
      <c r="E1238"/>
      <c r="F1238" t="s">
        <v>9</v>
      </c>
    </row>
    <row r="1239" spans="2:6" x14ac:dyDescent="0.2">
      <c r="B1239"/>
      <c r="C1239"/>
      <c r="D1239"/>
      <c r="E1239"/>
      <c r="F1239" t="s">
        <v>10</v>
      </c>
    </row>
    <row r="1240" spans="2:6" x14ac:dyDescent="0.2">
      <c r="B1240"/>
      <c r="C1240"/>
      <c r="D1240"/>
      <c r="E1240"/>
      <c r="F1240" t="s">
        <v>30</v>
      </c>
    </row>
    <row r="1241" spans="2:6" x14ac:dyDescent="0.2">
      <c r="B1241"/>
      <c r="C1241"/>
      <c r="D1241"/>
      <c r="E1241"/>
      <c r="F1241" t="s">
        <v>53</v>
      </c>
    </row>
    <row r="1242" spans="2:6" x14ac:dyDescent="0.2">
      <c r="B1242"/>
      <c r="C1242"/>
      <c r="D1242"/>
      <c r="E1242"/>
      <c r="F1242" t="s">
        <v>31</v>
      </c>
    </row>
    <row r="1243" spans="2:6" x14ac:dyDescent="0.2">
      <c r="B1243"/>
      <c r="C1243"/>
      <c r="D1243"/>
      <c r="E1243"/>
      <c r="F1243" t="s">
        <v>32</v>
      </c>
    </row>
    <row r="1244" spans="2:6" x14ac:dyDescent="0.2">
      <c r="B1244"/>
      <c r="C1244"/>
      <c r="D1244"/>
      <c r="E1244"/>
      <c r="F1244" t="s">
        <v>38</v>
      </c>
    </row>
    <row r="1245" spans="2:6" x14ac:dyDescent="0.2">
      <c r="B1245" t="s">
        <v>158</v>
      </c>
      <c r="C1245" t="s">
        <v>643</v>
      </c>
      <c r="D1245" t="s">
        <v>970</v>
      </c>
      <c r="E1245" t="s">
        <v>1133</v>
      </c>
      <c r="F1245" t="s">
        <v>4</v>
      </c>
    </row>
    <row r="1246" spans="2:6" x14ac:dyDescent="0.2">
      <c r="B1246"/>
      <c r="C1246"/>
      <c r="D1246"/>
      <c r="E1246"/>
      <c r="F1246" t="s">
        <v>5</v>
      </c>
    </row>
    <row r="1247" spans="2:6" x14ac:dyDescent="0.2">
      <c r="B1247"/>
      <c r="C1247"/>
      <c r="D1247"/>
      <c r="E1247"/>
      <c r="F1247" t="s">
        <v>8</v>
      </c>
    </row>
    <row r="1248" spans="2:6" x14ac:dyDescent="0.2">
      <c r="B1248"/>
      <c r="C1248"/>
      <c r="D1248"/>
      <c r="E1248"/>
      <c r="F1248" t="s">
        <v>25</v>
      </c>
    </row>
    <row r="1249" spans="2:6" x14ac:dyDescent="0.2">
      <c r="B1249"/>
      <c r="C1249"/>
      <c r="D1249"/>
      <c r="E1249"/>
      <c r="F1249" t="s">
        <v>9</v>
      </c>
    </row>
    <row r="1250" spans="2:6" x14ac:dyDescent="0.2">
      <c r="B1250"/>
      <c r="C1250"/>
      <c r="D1250"/>
      <c r="E1250"/>
      <c r="F1250" t="s">
        <v>10</v>
      </c>
    </row>
    <row r="1251" spans="2:6" x14ac:dyDescent="0.2">
      <c r="B1251"/>
      <c r="C1251"/>
      <c r="D1251"/>
      <c r="E1251"/>
      <c r="F1251" t="s">
        <v>28</v>
      </c>
    </row>
    <row r="1252" spans="2:6" x14ac:dyDescent="0.2">
      <c r="B1252"/>
      <c r="C1252"/>
      <c r="D1252"/>
      <c r="E1252"/>
      <c r="F1252" t="s">
        <v>29</v>
      </c>
    </row>
    <row r="1253" spans="2:6" x14ac:dyDescent="0.2">
      <c r="B1253"/>
      <c r="C1253"/>
      <c r="D1253"/>
      <c r="E1253"/>
      <c r="F1253" t="s">
        <v>13</v>
      </c>
    </row>
    <row r="1254" spans="2:6" x14ac:dyDescent="0.2">
      <c r="B1254"/>
      <c r="C1254"/>
      <c r="D1254"/>
      <c r="E1254"/>
      <c r="F1254" t="s">
        <v>14</v>
      </c>
    </row>
    <row r="1255" spans="2:6" x14ac:dyDescent="0.2">
      <c r="B1255"/>
      <c r="C1255"/>
      <c r="D1255"/>
      <c r="E1255"/>
      <c r="F1255" t="s">
        <v>15</v>
      </c>
    </row>
    <row r="1256" spans="2:6" x14ac:dyDescent="0.2">
      <c r="B1256" t="s">
        <v>929</v>
      </c>
      <c r="C1256" t="s">
        <v>930</v>
      </c>
      <c r="D1256" t="s">
        <v>969</v>
      </c>
      <c r="E1256" t="s">
        <v>1196</v>
      </c>
      <c r="F1256" t="s">
        <v>27</v>
      </c>
    </row>
    <row r="1257" spans="2:6" x14ac:dyDescent="0.2">
      <c r="B1257"/>
      <c r="C1257"/>
      <c r="D1257"/>
      <c r="E1257"/>
      <c r="F1257" t="s">
        <v>14</v>
      </c>
    </row>
    <row r="1258" spans="2:6" x14ac:dyDescent="0.2">
      <c r="B1258" t="s">
        <v>159</v>
      </c>
      <c r="C1258" t="s">
        <v>644</v>
      </c>
      <c r="D1258" t="s">
        <v>969</v>
      </c>
      <c r="E1258" t="s">
        <v>965</v>
      </c>
      <c r="F1258" t="s">
        <v>45</v>
      </c>
    </row>
    <row r="1259" spans="2:6" x14ac:dyDescent="0.2">
      <c r="B1259"/>
      <c r="C1259"/>
      <c r="D1259"/>
      <c r="E1259"/>
      <c r="F1259" t="s">
        <v>46</v>
      </c>
    </row>
    <row r="1260" spans="2:6" x14ac:dyDescent="0.2">
      <c r="B1260"/>
      <c r="C1260"/>
      <c r="D1260"/>
      <c r="E1260"/>
      <c r="F1260" t="s">
        <v>47</v>
      </c>
    </row>
    <row r="1261" spans="2:6" x14ac:dyDescent="0.2">
      <c r="B1261"/>
      <c r="C1261"/>
      <c r="D1261"/>
      <c r="E1261"/>
      <c r="F1261" t="s">
        <v>48</v>
      </c>
    </row>
    <row r="1262" spans="2:6" x14ac:dyDescent="0.2">
      <c r="B1262" t="s">
        <v>160</v>
      </c>
      <c r="C1262" t="s">
        <v>645</v>
      </c>
      <c r="D1262" t="s">
        <v>970</v>
      </c>
      <c r="E1262" t="s">
        <v>1174</v>
      </c>
      <c r="F1262" t="s">
        <v>46</v>
      </c>
    </row>
    <row r="1263" spans="2:6" x14ac:dyDescent="0.2">
      <c r="B1263"/>
      <c r="C1263"/>
      <c r="D1263"/>
      <c r="E1263"/>
      <c r="F1263" t="s">
        <v>47</v>
      </c>
    </row>
    <row r="1264" spans="2:6" x14ac:dyDescent="0.2">
      <c r="B1264"/>
      <c r="C1264"/>
      <c r="D1264"/>
      <c r="E1264"/>
      <c r="F1264" t="s">
        <v>48</v>
      </c>
    </row>
    <row r="1265" spans="2:6" x14ac:dyDescent="0.2">
      <c r="B1265"/>
      <c r="C1265"/>
      <c r="D1265"/>
      <c r="E1265"/>
      <c r="F1265" t="s">
        <v>10</v>
      </c>
    </row>
    <row r="1266" spans="2:6" x14ac:dyDescent="0.2">
      <c r="B1266"/>
      <c r="C1266"/>
      <c r="D1266"/>
      <c r="E1266"/>
      <c r="F1266" t="s">
        <v>107</v>
      </c>
    </row>
    <row r="1267" spans="2:6" x14ac:dyDescent="0.2">
      <c r="B1267"/>
      <c r="C1267"/>
      <c r="D1267"/>
      <c r="E1267"/>
      <c r="F1267" t="s">
        <v>108</v>
      </c>
    </row>
    <row r="1268" spans="2:6" x14ac:dyDescent="0.2">
      <c r="B1268" t="s">
        <v>161</v>
      </c>
      <c r="C1268" t="s">
        <v>646</v>
      </c>
      <c r="D1268" t="s">
        <v>969</v>
      </c>
      <c r="E1268" t="s">
        <v>1197</v>
      </c>
      <c r="F1268" t="s">
        <v>46</v>
      </c>
    </row>
    <row r="1269" spans="2:6" x14ac:dyDescent="0.2">
      <c r="B1269"/>
      <c r="C1269"/>
      <c r="D1269"/>
      <c r="E1269"/>
      <c r="F1269" t="s">
        <v>47</v>
      </c>
    </row>
    <row r="1270" spans="2:6" x14ac:dyDescent="0.2">
      <c r="B1270"/>
      <c r="C1270"/>
      <c r="D1270"/>
      <c r="E1270"/>
      <c r="F1270" t="s">
        <v>48</v>
      </c>
    </row>
    <row r="1271" spans="2:6" x14ac:dyDescent="0.2">
      <c r="B1271"/>
      <c r="C1271"/>
      <c r="D1271"/>
      <c r="E1271"/>
      <c r="F1271" t="s">
        <v>107</v>
      </c>
    </row>
    <row r="1272" spans="2:6" x14ac:dyDescent="0.2">
      <c r="B1272"/>
      <c r="C1272"/>
      <c r="D1272"/>
      <c r="E1272"/>
      <c r="F1272" t="s">
        <v>108</v>
      </c>
    </row>
    <row r="1273" spans="2:6" x14ac:dyDescent="0.2">
      <c r="B1273" t="s">
        <v>162</v>
      </c>
      <c r="C1273" t="s">
        <v>647</v>
      </c>
      <c r="D1273" t="s">
        <v>969</v>
      </c>
      <c r="E1273" t="s">
        <v>1196</v>
      </c>
      <c r="F1273" t="s">
        <v>4</v>
      </c>
    </row>
    <row r="1274" spans="2:6" x14ac:dyDescent="0.2">
      <c r="B1274"/>
      <c r="C1274"/>
      <c r="D1274"/>
      <c r="E1274"/>
      <c r="F1274" t="s">
        <v>5</v>
      </c>
    </row>
    <row r="1275" spans="2:6" x14ac:dyDescent="0.2">
      <c r="B1275"/>
      <c r="C1275"/>
      <c r="D1275"/>
      <c r="E1275"/>
      <c r="F1275" t="s">
        <v>8</v>
      </c>
    </row>
    <row r="1276" spans="2:6" x14ac:dyDescent="0.2">
      <c r="B1276"/>
      <c r="C1276"/>
      <c r="D1276"/>
      <c r="E1276"/>
      <c r="F1276" t="s">
        <v>24</v>
      </c>
    </row>
    <row r="1277" spans="2:6" x14ac:dyDescent="0.2">
      <c r="B1277"/>
      <c r="C1277"/>
      <c r="D1277"/>
      <c r="E1277"/>
      <c r="F1277" t="s">
        <v>25</v>
      </c>
    </row>
    <row r="1278" spans="2:6" x14ac:dyDescent="0.2">
      <c r="B1278"/>
      <c r="C1278"/>
      <c r="D1278"/>
      <c r="E1278"/>
      <c r="F1278" t="s">
        <v>9</v>
      </c>
    </row>
    <row r="1279" spans="2:6" x14ac:dyDescent="0.2">
      <c r="B1279"/>
      <c r="C1279"/>
      <c r="D1279"/>
      <c r="E1279"/>
      <c r="F1279" t="s">
        <v>27</v>
      </c>
    </row>
    <row r="1280" spans="2:6" x14ac:dyDescent="0.2">
      <c r="B1280"/>
      <c r="C1280"/>
      <c r="D1280"/>
      <c r="E1280"/>
      <c r="F1280" t="s">
        <v>37</v>
      </c>
    </row>
    <row r="1281" spans="2:6" x14ac:dyDescent="0.2">
      <c r="B1281"/>
      <c r="C1281"/>
      <c r="D1281"/>
      <c r="E1281"/>
      <c r="F1281" t="s">
        <v>13</v>
      </c>
    </row>
    <row r="1282" spans="2:6" x14ac:dyDescent="0.2">
      <c r="B1282"/>
      <c r="C1282"/>
      <c r="D1282"/>
      <c r="E1282"/>
      <c r="F1282" t="s">
        <v>52</v>
      </c>
    </row>
    <row r="1283" spans="2:6" x14ac:dyDescent="0.2">
      <c r="B1283"/>
      <c r="C1283"/>
      <c r="D1283"/>
      <c r="E1283"/>
      <c r="F1283" t="s">
        <v>14</v>
      </c>
    </row>
    <row r="1284" spans="2:6" x14ac:dyDescent="0.2">
      <c r="B1284"/>
      <c r="C1284"/>
      <c r="D1284"/>
      <c r="E1284"/>
      <c r="F1284" t="s">
        <v>15</v>
      </c>
    </row>
    <row r="1285" spans="2:6" x14ac:dyDescent="0.2">
      <c r="B1285"/>
      <c r="C1285"/>
      <c r="D1285"/>
      <c r="E1285"/>
      <c r="F1285" t="s">
        <v>30</v>
      </c>
    </row>
    <row r="1286" spans="2:6" x14ac:dyDescent="0.2">
      <c r="B1286"/>
      <c r="C1286"/>
      <c r="D1286"/>
      <c r="E1286"/>
      <c r="F1286" t="s">
        <v>31</v>
      </c>
    </row>
    <row r="1287" spans="2:6" x14ac:dyDescent="0.2">
      <c r="B1287"/>
      <c r="C1287"/>
      <c r="D1287"/>
      <c r="E1287"/>
      <c r="F1287" t="s">
        <v>32</v>
      </c>
    </row>
    <row r="1288" spans="2:6" x14ac:dyDescent="0.2">
      <c r="B1288" t="s">
        <v>163</v>
      </c>
      <c r="C1288" t="s">
        <v>902</v>
      </c>
      <c r="D1288" t="s">
        <v>969</v>
      </c>
      <c r="E1288" t="s">
        <v>1198</v>
      </c>
      <c r="F1288" t="s">
        <v>45</v>
      </c>
    </row>
    <row r="1289" spans="2:6" x14ac:dyDescent="0.2">
      <c r="B1289"/>
      <c r="C1289"/>
      <c r="D1289"/>
      <c r="E1289"/>
      <c r="F1289" t="s">
        <v>15</v>
      </c>
    </row>
    <row r="1290" spans="2:6" x14ac:dyDescent="0.2">
      <c r="B1290" t="s">
        <v>520</v>
      </c>
      <c r="C1290" t="s">
        <v>649</v>
      </c>
      <c r="D1290" t="s">
        <v>969</v>
      </c>
      <c r="E1290" t="s">
        <v>1199</v>
      </c>
      <c r="F1290" t="s">
        <v>46</v>
      </c>
    </row>
    <row r="1291" spans="2:6" x14ac:dyDescent="0.2">
      <c r="B1291"/>
      <c r="C1291"/>
      <c r="D1291"/>
      <c r="E1291"/>
      <c r="F1291" t="s">
        <v>48</v>
      </c>
    </row>
    <row r="1292" spans="2:6" x14ac:dyDescent="0.2">
      <c r="B1292" t="s">
        <v>1083</v>
      </c>
      <c r="C1292" t="s">
        <v>1084</v>
      </c>
      <c r="D1292" t="s">
        <v>970</v>
      </c>
      <c r="E1292" t="s">
        <v>1164</v>
      </c>
      <c r="F1292" t="s">
        <v>46</v>
      </c>
    </row>
    <row r="1293" spans="2:6" x14ac:dyDescent="0.2">
      <c r="B1293"/>
      <c r="C1293"/>
      <c r="D1293"/>
      <c r="E1293"/>
      <c r="F1293" t="s">
        <v>47</v>
      </c>
    </row>
    <row r="1294" spans="2:6" x14ac:dyDescent="0.2">
      <c r="B1294" t="s">
        <v>164</v>
      </c>
      <c r="C1294" t="s">
        <v>650</v>
      </c>
      <c r="D1294" t="s">
        <v>969</v>
      </c>
      <c r="E1294" t="s">
        <v>1200</v>
      </c>
      <c r="F1294" t="s">
        <v>5</v>
      </c>
    </row>
    <row r="1295" spans="2:6" x14ac:dyDescent="0.2">
      <c r="B1295"/>
      <c r="C1295"/>
      <c r="D1295"/>
      <c r="E1295"/>
      <c r="F1295" t="s">
        <v>6</v>
      </c>
    </row>
    <row r="1296" spans="2:6" x14ac:dyDescent="0.2">
      <c r="B1296"/>
      <c r="C1296"/>
      <c r="D1296"/>
      <c r="E1296"/>
      <c r="F1296" t="s">
        <v>7</v>
      </c>
    </row>
    <row r="1297" spans="2:6" x14ac:dyDescent="0.2">
      <c r="B1297"/>
      <c r="C1297"/>
      <c r="D1297"/>
      <c r="E1297"/>
      <c r="F1297" t="s">
        <v>8</v>
      </c>
    </row>
    <row r="1298" spans="2:6" x14ac:dyDescent="0.2">
      <c r="B1298"/>
      <c r="C1298"/>
      <c r="D1298"/>
      <c r="E1298"/>
      <c r="F1298" t="s">
        <v>24</v>
      </c>
    </row>
    <row r="1299" spans="2:6" x14ac:dyDescent="0.2">
      <c r="B1299"/>
      <c r="C1299"/>
      <c r="D1299"/>
      <c r="E1299"/>
      <c r="F1299" t="s">
        <v>25</v>
      </c>
    </row>
    <row r="1300" spans="2:6" x14ac:dyDescent="0.2">
      <c r="B1300"/>
      <c r="C1300"/>
      <c r="D1300"/>
      <c r="E1300"/>
      <c r="F1300" t="s">
        <v>9</v>
      </c>
    </row>
    <row r="1301" spans="2:6" x14ac:dyDescent="0.2">
      <c r="B1301"/>
      <c r="C1301"/>
      <c r="D1301"/>
      <c r="E1301"/>
      <c r="F1301" t="s">
        <v>27</v>
      </c>
    </row>
    <row r="1302" spans="2:6" x14ac:dyDescent="0.2">
      <c r="B1302"/>
      <c r="C1302"/>
      <c r="D1302"/>
      <c r="E1302"/>
      <c r="F1302" t="s">
        <v>81</v>
      </c>
    </row>
    <row r="1303" spans="2:6" x14ac:dyDescent="0.2">
      <c r="B1303"/>
      <c r="C1303"/>
      <c r="D1303"/>
      <c r="E1303"/>
      <c r="F1303" t="s">
        <v>10</v>
      </c>
    </row>
    <row r="1304" spans="2:6" x14ac:dyDescent="0.2">
      <c r="B1304"/>
      <c r="C1304"/>
      <c r="D1304"/>
      <c r="E1304"/>
      <c r="F1304" t="s">
        <v>12</v>
      </c>
    </row>
    <row r="1305" spans="2:6" x14ac:dyDescent="0.2">
      <c r="B1305"/>
      <c r="C1305"/>
      <c r="D1305"/>
      <c r="E1305"/>
      <c r="F1305" t="s">
        <v>29</v>
      </c>
    </row>
    <row r="1306" spans="2:6" x14ac:dyDescent="0.2">
      <c r="B1306"/>
      <c r="C1306"/>
      <c r="D1306"/>
      <c r="E1306"/>
      <c r="F1306" t="s">
        <v>13</v>
      </c>
    </row>
    <row r="1307" spans="2:6" x14ac:dyDescent="0.2">
      <c r="B1307"/>
      <c r="C1307"/>
      <c r="D1307"/>
      <c r="E1307"/>
      <c r="F1307" t="s">
        <v>52</v>
      </c>
    </row>
    <row r="1308" spans="2:6" x14ac:dyDescent="0.2">
      <c r="B1308"/>
      <c r="C1308"/>
      <c r="D1308"/>
      <c r="E1308"/>
      <c r="F1308" t="s">
        <v>14</v>
      </c>
    </row>
    <row r="1309" spans="2:6" x14ac:dyDescent="0.2">
      <c r="B1309"/>
      <c r="C1309"/>
      <c r="D1309"/>
      <c r="E1309"/>
      <c r="F1309" t="s">
        <v>15</v>
      </c>
    </row>
    <row r="1310" spans="2:6" x14ac:dyDescent="0.2">
      <c r="B1310" t="s">
        <v>1116</v>
      </c>
      <c r="C1310" t="s">
        <v>1049</v>
      </c>
      <c r="D1310" t="s">
        <v>969</v>
      </c>
      <c r="E1310" t="s">
        <v>965</v>
      </c>
      <c r="F1310" t="s">
        <v>44</v>
      </c>
    </row>
    <row r="1311" spans="2:6" x14ac:dyDescent="0.2">
      <c r="B1311"/>
      <c r="C1311"/>
      <c r="D1311"/>
      <c r="E1311"/>
      <c r="F1311" t="s">
        <v>46</v>
      </c>
    </row>
    <row r="1312" spans="2:6" x14ac:dyDescent="0.2">
      <c r="B1312"/>
      <c r="C1312"/>
      <c r="D1312"/>
      <c r="E1312"/>
      <c r="F1312" t="s">
        <v>47</v>
      </c>
    </row>
    <row r="1313" spans="2:6" x14ac:dyDescent="0.2">
      <c r="B1313"/>
      <c r="C1313"/>
      <c r="D1313"/>
      <c r="E1313"/>
      <c r="F1313" t="s">
        <v>4</v>
      </c>
    </row>
    <row r="1314" spans="2:6" x14ac:dyDescent="0.2">
      <c r="B1314"/>
      <c r="C1314"/>
      <c r="D1314"/>
      <c r="E1314"/>
      <c r="F1314" t="s">
        <v>5</v>
      </c>
    </row>
    <row r="1315" spans="2:6" x14ac:dyDescent="0.2">
      <c r="B1315"/>
      <c r="C1315"/>
      <c r="D1315"/>
      <c r="E1315"/>
      <c r="F1315" t="s">
        <v>7</v>
      </c>
    </row>
    <row r="1316" spans="2:6" x14ac:dyDescent="0.2">
      <c r="B1316"/>
      <c r="C1316"/>
      <c r="D1316"/>
      <c r="E1316"/>
      <c r="F1316" t="s">
        <v>8</v>
      </c>
    </row>
    <row r="1317" spans="2:6" x14ac:dyDescent="0.2">
      <c r="B1317"/>
      <c r="C1317"/>
      <c r="D1317"/>
      <c r="E1317"/>
      <c r="F1317" t="s">
        <v>24</v>
      </c>
    </row>
    <row r="1318" spans="2:6" x14ac:dyDescent="0.2">
      <c r="B1318"/>
      <c r="C1318"/>
      <c r="D1318"/>
      <c r="E1318"/>
      <c r="F1318" t="s">
        <v>25</v>
      </c>
    </row>
    <row r="1319" spans="2:6" x14ac:dyDescent="0.2">
      <c r="B1319"/>
      <c r="C1319"/>
      <c r="D1319"/>
      <c r="E1319"/>
      <c r="F1319" t="s">
        <v>9</v>
      </c>
    </row>
    <row r="1320" spans="2:6" x14ac:dyDescent="0.2">
      <c r="B1320"/>
      <c r="C1320"/>
      <c r="D1320"/>
      <c r="E1320"/>
      <c r="F1320" t="s">
        <v>27</v>
      </c>
    </row>
    <row r="1321" spans="2:6" x14ac:dyDescent="0.2">
      <c r="B1321"/>
      <c r="C1321"/>
      <c r="D1321"/>
      <c r="E1321"/>
      <c r="F1321" t="s">
        <v>10</v>
      </c>
    </row>
    <row r="1322" spans="2:6" x14ac:dyDescent="0.2">
      <c r="B1322"/>
      <c r="C1322"/>
      <c r="D1322"/>
      <c r="E1322"/>
      <c r="F1322" t="s">
        <v>39</v>
      </c>
    </row>
    <row r="1323" spans="2:6" x14ac:dyDescent="0.2">
      <c r="B1323"/>
      <c r="C1323"/>
      <c r="D1323"/>
      <c r="E1323"/>
      <c r="F1323" t="s">
        <v>37</v>
      </c>
    </row>
    <row r="1324" spans="2:6" x14ac:dyDescent="0.2">
      <c r="B1324"/>
      <c r="C1324"/>
      <c r="D1324"/>
      <c r="E1324"/>
      <c r="F1324" t="s">
        <v>13</v>
      </c>
    </row>
    <row r="1325" spans="2:6" x14ac:dyDescent="0.2">
      <c r="B1325"/>
      <c r="C1325"/>
      <c r="D1325"/>
      <c r="E1325"/>
      <c r="F1325" t="s">
        <v>14</v>
      </c>
    </row>
    <row r="1326" spans="2:6" x14ac:dyDescent="0.2">
      <c r="B1326"/>
      <c r="C1326"/>
      <c r="D1326"/>
      <c r="E1326"/>
      <c r="F1326" t="s">
        <v>15</v>
      </c>
    </row>
    <row r="1327" spans="2:6" x14ac:dyDescent="0.2">
      <c r="B1327"/>
      <c r="C1327"/>
      <c r="D1327"/>
      <c r="E1327"/>
      <c r="F1327" t="s">
        <v>30</v>
      </c>
    </row>
    <row r="1328" spans="2:6" x14ac:dyDescent="0.2">
      <c r="B1328"/>
      <c r="C1328"/>
      <c r="D1328"/>
      <c r="E1328"/>
      <c r="F1328" t="s">
        <v>53</v>
      </c>
    </row>
    <row r="1329" spans="2:6" x14ac:dyDescent="0.2">
      <c r="B1329"/>
      <c r="C1329"/>
      <c r="D1329"/>
      <c r="E1329"/>
      <c r="F1329" t="s">
        <v>31</v>
      </c>
    </row>
    <row r="1330" spans="2:6" x14ac:dyDescent="0.2">
      <c r="B1330"/>
      <c r="C1330"/>
      <c r="D1330"/>
      <c r="E1330"/>
      <c r="F1330" t="s">
        <v>32</v>
      </c>
    </row>
    <row r="1331" spans="2:6" x14ac:dyDescent="0.2">
      <c r="B1331"/>
      <c r="C1331"/>
      <c r="D1331"/>
      <c r="E1331"/>
      <c r="F1331" t="s">
        <v>38</v>
      </c>
    </row>
    <row r="1332" spans="2:6" x14ac:dyDescent="0.2">
      <c r="B1332"/>
      <c r="C1332"/>
      <c r="D1332"/>
      <c r="E1332"/>
      <c r="F1332" t="s">
        <v>56</v>
      </c>
    </row>
    <row r="1333" spans="2:6" x14ac:dyDescent="0.2">
      <c r="B1333"/>
      <c r="C1333"/>
      <c r="D1333"/>
      <c r="E1333"/>
      <c r="F1333" t="s">
        <v>33</v>
      </c>
    </row>
    <row r="1334" spans="2:6" x14ac:dyDescent="0.2">
      <c r="B1334" t="s">
        <v>165</v>
      </c>
      <c r="C1334" t="s">
        <v>651</v>
      </c>
      <c r="D1334" t="s">
        <v>969</v>
      </c>
      <c r="E1334" t="s">
        <v>965</v>
      </c>
      <c r="F1334" t="s">
        <v>5</v>
      </c>
    </row>
    <row r="1335" spans="2:6" x14ac:dyDescent="0.2">
      <c r="B1335"/>
      <c r="C1335"/>
      <c r="D1335"/>
      <c r="E1335"/>
      <c r="F1335" t="s">
        <v>25</v>
      </c>
    </row>
    <row r="1336" spans="2:6" x14ac:dyDescent="0.2">
      <c r="B1336"/>
      <c r="C1336"/>
      <c r="D1336"/>
      <c r="E1336"/>
      <c r="F1336" t="s">
        <v>9</v>
      </c>
    </row>
    <row r="1337" spans="2:6" x14ac:dyDescent="0.2">
      <c r="B1337"/>
      <c r="C1337"/>
      <c r="D1337"/>
      <c r="E1337"/>
      <c r="F1337" t="s">
        <v>20</v>
      </c>
    </row>
    <row r="1338" spans="2:6" x14ac:dyDescent="0.2">
      <c r="B1338"/>
      <c r="C1338"/>
      <c r="D1338"/>
      <c r="E1338"/>
      <c r="F1338" t="s">
        <v>49</v>
      </c>
    </row>
    <row r="1339" spans="2:6" x14ac:dyDescent="0.2">
      <c r="B1339"/>
      <c r="C1339"/>
      <c r="D1339"/>
      <c r="E1339"/>
      <c r="F1339" t="s">
        <v>27</v>
      </c>
    </row>
    <row r="1340" spans="2:6" x14ac:dyDescent="0.2">
      <c r="B1340"/>
      <c r="C1340"/>
      <c r="D1340"/>
      <c r="E1340"/>
      <c r="F1340" t="s">
        <v>59</v>
      </c>
    </row>
    <row r="1341" spans="2:6" x14ac:dyDescent="0.2">
      <c r="B1341"/>
      <c r="C1341"/>
      <c r="D1341"/>
      <c r="E1341"/>
      <c r="F1341" t="s">
        <v>10</v>
      </c>
    </row>
    <row r="1342" spans="2:6" x14ac:dyDescent="0.2">
      <c r="B1342"/>
      <c r="C1342"/>
      <c r="D1342"/>
      <c r="E1342"/>
      <c r="F1342" t="s">
        <v>22</v>
      </c>
    </row>
    <row r="1343" spans="2:6" x14ac:dyDescent="0.2">
      <c r="B1343"/>
      <c r="C1343"/>
      <c r="D1343"/>
      <c r="E1343"/>
      <c r="F1343" t="s">
        <v>37</v>
      </c>
    </row>
    <row r="1344" spans="2:6" x14ac:dyDescent="0.2">
      <c r="B1344"/>
      <c r="C1344"/>
      <c r="D1344"/>
      <c r="E1344"/>
      <c r="F1344" t="s">
        <v>13</v>
      </c>
    </row>
    <row r="1345" spans="2:6" x14ac:dyDescent="0.2">
      <c r="B1345"/>
      <c r="C1345"/>
      <c r="D1345"/>
      <c r="E1345"/>
      <c r="F1345" t="s">
        <v>14</v>
      </c>
    </row>
    <row r="1346" spans="2:6" x14ac:dyDescent="0.2">
      <c r="B1346"/>
      <c r="C1346"/>
      <c r="D1346"/>
      <c r="E1346"/>
      <c r="F1346" t="s">
        <v>15</v>
      </c>
    </row>
    <row r="1347" spans="2:6" x14ac:dyDescent="0.2">
      <c r="B1347"/>
      <c r="C1347"/>
      <c r="D1347"/>
      <c r="E1347"/>
      <c r="F1347" t="s">
        <v>31</v>
      </c>
    </row>
    <row r="1348" spans="2:6" x14ac:dyDescent="0.2">
      <c r="B1348" t="s">
        <v>940</v>
      </c>
      <c r="C1348" t="s">
        <v>941</v>
      </c>
      <c r="D1348" t="s">
        <v>970</v>
      </c>
      <c r="E1348" t="s">
        <v>1163</v>
      </c>
      <c r="F1348" t="s">
        <v>5</v>
      </c>
    </row>
    <row r="1349" spans="2:6" x14ac:dyDescent="0.2">
      <c r="B1349"/>
      <c r="C1349"/>
      <c r="D1349"/>
      <c r="E1349"/>
      <c r="F1349" t="s">
        <v>25</v>
      </c>
    </row>
    <row r="1350" spans="2:6" x14ac:dyDescent="0.2">
      <c r="B1350"/>
      <c r="C1350"/>
      <c r="D1350"/>
      <c r="E1350"/>
      <c r="F1350" t="s">
        <v>9</v>
      </c>
    </row>
    <row r="1351" spans="2:6" x14ac:dyDescent="0.2">
      <c r="B1351"/>
      <c r="C1351"/>
      <c r="D1351"/>
      <c r="E1351"/>
      <c r="F1351" t="s">
        <v>39</v>
      </c>
    </row>
    <row r="1352" spans="2:6" x14ac:dyDescent="0.2">
      <c r="B1352" t="s">
        <v>166</v>
      </c>
      <c r="C1352" t="s">
        <v>871</v>
      </c>
      <c r="D1352" t="s">
        <v>969</v>
      </c>
      <c r="E1352" t="s">
        <v>1192</v>
      </c>
      <c r="F1352" t="s">
        <v>46</v>
      </c>
    </row>
    <row r="1353" spans="2:6" x14ac:dyDescent="0.2">
      <c r="B1353"/>
      <c r="C1353"/>
      <c r="D1353"/>
      <c r="E1353"/>
      <c r="F1353" t="s">
        <v>47</v>
      </c>
    </row>
    <row r="1354" spans="2:6" x14ac:dyDescent="0.2">
      <c r="B1354"/>
      <c r="C1354"/>
      <c r="D1354"/>
      <c r="E1354"/>
      <c r="F1354" t="s">
        <v>4</v>
      </c>
    </row>
    <row r="1355" spans="2:6" x14ac:dyDescent="0.2">
      <c r="B1355"/>
      <c r="C1355"/>
      <c r="D1355"/>
      <c r="E1355"/>
      <c r="F1355" t="s">
        <v>5</v>
      </c>
    </row>
    <row r="1356" spans="2:6" x14ac:dyDescent="0.2">
      <c r="B1356"/>
      <c r="C1356"/>
      <c r="D1356"/>
      <c r="E1356"/>
      <c r="F1356" t="s">
        <v>6</v>
      </c>
    </row>
    <row r="1357" spans="2:6" x14ac:dyDescent="0.2">
      <c r="B1357"/>
      <c r="C1357"/>
      <c r="D1357"/>
      <c r="E1357"/>
      <c r="F1357" t="s">
        <v>7</v>
      </c>
    </row>
    <row r="1358" spans="2:6" x14ac:dyDescent="0.2">
      <c r="B1358"/>
      <c r="C1358"/>
      <c r="D1358"/>
      <c r="E1358"/>
      <c r="F1358" t="s">
        <v>8</v>
      </c>
    </row>
    <row r="1359" spans="2:6" x14ac:dyDescent="0.2">
      <c r="B1359"/>
      <c r="C1359"/>
      <c r="D1359"/>
      <c r="E1359"/>
      <c r="F1359" t="s">
        <v>25</v>
      </c>
    </row>
    <row r="1360" spans="2:6" x14ac:dyDescent="0.2">
      <c r="B1360"/>
      <c r="C1360"/>
      <c r="D1360"/>
      <c r="E1360"/>
      <c r="F1360" t="s">
        <v>9</v>
      </c>
    </row>
    <row r="1361" spans="2:6" x14ac:dyDescent="0.2">
      <c r="B1361"/>
      <c r="C1361"/>
      <c r="D1361"/>
      <c r="E1361"/>
      <c r="F1361" t="s">
        <v>20</v>
      </c>
    </row>
    <row r="1362" spans="2:6" x14ac:dyDescent="0.2">
      <c r="B1362"/>
      <c r="C1362"/>
      <c r="D1362"/>
      <c r="E1362"/>
      <c r="F1362" t="s">
        <v>27</v>
      </c>
    </row>
    <row r="1363" spans="2:6" x14ac:dyDescent="0.2">
      <c r="B1363"/>
      <c r="C1363"/>
      <c r="D1363"/>
      <c r="E1363"/>
      <c r="F1363" t="s">
        <v>10</v>
      </c>
    </row>
    <row r="1364" spans="2:6" x14ac:dyDescent="0.2">
      <c r="B1364"/>
      <c r="C1364"/>
      <c r="D1364"/>
      <c r="E1364"/>
      <c r="F1364" t="s">
        <v>51</v>
      </c>
    </row>
    <row r="1365" spans="2:6" x14ac:dyDescent="0.2">
      <c r="B1365"/>
      <c r="C1365"/>
      <c r="D1365"/>
      <c r="E1365"/>
      <c r="F1365" t="s">
        <v>12</v>
      </c>
    </row>
    <row r="1366" spans="2:6" x14ac:dyDescent="0.2">
      <c r="B1366"/>
      <c r="C1366"/>
      <c r="D1366"/>
      <c r="E1366"/>
      <c r="F1366" t="s">
        <v>29</v>
      </c>
    </row>
    <row r="1367" spans="2:6" x14ac:dyDescent="0.2">
      <c r="B1367"/>
      <c r="C1367"/>
      <c r="D1367"/>
      <c r="E1367"/>
      <c r="F1367" t="s">
        <v>37</v>
      </c>
    </row>
    <row r="1368" spans="2:6" x14ac:dyDescent="0.2">
      <c r="B1368"/>
      <c r="C1368"/>
      <c r="D1368"/>
      <c r="E1368"/>
      <c r="F1368" t="s">
        <v>13</v>
      </c>
    </row>
    <row r="1369" spans="2:6" x14ac:dyDescent="0.2">
      <c r="B1369"/>
      <c r="C1369"/>
      <c r="D1369"/>
      <c r="E1369"/>
      <c r="F1369" t="s">
        <v>14</v>
      </c>
    </row>
    <row r="1370" spans="2:6" x14ac:dyDescent="0.2">
      <c r="B1370"/>
      <c r="C1370"/>
      <c r="D1370"/>
      <c r="E1370"/>
      <c r="F1370" t="s">
        <v>15</v>
      </c>
    </row>
    <row r="1371" spans="2:6" x14ac:dyDescent="0.2">
      <c r="B1371"/>
      <c r="C1371"/>
      <c r="D1371"/>
      <c r="E1371"/>
      <c r="F1371" t="s">
        <v>31</v>
      </c>
    </row>
    <row r="1372" spans="2:6" x14ac:dyDescent="0.2">
      <c r="B1372"/>
      <c r="C1372"/>
      <c r="D1372"/>
      <c r="E1372"/>
      <c r="F1372" t="s">
        <v>32</v>
      </c>
    </row>
    <row r="1373" spans="2:6" x14ac:dyDescent="0.2">
      <c r="B1373" t="s">
        <v>167</v>
      </c>
      <c r="C1373" t="s">
        <v>652</v>
      </c>
      <c r="D1373" t="s">
        <v>969</v>
      </c>
      <c r="E1373" t="s">
        <v>965</v>
      </c>
      <c r="F1373" t="s">
        <v>4</v>
      </c>
    </row>
    <row r="1374" spans="2:6" x14ac:dyDescent="0.2">
      <c r="B1374"/>
      <c r="C1374"/>
      <c r="D1374"/>
      <c r="E1374"/>
      <c r="F1374" t="s">
        <v>5</v>
      </c>
    </row>
    <row r="1375" spans="2:6" x14ac:dyDescent="0.2">
      <c r="B1375"/>
      <c r="C1375"/>
      <c r="D1375"/>
      <c r="E1375"/>
      <c r="F1375" t="s">
        <v>7</v>
      </c>
    </row>
    <row r="1376" spans="2:6" x14ac:dyDescent="0.2">
      <c r="B1376"/>
      <c r="C1376"/>
      <c r="D1376"/>
      <c r="E1376"/>
      <c r="F1376" t="s">
        <v>8</v>
      </c>
    </row>
    <row r="1377" spans="2:6" x14ac:dyDescent="0.2">
      <c r="B1377"/>
      <c r="C1377"/>
      <c r="D1377"/>
      <c r="E1377"/>
      <c r="F1377" t="s">
        <v>24</v>
      </c>
    </row>
    <row r="1378" spans="2:6" x14ac:dyDescent="0.2">
      <c r="B1378"/>
      <c r="C1378"/>
      <c r="D1378"/>
      <c r="E1378"/>
      <c r="F1378" t="s">
        <v>25</v>
      </c>
    </row>
    <row r="1379" spans="2:6" x14ac:dyDescent="0.2">
      <c r="B1379"/>
      <c r="C1379"/>
      <c r="D1379"/>
      <c r="E1379"/>
      <c r="F1379" t="s">
        <v>9</v>
      </c>
    </row>
    <row r="1380" spans="2:6" x14ac:dyDescent="0.2">
      <c r="B1380"/>
      <c r="C1380"/>
      <c r="D1380"/>
      <c r="E1380"/>
      <c r="F1380" t="s">
        <v>20</v>
      </c>
    </row>
    <row r="1381" spans="2:6" x14ac:dyDescent="0.2">
      <c r="B1381"/>
      <c r="C1381"/>
      <c r="D1381"/>
      <c r="E1381"/>
      <c r="F1381" t="s">
        <v>27</v>
      </c>
    </row>
    <row r="1382" spans="2:6" x14ac:dyDescent="0.2">
      <c r="B1382"/>
      <c r="C1382"/>
      <c r="D1382"/>
      <c r="E1382"/>
      <c r="F1382" t="s">
        <v>10</v>
      </c>
    </row>
    <row r="1383" spans="2:6" x14ac:dyDescent="0.2">
      <c r="B1383"/>
      <c r="C1383"/>
      <c r="D1383"/>
      <c r="E1383"/>
      <c r="F1383" t="s">
        <v>21</v>
      </c>
    </row>
    <row r="1384" spans="2:6" x14ac:dyDescent="0.2">
      <c r="B1384"/>
      <c r="C1384"/>
      <c r="D1384"/>
      <c r="E1384"/>
      <c r="F1384" t="s">
        <v>11</v>
      </c>
    </row>
    <row r="1385" spans="2:6" x14ac:dyDescent="0.2">
      <c r="B1385"/>
      <c r="C1385"/>
      <c r="D1385"/>
      <c r="E1385"/>
      <c r="F1385" t="s">
        <v>39</v>
      </c>
    </row>
    <row r="1386" spans="2:6" x14ac:dyDescent="0.2">
      <c r="B1386"/>
      <c r="C1386"/>
      <c r="D1386"/>
      <c r="E1386"/>
      <c r="F1386" t="s">
        <v>12</v>
      </c>
    </row>
    <row r="1387" spans="2:6" x14ac:dyDescent="0.2">
      <c r="B1387"/>
      <c r="C1387"/>
      <c r="D1387"/>
      <c r="E1387"/>
      <c r="F1387" t="s">
        <v>29</v>
      </c>
    </row>
    <row r="1388" spans="2:6" x14ac:dyDescent="0.2">
      <c r="B1388"/>
      <c r="C1388"/>
      <c r="D1388"/>
      <c r="E1388"/>
      <c r="F1388" t="s">
        <v>37</v>
      </c>
    </row>
    <row r="1389" spans="2:6" x14ac:dyDescent="0.2">
      <c r="B1389"/>
      <c r="C1389"/>
      <c r="D1389"/>
      <c r="E1389"/>
      <c r="F1389" t="s">
        <v>13</v>
      </c>
    </row>
    <row r="1390" spans="2:6" x14ac:dyDescent="0.2">
      <c r="B1390"/>
      <c r="C1390"/>
      <c r="D1390"/>
      <c r="E1390"/>
      <c r="F1390" t="s">
        <v>14</v>
      </c>
    </row>
    <row r="1391" spans="2:6" x14ac:dyDescent="0.2">
      <c r="B1391"/>
      <c r="C1391"/>
      <c r="D1391"/>
      <c r="E1391"/>
      <c r="F1391" t="s">
        <v>15</v>
      </c>
    </row>
    <row r="1392" spans="2:6" x14ac:dyDescent="0.2">
      <c r="B1392"/>
      <c r="C1392"/>
      <c r="D1392"/>
      <c r="E1392"/>
      <c r="F1392" t="s">
        <v>30</v>
      </c>
    </row>
    <row r="1393" spans="2:6" x14ac:dyDescent="0.2">
      <c r="B1393"/>
      <c r="C1393"/>
      <c r="D1393"/>
      <c r="E1393"/>
      <c r="F1393" t="s">
        <v>31</v>
      </c>
    </row>
    <row r="1394" spans="2:6" x14ac:dyDescent="0.2">
      <c r="B1394"/>
      <c r="C1394"/>
      <c r="D1394"/>
      <c r="E1394"/>
      <c r="F1394" t="s">
        <v>32</v>
      </c>
    </row>
    <row r="1395" spans="2:6" x14ac:dyDescent="0.2">
      <c r="B1395"/>
      <c r="C1395"/>
      <c r="D1395"/>
      <c r="E1395"/>
      <c r="F1395" t="s">
        <v>38</v>
      </c>
    </row>
    <row r="1396" spans="2:6" x14ac:dyDescent="0.2">
      <c r="B1396" t="s">
        <v>168</v>
      </c>
      <c r="C1396" t="s">
        <v>653</v>
      </c>
      <c r="D1396" t="s">
        <v>970</v>
      </c>
      <c r="E1396" t="s">
        <v>1134</v>
      </c>
      <c r="F1396" t="s">
        <v>5</v>
      </c>
    </row>
    <row r="1397" spans="2:6" x14ac:dyDescent="0.2">
      <c r="B1397"/>
      <c r="C1397"/>
      <c r="D1397"/>
      <c r="E1397"/>
      <c r="F1397" t="s">
        <v>8</v>
      </c>
    </row>
    <row r="1398" spans="2:6" x14ac:dyDescent="0.2">
      <c r="B1398"/>
      <c r="C1398"/>
      <c r="D1398"/>
      <c r="E1398"/>
      <c r="F1398" t="s">
        <v>25</v>
      </c>
    </row>
    <row r="1399" spans="2:6" x14ac:dyDescent="0.2">
      <c r="B1399"/>
      <c r="C1399"/>
      <c r="D1399"/>
      <c r="E1399"/>
      <c r="F1399" t="s">
        <v>9</v>
      </c>
    </row>
    <row r="1400" spans="2:6" x14ac:dyDescent="0.2">
      <c r="B1400"/>
      <c r="C1400"/>
      <c r="D1400"/>
      <c r="E1400"/>
      <c r="F1400" t="s">
        <v>10</v>
      </c>
    </row>
    <row r="1401" spans="2:6" x14ac:dyDescent="0.2">
      <c r="B1401"/>
      <c r="C1401"/>
      <c r="D1401"/>
      <c r="E1401"/>
      <c r="F1401" t="s">
        <v>12</v>
      </c>
    </row>
    <row r="1402" spans="2:6" x14ac:dyDescent="0.2">
      <c r="B1402"/>
      <c r="C1402"/>
      <c r="D1402"/>
      <c r="E1402"/>
      <c r="F1402" t="s">
        <v>29</v>
      </c>
    </row>
    <row r="1403" spans="2:6" x14ac:dyDescent="0.2">
      <c r="B1403"/>
      <c r="C1403"/>
      <c r="D1403"/>
      <c r="E1403"/>
      <c r="F1403" t="s">
        <v>14</v>
      </c>
    </row>
    <row r="1404" spans="2:6" x14ac:dyDescent="0.2">
      <c r="B1404"/>
      <c r="C1404"/>
      <c r="D1404"/>
      <c r="E1404"/>
      <c r="F1404" t="s">
        <v>15</v>
      </c>
    </row>
    <row r="1405" spans="2:6" x14ac:dyDescent="0.2">
      <c r="B1405"/>
      <c r="C1405"/>
      <c r="D1405"/>
      <c r="E1405"/>
      <c r="F1405" t="s">
        <v>31</v>
      </c>
    </row>
    <row r="1406" spans="2:6" x14ac:dyDescent="0.2">
      <c r="B1406"/>
      <c r="C1406"/>
      <c r="D1406"/>
      <c r="E1406"/>
      <c r="F1406" t="s">
        <v>32</v>
      </c>
    </row>
    <row r="1407" spans="2:6" x14ac:dyDescent="0.2">
      <c r="B1407" t="s">
        <v>1066</v>
      </c>
      <c r="C1407" t="s">
        <v>1068</v>
      </c>
      <c r="D1407" t="s">
        <v>969</v>
      </c>
      <c r="E1407" t="s">
        <v>1201</v>
      </c>
      <c r="F1407" t="s">
        <v>27</v>
      </c>
    </row>
    <row r="1408" spans="2:6" x14ac:dyDescent="0.2">
      <c r="B1408"/>
      <c r="C1408"/>
      <c r="D1408"/>
      <c r="E1408"/>
      <c r="F1408" t="s">
        <v>14</v>
      </c>
    </row>
    <row r="1409" spans="2:6" x14ac:dyDescent="0.2">
      <c r="B1409" t="s">
        <v>907</v>
      </c>
      <c r="C1409" t="s">
        <v>908</v>
      </c>
      <c r="D1409" t="s">
        <v>970</v>
      </c>
      <c r="E1409" t="s">
        <v>1172</v>
      </c>
      <c r="F1409" t="s">
        <v>45</v>
      </c>
    </row>
    <row r="1410" spans="2:6" x14ac:dyDescent="0.2">
      <c r="B1410"/>
      <c r="C1410"/>
      <c r="D1410"/>
      <c r="E1410"/>
      <c r="F1410" t="s">
        <v>46</v>
      </c>
    </row>
    <row r="1411" spans="2:6" x14ac:dyDescent="0.2">
      <c r="B1411"/>
      <c r="C1411"/>
      <c r="D1411"/>
      <c r="E1411"/>
      <c r="F1411" t="s">
        <v>47</v>
      </c>
    </row>
    <row r="1412" spans="2:6" x14ac:dyDescent="0.2">
      <c r="B1412" t="s">
        <v>169</v>
      </c>
      <c r="C1412" t="s">
        <v>654</v>
      </c>
      <c r="D1412" t="s">
        <v>970</v>
      </c>
      <c r="E1412" t="s">
        <v>1137</v>
      </c>
      <c r="F1412" t="s">
        <v>45</v>
      </c>
    </row>
    <row r="1413" spans="2:6" x14ac:dyDescent="0.2">
      <c r="B1413"/>
      <c r="C1413"/>
      <c r="D1413"/>
      <c r="E1413"/>
      <c r="F1413" t="s">
        <v>46</v>
      </c>
    </row>
    <row r="1414" spans="2:6" x14ac:dyDescent="0.2">
      <c r="B1414"/>
      <c r="C1414"/>
      <c r="D1414"/>
      <c r="E1414"/>
      <c r="F1414" t="s">
        <v>47</v>
      </c>
    </row>
    <row r="1415" spans="2:6" x14ac:dyDescent="0.2">
      <c r="B1415"/>
      <c r="C1415"/>
      <c r="D1415"/>
      <c r="E1415"/>
      <c r="F1415" t="s">
        <v>48</v>
      </c>
    </row>
    <row r="1416" spans="2:6" x14ac:dyDescent="0.2">
      <c r="B1416"/>
      <c r="C1416"/>
      <c r="D1416"/>
      <c r="E1416"/>
      <c r="F1416" t="s">
        <v>4</v>
      </c>
    </row>
    <row r="1417" spans="2:6" x14ac:dyDescent="0.2">
      <c r="B1417"/>
      <c r="C1417"/>
      <c r="D1417"/>
      <c r="E1417"/>
      <c r="F1417" t="s">
        <v>5</v>
      </c>
    </row>
    <row r="1418" spans="2:6" x14ac:dyDescent="0.2">
      <c r="B1418"/>
      <c r="C1418"/>
      <c r="D1418"/>
      <c r="E1418"/>
      <c r="F1418" t="s">
        <v>7</v>
      </c>
    </row>
    <row r="1419" spans="2:6" x14ac:dyDescent="0.2">
      <c r="B1419"/>
      <c r="C1419"/>
      <c r="D1419"/>
      <c r="E1419"/>
      <c r="F1419" t="s">
        <v>8</v>
      </c>
    </row>
    <row r="1420" spans="2:6" x14ac:dyDescent="0.2">
      <c r="B1420"/>
      <c r="C1420"/>
      <c r="D1420"/>
      <c r="E1420"/>
      <c r="F1420" t="s">
        <v>25</v>
      </c>
    </row>
    <row r="1421" spans="2:6" x14ac:dyDescent="0.2">
      <c r="B1421"/>
      <c r="C1421"/>
      <c r="D1421"/>
      <c r="E1421"/>
      <c r="F1421" t="s">
        <v>9</v>
      </c>
    </row>
    <row r="1422" spans="2:6" x14ac:dyDescent="0.2">
      <c r="B1422"/>
      <c r="C1422"/>
      <c r="D1422"/>
      <c r="E1422"/>
      <c r="F1422" t="s">
        <v>81</v>
      </c>
    </row>
    <row r="1423" spans="2:6" x14ac:dyDescent="0.2">
      <c r="B1423"/>
      <c r="C1423"/>
      <c r="D1423"/>
      <c r="E1423"/>
      <c r="F1423" t="s">
        <v>75</v>
      </c>
    </row>
    <row r="1424" spans="2:6" x14ac:dyDescent="0.2">
      <c r="B1424"/>
      <c r="C1424"/>
      <c r="D1424"/>
      <c r="E1424"/>
      <c r="F1424" t="s">
        <v>10</v>
      </c>
    </row>
    <row r="1425" spans="2:6" x14ac:dyDescent="0.2">
      <c r="B1425"/>
      <c r="C1425"/>
      <c r="D1425"/>
      <c r="E1425"/>
      <c r="F1425" t="s">
        <v>18</v>
      </c>
    </row>
    <row r="1426" spans="2:6" x14ac:dyDescent="0.2">
      <c r="B1426"/>
      <c r="C1426"/>
      <c r="D1426"/>
      <c r="E1426"/>
      <c r="F1426" t="s">
        <v>63</v>
      </c>
    </row>
    <row r="1427" spans="2:6" x14ac:dyDescent="0.2">
      <c r="B1427"/>
      <c r="C1427"/>
      <c r="D1427"/>
      <c r="E1427"/>
      <c r="F1427" t="s">
        <v>51</v>
      </c>
    </row>
    <row r="1428" spans="2:6" x14ac:dyDescent="0.2">
      <c r="B1428"/>
      <c r="C1428"/>
      <c r="D1428"/>
      <c r="E1428"/>
      <c r="F1428" t="s">
        <v>28</v>
      </c>
    </row>
    <row r="1429" spans="2:6" x14ac:dyDescent="0.2">
      <c r="B1429"/>
      <c r="C1429"/>
      <c r="D1429"/>
      <c r="E1429"/>
      <c r="F1429" t="s">
        <v>29</v>
      </c>
    </row>
    <row r="1430" spans="2:6" x14ac:dyDescent="0.2">
      <c r="B1430"/>
      <c r="C1430"/>
      <c r="D1430"/>
      <c r="E1430"/>
      <c r="F1430" t="s">
        <v>15</v>
      </c>
    </row>
    <row r="1431" spans="2:6" x14ac:dyDescent="0.2">
      <c r="B1431"/>
      <c r="C1431"/>
      <c r="D1431"/>
      <c r="E1431"/>
      <c r="F1431" t="s">
        <v>31</v>
      </c>
    </row>
    <row r="1432" spans="2:6" x14ac:dyDescent="0.2">
      <c r="B1432"/>
      <c r="C1432"/>
      <c r="D1432"/>
      <c r="E1432"/>
      <c r="F1432" t="s">
        <v>32</v>
      </c>
    </row>
    <row r="1433" spans="2:6" x14ac:dyDescent="0.2">
      <c r="B1433"/>
      <c r="C1433"/>
      <c r="D1433"/>
      <c r="E1433"/>
      <c r="F1433" t="s">
        <v>33</v>
      </c>
    </row>
    <row r="1434" spans="2:6" x14ac:dyDescent="0.2">
      <c r="B1434" t="s">
        <v>857</v>
      </c>
      <c r="C1434" t="s">
        <v>858</v>
      </c>
      <c r="D1434" t="s">
        <v>969</v>
      </c>
      <c r="E1434" t="s">
        <v>965</v>
      </c>
      <c r="F1434" t="s">
        <v>70</v>
      </c>
    </row>
    <row r="1435" spans="2:6" x14ac:dyDescent="0.2">
      <c r="B1435" t="s">
        <v>170</v>
      </c>
      <c r="C1435" t="s">
        <v>655</v>
      </c>
      <c r="D1435" t="s">
        <v>970</v>
      </c>
      <c r="E1435" t="s">
        <v>1202</v>
      </c>
      <c r="F1435" t="s">
        <v>10</v>
      </c>
    </row>
    <row r="1436" spans="2:6" x14ac:dyDescent="0.2">
      <c r="B1436" t="s">
        <v>830</v>
      </c>
      <c r="C1436" t="s">
        <v>831</v>
      </c>
      <c r="D1436" t="s">
        <v>970</v>
      </c>
      <c r="E1436" t="s">
        <v>965</v>
      </c>
      <c r="F1436" t="s">
        <v>10</v>
      </c>
    </row>
    <row r="1437" spans="2:6" x14ac:dyDescent="0.2">
      <c r="B1437" t="s">
        <v>171</v>
      </c>
      <c r="C1437" t="s">
        <v>656</v>
      </c>
      <c r="D1437" t="s">
        <v>969</v>
      </c>
      <c r="E1437" t="s">
        <v>965</v>
      </c>
      <c r="F1437" t="s">
        <v>35</v>
      </c>
    </row>
    <row r="1438" spans="2:6" x14ac:dyDescent="0.2">
      <c r="B1438"/>
      <c r="C1438"/>
      <c r="D1438"/>
      <c r="E1438"/>
      <c r="F1438" t="s">
        <v>36</v>
      </c>
    </row>
    <row r="1439" spans="2:6" x14ac:dyDescent="0.2">
      <c r="B1439"/>
      <c r="C1439"/>
      <c r="D1439"/>
      <c r="E1439"/>
      <c r="F1439" t="s">
        <v>125</v>
      </c>
    </row>
    <row r="1440" spans="2:6" x14ac:dyDescent="0.2">
      <c r="B1440"/>
      <c r="C1440"/>
      <c r="D1440"/>
      <c r="E1440"/>
      <c r="F1440" t="s">
        <v>42</v>
      </c>
    </row>
    <row r="1441" spans="2:6" x14ac:dyDescent="0.2">
      <c r="B1441"/>
      <c r="C1441"/>
      <c r="D1441"/>
      <c r="E1441"/>
      <c r="F1441" t="s">
        <v>43</v>
      </c>
    </row>
    <row r="1442" spans="2:6" x14ac:dyDescent="0.2">
      <c r="B1442"/>
      <c r="C1442"/>
      <c r="D1442"/>
      <c r="E1442"/>
      <c r="F1442" t="s">
        <v>44</v>
      </c>
    </row>
    <row r="1443" spans="2:6" x14ac:dyDescent="0.2">
      <c r="B1443"/>
      <c r="C1443"/>
      <c r="D1443"/>
      <c r="E1443"/>
      <c r="F1443" t="s">
        <v>45</v>
      </c>
    </row>
    <row r="1444" spans="2:6" x14ac:dyDescent="0.2">
      <c r="B1444"/>
      <c r="C1444"/>
      <c r="D1444"/>
      <c r="E1444"/>
      <c r="F1444" t="s">
        <v>46</v>
      </c>
    </row>
    <row r="1445" spans="2:6" x14ac:dyDescent="0.2">
      <c r="B1445"/>
      <c r="C1445"/>
      <c r="D1445"/>
      <c r="E1445"/>
      <c r="F1445" t="s">
        <v>47</v>
      </c>
    </row>
    <row r="1446" spans="2:6" x14ac:dyDescent="0.2">
      <c r="B1446"/>
      <c r="C1446"/>
      <c r="D1446"/>
      <c r="E1446"/>
      <c r="F1446" t="s">
        <v>48</v>
      </c>
    </row>
    <row r="1447" spans="2:6" x14ac:dyDescent="0.2">
      <c r="B1447"/>
      <c r="C1447"/>
      <c r="D1447"/>
      <c r="E1447"/>
      <c r="F1447" t="s">
        <v>4</v>
      </c>
    </row>
    <row r="1448" spans="2:6" x14ac:dyDescent="0.2">
      <c r="B1448"/>
      <c r="C1448"/>
      <c r="D1448"/>
      <c r="E1448"/>
      <c r="F1448" t="s">
        <v>5</v>
      </c>
    </row>
    <row r="1449" spans="2:6" x14ac:dyDescent="0.2">
      <c r="B1449"/>
      <c r="C1449"/>
      <c r="D1449"/>
      <c r="E1449"/>
      <c r="F1449" t="s">
        <v>6</v>
      </c>
    </row>
    <row r="1450" spans="2:6" x14ac:dyDescent="0.2">
      <c r="B1450"/>
      <c r="C1450"/>
      <c r="D1450"/>
      <c r="E1450"/>
      <c r="F1450" t="s">
        <v>7</v>
      </c>
    </row>
    <row r="1451" spans="2:6" x14ac:dyDescent="0.2">
      <c r="B1451"/>
      <c r="C1451"/>
      <c r="D1451"/>
      <c r="E1451"/>
      <c r="F1451" t="s">
        <v>8</v>
      </c>
    </row>
    <row r="1452" spans="2:6" x14ac:dyDescent="0.2">
      <c r="B1452"/>
      <c r="C1452"/>
      <c r="D1452"/>
      <c r="E1452"/>
      <c r="F1452" t="s">
        <v>24</v>
      </c>
    </row>
    <row r="1453" spans="2:6" x14ac:dyDescent="0.2">
      <c r="B1453"/>
      <c r="C1453"/>
      <c r="D1453"/>
      <c r="E1453"/>
      <c r="F1453" t="s">
        <v>25</v>
      </c>
    </row>
    <row r="1454" spans="2:6" x14ac:dyDescent="0.2">
      <c r="B1454"/>
      <c r="C1454"/>
      <c r="D1454"/>
      <c r="E1454"/>
      <c r="F1454" t="s">
        <v>9</v>
      </c>
    </row>
    <row r="1455" spans="2:6" x14ac:dyDescent="0.2">
      <c r="B1455"/>
      <c r="C1455"/>
      <c r="D1455"/>
      <c r="E1455"/>
      <c r="F1455" t="s">
        <v>26</v>
      </c>
    </row>
    <row r="1456" spans="2:6" x14ac:dyDescent="0.2">
      <c r="B1456"/>
      <c r="C1456"/>
      <c r="D1456"/>
      <c r="E1456"/>
      <c r="F1456" t="s">
        <v>20</v>
      </c>
    </row>
    <row r="1457" spans="2:6" x14ac:dyDescent="0.2">
      <c r="B1457"/>
      <c r="C1457"/>
      <c r="D1457"/>
      <c r="E1457"/>
      <c r="F1457" t="s">
        <v>49</v>
      </c>
    </row>
    <row r="1458" spans="2:6" x14ac:dyDescent="0.2">
      <c r="B1458"/>
      <c r="C1458"/>
      <c r="D1458"/>
      <c r="E1458"/>
      <c r="F1458" t="s">
        <v>27</v>
      </c>
    </row>
    <row r="1459" spans="2:6" x14ac:dyDescent="0.2">
      <c r="B1459"/>
      <c r="C1459"/>
      <c r="D1459"/>
      <c r="E1459"/>
      <c r="F1459" t="s">
        <v>10</v>
      </c>
    </row>
    <row r="1460" spans="2:6" x14ac:dyDescent="0.2">
      <c r="B1460"/>
      <c r="C1460"/>
      <c r="D1460"/>
      <c r="E1460"/>
      <c r="F1460" t="s">
        <v>21</v>
      </c>
    </row>
    <row r="1461" spans="2:6" x14ac:dyDescent="0.2">
      <c r="B1461"/>
      <c r="C1461"/>
      <c r="D1461"/>
      <c r="E1461"/>
      <c r="F1461" t="s">
        <v>11</v>
      </c>
    </row>
    <row r="1462" spans="2:6" x14ac:dyDescent="0.2">
      <c r="B1462"/>
      <c r="C1462"/>
      <c r="D1462"/>
      <c r="E1462"/>
      <c r="F1462" t="s">
        <v>22</v>
      </c>
    </row>
    <row r="1463" spans="2:6" x14ac:dyDescent="0.2">
      <c r="B1463"/>
      <c r="C1463"/>
      <c r="D1463"/>
      <c r="E1463"/>
      <c r="F1463" t="s">
        <v>51</v>
      </c>
    </row>
    <row r="1464" spans="2:6" x14ac:dyDescent="0.2">
      <c r="B1464"/>
      <c r="C1464"/>
      <c r="D1464"/>
      <c r="E1464"/>
      <c r="F1464" t="s">
        <v>39</v>
      </c>
    </row>
    <row r="1465" spans="2:6" x14ac:dyDescent="0.2">
      <c r="B1465"/>
      <c r="C1465"/>
      <c r="D1465"/>
      <c r="E1465"/>
      <c r="F1465" t="s">
        <v>12</v>
      </c>
    </row>
    <row r="1466" spans="2:6" x14ac:dyDescent="0.2">
      <c r="B1466"/>
      <c r="C1466"/>
      <c r="D1466"/>
      <c r="E1466"/>
      <c r="F1466" t="s">
        <v>37</v>
      </c>
    </row>
    <row r="1467" spans="2:6" x14ac:dyDescent="0.2">
      <c r="B1467"/>
      <c r="C1467"/>
      <c r="D1467"/>
      <c r="E1467"/>
      <c r="F1467" t="s">
        <v>13</v>
      </c>
    </row>
    <row r="1468" spans="2:6" x14ac:dyDescent="0.2">
      <c r="B1468"/>
      <c r="C1468"/>
      <c r="D1468"/>
      <c r="E1468"/>
      <c r="F1468" t="s">
        <v>14</v>
      </c>
    </row>
    <row r="1469" spans="2:6" x14ac:dyDescent="0.2">
      <c r="B1469"/>
      <c r="C1469"/>
      <c r="D1469"/>
      <c r="E1469"/>
      <c r="F1469" t="s">
        <v>15</v>
      </c>
    </row>
    <row r="1470" spans="2:6" x14ac:dyDescent="0.2">
      <c r="B1470"/>
      <c r="C1470"/>
      <c r="D1470"/>
      <c r="E1470"/>
      <c r="F1470" t="s">
        <v>30</v>
      </c>
    </row>
    <row r="1471" spans="2:6" x14ac:dyDescent="0.2">
      <c r="B1471"/>
      <c r="C1471"/>
      <c r="D1471"/>
      <c r="E1471"/>
      <c r="F1471" t="s">
        <v>53</v>
      </c>
    </row>
    <row r="1472" spans="2:6" x14ac:dyDescent="0.2">
      <c r="B1472"/>
      <c r="C1472"/>
      <c r="D1472"/>
      <c r="E1472"/>
      <c r="F1472" t="s">
        <v>31</v>
      </c>
    </row>
    <row r="1473" spans="2:6" x14ac:dyDescent="0.2">
      <c r="B1473"/>
      <c r="C1473"/>
      <c r="D1473"/>
      <c r="E1473"/>
      <c r="F1473" t="s">
        <v>32</v>
      </c>
    </row>
    <row r="1474" spans="2:6" x14ac:dyDescent="0.2">
      <c r="B1474"/>
      <c r="C1474"/>
      <c r="D1474"/>
      <c r="E1474"/>
      <c r="F1474" t="s">
        <v>54</v>
      </c>
    </row>
    <row r="1475" spans="2:6" x14ac:dyDescent="0.2">
      <c r="B1475"/>
      <c r="C1475"/>
      <c r="D1475"/>
      <c r="E1475"/>
      <c r="F1475" t="s">
        <v>38</v>
      </c>
    </row>
    <row r="1476" spans="2:6" x14ac:dyDescent="0.2">
      <c r="B1476"/>
      <c r="C1476"/>
      <c r="D1476"/>
      <c r="E1476"/>
      <c r="F1476" t="s">
        <v>55</v>
      </c>
    </row>
    <row r="1477" spans="2:6" x14ac:dyDescent="0.2">
      <c r="B1477"/>
      <c r="C1477"/>
      <c r="D1477"/>
      <c r="E1477"/>
      <c r="F1477" t="s">
        <v>56</v>
      </c>
    </row>
    <row r="1478" spans="2:6" x14ac:dyDescent="0.2">
      <c r="B1478"/>
      <c r="C1478"/>
      <c r="D1478"/>
      <c r="E1478"/>
      <c r="F1478" t="s">
        <v>33</v>
      </c>
    </row>
    <row r="1479" spans="2:6" x14ac:dyDescent="0.2">
      <c r="B1479"/>
      <c r="C1479"/>
      <c r="D1479"/>
      <c r="E1479"/>
      <c r="F1479" t="s">
        <v>57</v>
      </c>
    </row>
    <row r="1480" spans="2:6" x14ac:dyDescent="0.2">
      <c r="B1480" t="s">
        <v>172</v>
      </c>
      <c r="C1480" t="s">
        <v>657</v>
      </c>
      <c r="D1480" t="s">
        <v>969</v>
      </c>
      <c r="E1480" t="s">
        <v>1202</v>
      </c>
      <c r="F1480" t="s">
        <v>35</v>
      </c>
    </row>
    <row r="1481" spans="2:6" x14ac:dyDescent="0.2">
      <c r="B1481"/>
      <c r="C1481"/>
      <c r="D1481"/>
      <c r="E1481"/>
      <c r="F1481" t="s">
        <v>43</v>
      </c>
    </row>
    <row r="1482" spans="2:6" x14ac:dyDescent="0.2">
      <c r="B1482"/>
      <c r="C1482"/>
      <c r="D1482"/>
      <c r="E1482"/>
      <c r="F1482" t="s">
        <v>4</v>
      </c>
    </row>
    <row r="1483" spans="2:6" x14ac:dyDescent="0.2">
      <c r="B1483"/>
      <c r="C1483"/>
      <c r="D1483"/>
      <c r="E1483"/>
      <c r="F1483" t="s">
        <v>5</v>
      </c>
    </row>
    <row r="1484" spans="2:6" x14ac:dyDescent="0.2">
      <c r="B1484"/>
      <c r="C1484"/>
      <c r="D1484"/>
      <c r="E1484"/>
      <c r="F1484" t="s">
        <v>6</v>
      </c>
    </row>
    <row r="1485" spans="2:6" x14ac:dyDescent="0.2">
      <c r="B1485"/>
      <c r="C1485"/>
      <c r="D1485"/>
      <c r="E1485"/>
      <c r="F1485" t="s">
        <v>7</v>
      </c>
    </row>
    <row r="1486" spans="2:6" x14ac:dyDescent="0.2">
      <c r="B1486"/>
      <c r="C1486"/>
      <c r="D1486"/>
      <c r="E1486"/>
      <c r="F1486" t="s">
        <v>8</v>
      </c>
    </row>
    <row r="1487" spans="2:6" x14ac:dyDescent="0.2">
      <c r="B1487"/>
      <c r="C1487"/>
      <c r="D1487"/>
      <c r="E1487"/>
      <c r="F1487" t="s">
        <v>24</v>
      </c>
    </row>
    <row r="1488" spans="2:6" x14ac:dyDescent="0.2">
      <c r="B1488"/>
      <c r="C1488"/>
      <c r="D1488"/>
      <c r="E1488"/>
      <c r="F1488" t="s">
        <v>25</v>
      </c>
    </row>
    <row r="1489" spans="2:6" x14ac:dyDescent="0.2">
      <c r="B1489"/>
      <c r="C1489"/>
      <c r="D1489"/>
      <c r="E1489"/>
      <c r="F1489" t="s">
        <v>9</v>
      </c>
    </row>
    <row r="1490" spans="2:6" x14ac:dyDescent="0.2">
      <c r="B1490"/>
      <c r="C1490"/>
      <c r="D1490"/>
      <c r="E1490"/>
      <c r="F1490" t="s">
        <v>27</v>
      </c>
    </row>
    <row r="1491" spans="2:6" x14ac:dyDescent="0.2">
      <c r="B1491"/>
      <c r="C1491"/>
      <c r="D1491"/>
      <c r="E1491"/>
      <c r="F1491" t="s">
        <v>81</v>
      </c>
    </row>
    <row r="1492" spans="2:6" x14ac:dyDescent="0.2">
      <c r="B1492"/>
      <c r="C1492"/>
      <c r="D1492"/>
      <c r="E1492"/>
      <c r="F1492" t="s">
        <v>10</v>
      </c>
    </row>
    <row r="1493" spans="2:6" x14ac:dyDescent="0.2">
      <c r="B1493"/>
      <c r="C1493"/>
      <c r="D1493"/>
      <c r="E1493"/>
      <c r="F1493" t="s">
        <v>21</v>
      </c>
    </row>
    <row r="1494" spans="2:6" x14ac:dyDescent="0.2">
      <c r="B1494"/>
      <c r="C1494"/>
      <c r="D1494"/>
      <c r="E1494"/>
      <c r="F1494" t="s">
        <v>11</v>
      </c>
    </row>
    <row r="1495" spans="2:6" x14ac:dyDescent="0.2">
      <c r="B1495"/>
      <c r="C1495"/>
      <c r="D1495"/>
      <c r="E1495"/>
      <c r="F1495" t="s">
        <v>63</v>
      </c>
    </row>
    <row r="1496" spans="2:6" x14ac:dyDescent="0.2">
      <c r="B1496"/>
      <c r="C1496"/>
      <c r="D1496"/>
      <c r="E1496"/>
      <c r="F1496" t="s">
        <v>12</v>
      </c>
    </row>
    <row r="1497" spans="2:6" x14ac:dyDescent="0.2">
      <c r="B1497"/>
      <c r="C1497"/>
      <c r="D1497"/>
      <c r="E1497"/>
      <c r="F1497" t="s">
        <v>29</v>
      </c>
    </row>
    <row r="1498" spans="2:6" x14ac:dyDescent="0.2">
      <c r="B1498"/>
      <c r="C1498"/>
      <c r="D1498"/>
      <c r="E1498"/>
      <c r="F1498" t="s">
        <v>37</v>
      </c>
    </row>
    <row r="1499" spans="2:6" x14ac:dyDescent="0.2">
      <c r="B1499"/>
      <c r="C1499"/>
      <c r="D1499"/>
      <c r="E1499"/>
      <c r="F1499" t="s">
        <v>13</v>
      </c>
    </row>
    <row r="1500" spans="2:6" x14ac:dyDescent="0.2">
      <c r="B1500"/>
      <c r="C1500"/>
      <c r="D1500"/>
      <c r="E1500"/>
      <c r="F1500" t="s">
        <v>52</v>
      </c>
    </row>
    <row r="1501" spans="2:6" x14ac:dyDescent="0.2">
      <c r="B1501"/>
      <c r="C1501"/>
      <c r="D1501"/>
      <c r="E1501"/>
      <c r="F1501" t="s">
        <v>14</v>
      </c>
    </row>
    <row r="1502" spans="2:6" x14ac:dyDescent="0.2">
      <c r="B1502"/>
      <c r="C1502"/>
      <c r="D1502"/>
      <c r="E1502"/>
      <c r="F1502" t="s">
        <v>15</v>
      </c>
    </row>
    <row r="1503" spans="2:6" x14ac:dyDescent="0.2">
      <c r="B1503"/>
      <c r="C1503"/>
      <c r="D1503"/>
      <c r="E1503"/>
      <c r="F1503" t="s">
        <v>30</v>
      </c>
    </row>
    <row r="1504" spans="2:6" x14ac:dyDescent="0.2">
      <c r="B1504"/>
      <c r="C1504"/>
      <c r="D1504"/>
      <c r="E1504"/>
      <c r="F1504" t="s">
        <v>31</v>
      </c>
    </row>
    <row r="1505" spans="2:6" x14ac:dyDescent="0.2">
      <c r="B1505"/>
      <c r="C1505"/>
      <c r="D1505"/>
      <c r="E1505"/>
      <c r="F1505" t="s">
        <v>32</v>
      </c>
    </row>
    <row r="1506" spans="2:6" x14ac:dyDescent="0.2">
      <c r="B1506"/>
      <c r="C1506"/>
      <c r="D1506"/>
      <c r="E1506"/>
      <c r="F1506" t="s">
        <v>976</v>
      </c>
    </row>
    <row r="1507" spans="2:6" x14ac:dyDescent="0.2">
      <c r="B1507"/>
      <c r="C1507"/>
      <c r="D1507"/>
      <c r="E1507"/>
      <c r="F1507" t="s">
        <v>978</v>
      </c>
    </row>
    <row r="1508" spans="2:6" x14ac:dyDescent="0.2">
      <c r="B1508"/>
      <c r="C1508"/>
      <c r="D1508"/>
      <c r="E1508"/>
      <c r="F1508" t="s">
        <v>1004</v>
      </c>
    </row>
    <row r="1509" spans="2:6" x14ac:dyDescent="0.2">
      <c r="B1509" t="s">
        <v>173</v>
      </c>
      <c r="C1509" t="s">
        <v>658</v>
      </c>
      <c r="D1509" t="s">
        <v>969</v>
      </c>
      <c r="E1509" t="s">
        <v>1203</v>
      </c>
      <c r="F1509" t="s">
        <v>5</v>
      </c>
    </row>
    <row r="1510" spans="2:6" x14ac:dyDescent="0.2">
      <c r="B1510"/>
      <c r="C1510"/>
      <c r="D1510"/>
      <c r="E1510"/>
      <c r="F1510" t="s">
        <v>25</v>
      </c>
    </row>
    <row r="1511" spans="2:6" x14ac:dyDescent="0.2">
      <c r="B1511"/>
      <c r="C1511"/>
      <c r="D1511"/>
      <c r="E1511"/>
      <c r="F1511" t="s">
        <v>9</v>
      </c>
    </row>
    <row r="1512" spans="2:6" x14ac:dyDescent="0.2">
      <c r="B1512"/>
      <c r="C1512"/>
      <c r="D1512"/>
      <c r="E1512"/>
      <c r="F1512" t="s">
        <v>10</v>
      </c>
    </row>
    <row r="1513" spans="2:6" x14ac:dyDescent="0.2">
      <c r="B1513"/>
      <c r="C1513"/>
      <c r="D1513"/>
      <c r="E1513"/>
      <c r="F1513" t="s">
        <v>12</v>
      </c>
    </row>
    <row r="1514" spans="2:6" x14ac:dyDescent="0.2">
      <c r="B1514"/>
      <c r="C1514"/>
      <c r="D1514"/>
      <c r="E1514"/>
      <c r="F1514" t="s">
        <v>14</v>
      </c>
    </row>
    <row r="1515" spans="2:6" x14ac:dyDescent="0.2">
      <c r="B1515"/>
      <c r="C1515"/>
      <c r="D1515"/>
      <c r="E1515"/>
      <c r="F1515" t="s">
        <v>15</v>
      </c>
    </row>
    <row r="1516" spans="2:6" x14ac:dyDescent="0.2">
      <c r="B1516" t="s">
        <v>174</v>
      </c>
      <c r="C1516" t="s">
        <v>923</v>
      </c>
      <c r="D1516" t="s">
        <v>969</v>
      </c>
      <c r="E1516" t="s">
        <v>1134</v>
      </c>
      <c r="F1516" t="s">
        <v>35</v>
      </c>
    </row>
    <row r="1517" spans="2:6" x14ac:dyDescent="0.2">
      <c r="B1517"/>
      <c r="C1517"/>
      <c r="D1517"/>
      <c r="E1517"/>
      <c r="F1517" t="s">
        <v>124</v>
      </c>
    </row>
    <row r="1518" spans="2:6" x14ac:dyDescent="0.2">
      <c r="B1518"/>
      <c r="C1518"/>
      <c r="D1518"/>
      <c r="E1518"/>
      <c r="F1518" t="s">
        <v>36</v>
      </c>
    </row>
    <row r="1519" spans="2:6" x14ac:dyDescent="0.2">
      <c r="B1519"/>
      <c r="C1519"/>
      <c r="D1519"/>
      <c r="E1519"/>
      <c r="F1519" t="s">
        <v>125</v>
      </c>
    </row>
    <row r="1520" spans="2:6" x14ac:dyDescent="0.2">
      <c r="B1520"/>
      <c r="C1520"/>
      <c r="D1520"/>
      <c r="E1520"/>
      <c r="F1520" t="s">
        <v>42</v>
      </c>
    </row>
    <row r="1521" spans="2:6" x14ac:dyDescent="0.2">
      <c r="B1521"/>
      <c r="C1521"/>
      <c r="D1521"/>
      <c r="E1521"/>
      <c r="F1521" t="s">
        <v>43</v>
      </c>
    </row>
    <row r="1522" spans="2:6" x14ac:dyDescent="0.2">
      <c r="B1522"/>
      <c r="C1522"/>
      <c r="D1522"/>
      <c r="E1522"/>
      <c r="F1522" t="s">
        <v>44</v>
      </c>
    </row>
    <row r="1523" spans="2:6" x14ac:dyDescent="0.2">
      <c r="B1523"/>
      <c r="C1523"/>
      <c r="D1523"/>
      <c r="E1523"/>
      <c r="F1523" t="s">
        <v>45</v>
      </c>
    </row>
    <row r="1524" spans="2:6" x14ac:dyDescent="0.2">
      <c r="B1524"/>
      <c r="C1524"/>
      <c r="D1524"/>
      <c r="E1524"/>
      <c r="F1524" t="s">
        <v>46</v>
      </c>
    </row>
    <row r="1525" spans="2:6" x14ac:dyDescent="0.2">
      <c r="B1525"/>
      <c r="C1525"/>
      <c r="D1525"/>
      <c r="E1525"/>
      <c r="F1525" t="s">
        <v>47</v>
      </c>
    </row>
    <row r="1526" spans="2:6" x14ac:dyDescent="0.2">
      <c r="B1526"/>
      <c r="C1526"/>
      <c r="D1526"/>
      <c r="E1526"/>
      <c r="F1526" t="s">
        <v>4</v>
      </c>
    </row>
    <row r="1527" spans="2:6" x14ac:dyDescent="0.2">
      <c r="B1527"/>
      <c r="C1527"/>
      <c r="D1527"/>
      <c r="E1527"/>
      <c r="F1527" t="s">
        <v>5</v>
      </c>
    </row>
    <row r="1528" spans="2:6" x14ac:dyDescent="0.2">
      <c r="B1528"/>
      <c r="C1528"/>
      <c r="D1528"/>
      <c r="E1528"/>
      <c r="F1528" t="s">
        <v>6</v>
      </c>
    </row>
    <row r="1529" spans="2:6" x14ac:dyDescent="0.2">
      <c r="B1529"/>
      <c r="C1529"/>
      <c r="D1529"/>
      <c r="E1529"/>
      <c r="F1529" t="s">
        <v>7</v>
      </c>
    </row>
    <row r="1530" spans="2:6" x14ac:dyDescent="0.2">
      <c r="B1530"/>
      <c r="C1530"/>
      <c r="D1530"/>
      <c r="E1530"/>
      <c r="F1530" t="s">
        <v>8</v>
      </c>
    </row>
    <row r="1531" spans="2:6" x14ac:dyDescent="0.2">
      <c r="B1531"/>
      <c r="C1531"/>
      <c r="D1531"/>
      <c r="E1531"/>
      <c r="F1531" t="s">
        <v>24</v>
      </c>
    </row>
    <row r="1532" spans="2:6" x14ac:dyDescent="0.2">
      <c r="B1532"/>
      <c r="C1532"/>
      <c r="D1532"/>
      <c r="E1532"/>
      <c r="F1532" t="s">
        <v>25</v>
      </c>
    </row>
    <row r="1533" spans="2:6" x14ac:dyDescent="0.2">
      <c r="B1533"/>
      <c r="C1533"/>
      <c r="D1533"/>
      <c r="E1533"/>
      <c r="F1533" t="s">
        <v>9</v>
      </c>
    </row>
    <row r="1534" spans="2:6" x14ac:dyDescent="0.2">
      <c r="B1534"/>
      <c r="C1534"/>
      <c r="D1534"/>
      <c r="E1534"/>
      <c r="F1534" t="s">
        <v>20</v>
      </c>
    </row>
    <row r="1535" spans="2:6" x14ac:dyDescent="0.2">
      <c r="B1535"/>
      <c r="C1535"/>
      <c r="D1535"/>
      <c r="E1535"/>
      <c r="F1535" t="s">
        <v>49</v>
      </c>
    </row>
    <row r="1536" spans="2:6" x14ac:dyDescent="0.2">
      <c r="B1536"/>
      <c r="C1536"/>
      <c r="D1536"/>
      <c r="E1536"/>
      <c r="F1536" t="s">
        <v>27</v>
      </c>
    </row>
    <row r="1537" spans="2:6" x14ac:dyDescent="0.2">
      <c r="B1537"/>
      <c r="C1537"/>
      <c r="D1537"/>
      <c r="E1537"/>
      <c r="F1537" t="s">
        <v>10</v>
      </c>
    </row>
    <row r="1538" spans="2:6" x14ac:dyDescent="0.2">
      <c r="B1538"/>
      <c r="C1538"/>
      <c r="D1538"/>
      <c r="E1538"/>
      <c r="F1538" t="s">
        <v>21</v>
      </c>
    </row>
    <row r="1539" spans="2:6" x14ac:dyDescent="0.2">
      <c r="B1539"/>
      <c r="C1539"/>
      <c r="D1539"/>
      <c r="E1539"/>
      <c r="F1539" t="s">
        <v>22</v>
      </c>
    </row>
    <row r="1540" spans="2:6" x14ac:dyDescent="0.2">
      <c r="B1540"/>
      <c r="C1540"/>
      <c r="D1540"/>
      <c r="E1540"/>
      <c r="F1540" t="s">
        <v>51</v>
      </c>
    </row>
    <row r="1541" spans="2:6" x14ac:dyDescent="0.2">
      <c r="B1541"/>
      <c r="C1541"/>
      <c r="D1541"/>
      <c r="E1541"/>
      <c r="F1541" t="s">
        <v>39</v>
      </c>
    </row>
    <row r="1542" spans="2:6" x14ac:dyDescent="0.2">
      <c r="B1542"/>
      <c r="C1542"/>
      <c r="D1542"/>
      <c r="E1542"/>
      <c r="F1542" t="s">
        <v>12</v>
      </c>
    </row>
    <row r="1543" spans="2:6" x14ac:dyDescent="0.2">
      <c r="B1543"/>
      <c r="C1543"/>
      <c r="D1543"/>
      <c r="E1543"/>
      <c r="F1543" t="s">
        <v>29</v>
      </c>
    </row>
    <row r="1544" spans="2:6" x14ac:dyDescent="0.2">
      <c r="B1544"/>
      <c r="C1544"/>
      <c r="D1544"/>
      <c r="E1544"/>
      <c r="F1544" t="s">
        <v>37</v>
      </c>
    </row>
    <row r="1545" spans="2:6" x14ac:dyDescent="0.2">
      <c r="B1545"/>
      <c r="C1545"/>
      <c r="D1545"/>
      <c r="E1545"/>
      <c r="F1545" t="s">
        <v>13</v>
      </c>
    </row>
    <row r="1546" spans="2:6" x14ac:dyDescent="0.2">
      <c r="B1546"/>
      <c r="C1546"/>
      <c r="D1546"/>
      <c r="E1546"/>
      <c r="F1546" t="s">
        <v>14</v>
      </c>
    </row>
    <row r="1547" spans="2:6" x14ac:dyDescent="0.2">
      <c r="B1547"/>
      <c r="C1547"/>
      <c r="D1547"/>
      <c r="E1547"/>
      <c r="F1547" t="s">
        <v>15</v>
      </c>
    </row>
    <row r="1548" spans="2:6" x14ac:dyDescent="0.2">
      <c r="B1548"/>
      <c r="C1548"/>
      <c r="D1548"/>
      <c r="E1548"/>
      <c r="F1548" t="s">
        <v>30</v>
      </c>
    </row>
    <row r="1549" spans="2:6" x14ac:dyDescent="0.2">
      <c r="B1549"/>
      <c r="C1549"/>
      <c r="D1549"/>
      <c r="E1549"/>
      <c r="F1549" t="s">
        <v>53</v>
      </c>
    </row>
    <row r="1550" spans="2:6" x14ac:dyDescent="0.2">
      <c r="B1550"/>
      <c r="C1550"/>
      <c r="D1550"/>
      <c r="E1550"/>
      <c r="F1550" t="s">
        <v>31</v>
      </c>
    </row>
    <row r="1551" spans="2:6" x14ac:dyDescent="0.2">
      <c r="B1551"/>
      <c r="C1551"/>
      <c r="D1551"/>
      <c r="E1551"/>
      <c r="F1551" t="s">
        <v>32</v>
      </c>
    </row>
    <row r="1552" spans="2:6" x14ac:dyDescent="0.2">
      <c r="B1552"/>
      <c r="C1552"/>
      <c r="D1552"/>
      <c r="E1552"/>
      <c r="F1552" t="s">
        <v>38</v>
      </c>
    </row>
    <row r="1553" spans="2:6" x14ac:dyDescent="0.2">
      <c r="B1553"/>
      <c r="C1553"/>
      <c r="D1553"/>
      <c r="E1553"/>
      <c r="F1553" t="s">
        <v>55</v>
      </c>
    </row>
    <row r="1554" spans="2:6" x14ac:dyDescent="0.2">
      <c r="B1554"/>
      <c r="C1554"/>
      <c r="D1554"/>
      <c r="E1554"/>
      <c r="F1554" t="s">
        <v>56</v>
      </c>
    </row>
    <row r="1555" spans="2:6" x14ac:dyDescent="0.2">
      <c r="B1555"/>
      <c r="C1555"/>
      <c r="D1555"/>
      <c r="E1555"/>
      <c r="F1555" t="s">
        <v>33</v>
      </c>
    </row>
    <row r="1556" spans="2:6" x14ac:dyDescent="0.2">
      <c r="B1556"/>
      <c r="C1556"/>
      <c r="D1556"/>
      <c r="E1556"/>
      <c r="F1556" t="s">
        <v>57</v>
      </c>
    </row>
    <row r="1557" spans="2:6" x14ac:dyDescent="0.2">
      <c r="B1557"/>
      <c r="C1557"/>
      <c r="D1557"/>
      <c r="E1557"/>
      <c r="F1557" t="s">
        <v>976</v>
      </c>
    </row>
    <row r="1558" spans="2:6" x14ac:dyDescent="0.2">
      <c r="B1558"/>
      <c r="C1558"/>
      <c r="D1558"/>
      <c r="E1558"/>
      <c r="F1558" t="s">
        <v>978</v>
      </c>
    </row>
    <row r="1559" spans="2:6" x14ac:dyDescent="0.2">
      <c r="B1559"/>
      <c r="C1559"/>
      <c r="D1559"/>
      <c r="E1559"/>
      <c r="F1559" t="s">
        <v>1004</v>
      </c>
    </row>
    <row r="1560" spans="2:6" x14ac:dyDescent="0.2">
      <c r="B1560"/>
      <c r="C1560"/>
      <c r="D1560"/>
      <c r="E1560"/>
      <c r="F1560" t="s">
        <v>1008</v>
      </c>
    </row>
    <row r="1561" spans="2:6" x14ac:dyDescent="0.2">
      <c r="B1561"/>
      <c r="C1561"/>
      <c r="D1561"/>
      <c r="E1561"/>
      <c r="F1561" t="s">
        <v>1013</v>
      </c>
    </row>
    <row r="1562" spans="2:6" x14ac:dyDescent="0.2">
      <c r="B1562" t="s">
        <v>175</v>
      </c>
      <c r="C1562" t="s">
        <v>659</v>
      </c>
      <c r="D1562" t="s">
        <v>969</v>
      </c>
      <c r="E1562" t="s">
        <v>1204</v>
      </c>
      <c r="F1562" t="s">
        <v>5</v>
      </c>
    </row>
    <row r="1563" spans="2:6" x14ac:dyDescent="0.2">
      <c r="B1563"/>
      <c r="C1563"/>
      <c r="D1563"/>
      <c r="E1563"/>
      <c r="F1563" t="s">
        <v>30</v>
      </c>
    </row>
    <row r="1564" spans="2:6" x14ac:dyDescent="0.2">
      <c r="B1564"/>
      <c r="C1564"/>
      <c r="D1564"/>
      <c r="E1564"/>
      <c r="F1564" t="s">
        <v>53</v>
      </c>
    </row>
    <row r="1565" spans="2:6" x14ac:dyDescent="0.2">
      <c r="B1565"/>
      <c r="C1565"/>
      <c r="D1565"/>
      <c r="E1565"/>
      <c r="F1565" t="s">
        <v>31</v>
      </c>
    </row>
    <row r="1566" spans="2:6" x14ac:dyDescent="0.2">
      <c r="B1566"/>
      <c r="C1566"/>
      <c r="D1566"/>
      <c r="E1566"/>
      <c r="F1566" t="s">
        <v>32</v>
      </c>
    </row>
    <row r="1567" spans="2:6" x14ac:dyDescent="0.2">
      <c r="B1567"/>
      <c r="C1567"/>
      <c r="D1567"/>
      <c r="E1567"/>
      <c r="F1567" t="s">
        <v>54</v>
      </c>
    </row>
    <row r="1568" spans="2:6" x14ac:dyDescent="0.2">
      <c r="B1568"/>
      <c r="C1568"/>
      <c r="D1568"/>
      <c r="E1568"/>
      <c r="F1568" t="s">
        <v>38</v>
      </c>
    </row>
    <row r="1569" spans="2:6" x14ac:dyDescent="0.2">
      <c r="B1569"/>
      <c r="C1569"/>
      <c r="D1569"/>
      <c r="E1569"/>
      <c r="F1569" t="s">
        <v>55</v>
      </c>
    </row>
    <row r="1570" spans="2:6" x14ac:dyDescent="0.2">
      <c r="B1570" t="s">
        <v>176</v>
      </c>
      <c r="C1570" t="s">
        <v>660</v>
      </c>
      <c r="D1570" t="s">
        <v>969</v>
      </c>
      <c r="E1570" t="s">
        <v>965</v>
      </c>
      <c r="F1570" t="s">
        <v>5</v>
      </c>
    </row>
    <row r="1571" spans="2:6" x14ac:dyDescent="0.2">
      <c r="B1571"/>
      <c r="C1571"/>
      <c r="D1571"/>
      <c r="E1571"/>
      <c r="F1571" t="s">
        <v>6</v>
      </c>
    </row>
    <row r="1572" spans="2:6" x14ac:dyDescent="0.2">
      <c r="B1572"/>
      <c r="C1572"/>
      <c r="D1572"/>
      <c r="E1572"/>
      <c r="F1572" t="s">
        <v>7</v>
      </c>
    </row>
    <row r="1573" spans="2:6" x14ac:dyDescent="0.2">
      <c r="B1573"/>
      <c r="C1573"/>
      <c r="D1573"/>
      <c r="E1573"/>
      <c r="F1573" t="s">
        <v>8</v>
      </c>
    </row>
    <row r="1574" spans="2:6" x14ac:dyDescent="0.2">
      <c r="B1574"/>
      <c r="C1574"/>
      <c r="D1574"/>
      <c r="E1574"/>
      <c r="F1574" t="s">
        <v>25</v>
      </c>
    </row>
    <row r="1575" spans="2:6" x14ac:dyDescent="0.2">
      <c r="B1575"/>
      <c r="C1575"/>
      <c r="D1575"/>
      <c r="E1575"/>
      <c r="F1575" t="s">
        <v>10</v>
      </c>
    </row>
    <row r="1576" spans="2:6" x14ac:dyDescent="0.2">
      <c r="B1576"/>
      <c r="C1576"/>
      <c r="D1576"/>
      <c r="E1576"/>
      <c r="F1576" t="s">
        <v>28</v>
      </c>
    </row>
    <row r="1577" spans="2:6" x14ac:dyDescent="0.2">
      <c r="B1577"/>
      <c r="C1577"/>
      <c r="D1577"/>
      <c r="E1577"/>
      <c r="F1577" t="s">
        <v>29</v>
      </c>
    </row>
    <row r="1578" spans="2:6" x14ac:dyDescent="0.2">
      <c r="B1578"/>
      <c r="C1578"/>
      <c r="D1578"/>
      <c r="E1578"/>
      <c r="F1578" t="s">
        <v>31</v>
      </c>
    </row>
    <row r="1579" spans="2:6" x14ac:dyDescent="0.2">
      <c r="B1579" t="s">
        <v>177</v>
      </c>
      <c r="C1579" t="s">
        <v>661</v>
      </c>
      <c r="D1579" t="s">
        <v>970</v>
      </c>
      <c r="E1579" t="s">
        <v>1205</v>
      </c>
      <c r="F1579" t="s">
        <v>4</v>
      </c>
    </row>
    <row r="1580" spans="2:6" x14ac:dyDescent="0.2">
      <c r="B1580"/>
      <c r="C1580"/>
      <c r="D1580"/>
      <c r="E1580"/>
      <c r="F1580" t="s">
        <v>5</v>
      </c>
    </row>
    <row r="1581" spans="2:6" x14ac:dyDescent="0.2">
      <c r="B1581"/>
      <c r="C1581"/>
      <c r="D1581"/>
      <c r="E1581"/>
      <c r="F1581" t="s">
        <v>8</v>
      </c>
    </row>
    <row r="1582" spans="2:6" x14ac:dyDescent="0.2">
      <c r="B1582"/>
      <c r="C1582"/>
      <c r="D1582"/>
      <c r="E1582"/>
      <c r="F1582" t="s">
        <v>25</v>
      </c>
    </row>
    <row r="1583" spans="2:6" x14ac:dyDescent="0.2">
      <c r="B1583"/>
      <c r="C1583"/>
      <c r="D1583"/>
      <c r="E1583"/>
      <c r="F1583" t="s">
        <v>9</v>
      </c>
    </row>
    <row r="1584" spans="2:6" x14ac:dyDescent="0.2">
      <c r="B1584"/>
      <c r="C1584"/>
      <c r="D1584"/>
      <c r="E1584"/>
      <c r="F1584" t="s">
        <v>10</v>
      </c>
    </row>
    <row r="1585" spans="2:6" x14ac:dyDescent="0.2">
      <c r="B1585"/>
      <c r="C1585"/>
      <c r="D1585"/>
      <c r="E1585"/>
      <c r="F1585" t="s">
        <v>15</v>
      </c>
    </row>
    <row r="1586" spans="2:6" x14ac:dyDescent="0.2">
      <c r="B1586"/>
      <c r="C1586"/>
      <c r="D1586"/>
      <c r="E1586"/>
      <c r="F1586" t="s">
        <v>30</v>
      </c>
    </row>
    <row r="1587" spans="2:6" x14ac:dyDescent="0.2">
      <c r="B1587"/>
      <c r="C1587"/>
      <c r="D1587"/>
      <c r="E1587"/>
      <c r="F1587" t="s">
        <v>53</v>
      </c>
    </row>
    <row r="1588" spans="2:6" x14ac:dyDescent="0.2">
      <c r="B1588"/>
      <c r="C1588"/>
      <c r="D1588"/>
      <c r="E1588"/>
      <c r="F1588" t="s">
        <v>31</v>
      </c>
    </row>
    <row r="1589" spans="2:6" x14ac:dyDescent="0.2">
      <c r="B1589"/>
      <c r="C1589"/>
      <c r="D1589"/>
      <c r="E1589"/>
      <c r="F1589" t="s">
        <v>32</v>
      </c>
    </row>
    <row r="1590" spans="2:6" x14ac:dyDescent="0.2">
      <c r="B1590"/>
      <c r="C1590"/>
      <c r="D1590"/>
      <c r="E1590"/>
      <c r="F1590" t="s">
        <v>54</v>
      </c>
    </row>
    <row r="1591" spans="2:6" x14ac:dyDescent="0.2">
      <c r="B1591"/>
      <c r="C1591"/>
      <c r="D1591"/>
      <c r="E1591"/>
      <c r="F1591" t="s">
        <v>38</v>
      </c>
    </row>
    <row r="1592" spans="2:6" x14ac:dyDescent="0.2">
      <c r="B1592"/>
      <c r="C1592"/>
      <c r="D1592"/>
      <c r="E1592"/>
      <c r="F1592" t="s">
        <v>55</v>
      </c>
    </row>
    <row r="1593" spans="2:6" x14ac:dyDescent="0.2">
      <c r="B1593" t="s">
        <v>178</v>
      </c>
      <c r="C1593" t="s">
        <v>662</v>
      </c>
      <c r="D1593" t="s">
        <v>969</v>
      </c>
      <c r="E1593" t="s">
        <v>1160</v>
      </c>
      <c r="F1593" t="s">
        <v>36</v>
      </c>
    </row>
    <row r="1594" spans="2:6" x14ac:dyDescent="0.2">
      <c r="B1594"/>
      <c r="C1594"/>
      <c r="D1594"/>
      <c r="E1594"/>
      <c r="F1594" t="s">
        <v>42</v>
      </c>
    </row>
    <row r="1595" spans="2:6" x14ac:dyDescent="0.2">
      <c r="B1595"/>
      <c r="C1595"/>
      <c r="D1595"/>
      <c r="E1595"/>
      <c r="F1595" t="s">
        <v>43</v>
      </c>
    </row>
    <row r="1596" spans="2:6" x14ac:dyDescent="0.2">
      <c r="B1596"/>
      <c r="C1596"/>
      <c r="D1596"/>
      <c r="E1596"/>
      <c r="F1596" t="s">
        <v>44</v>
      </c>
    </row>
    <row r="1597" spans="2:6" x14ac:dyDescent="0.2">
      <c r="B1597"/>
      <c r="C1597"/>
      <c r="D1597"/>
      <c r="E1597"/>
      <c r="F1597" t="s">
        <v>46</v>
      </c>
    </row>
    <row r="1598" spans="2:6" x14ac:dyDescent="0.2">
      <c r="B1598"/>
      <c r="C1598"/>
      <c r="D1598"/>
      <c r="E1598"/>
      <c r="F1598" t="s">
        <v>47</v>
      </c>
    </row>
    <row r="1599" spans="2:6" x14ac:dyDescent="0.2">
      <c r="B1599"/>
      <c r="C1599"/>
      <c r="D1599"/>
      <c r="E1599"/>
      <c r="F1599" t="s">
        <v>4</v>
      </c>
    </row>
    <row r="1600" spans="2:6" x14ac:dyDescent="0.2">
      <c r="B1600"/>
      <c r="C1600"/>
      <c r="D1600"/>
      <c r="E1600"/>
      <c r="F1600" t="s">
        <v>5</v>
      </c>
    </row>
    <row r="1601" spans="2:6" x14ac:dyDescent="0.2">
      <c r="B1601"/>
      <c r="C1601"/>
      <c r="D1601"/>
      <c r="E1601"/>
      <c r="F1601" t="s">
        <v>6</v>
      </c>
    </row>
    <row r="1602" spans="2:6" x14ac:dyDescent="0.2">
      <c r="B1602"/>
      <c r="C1602"/>
      <c r="D1602"/>
      <c r="E1602"/>
      <c r="F1602" t="s">
        <v>7</v>
      </c>
    </row>
    <row r="1603" spans="2:6" x14ac:dyDescent="0.2">
      <c r="B1603"/>
      <c r="C1603"/>
      <c r="D1603"/>
      <c r="E1603"/>
      <c r="F1603" t="s">
        <v>8</v>
      </c>
    </row>
    <row r="1604" spans="2:6" x14ac:dyDescent="0.2">
      <c r="B1604"/>
      <c r="C1604"/>
      <c r="D1604"/>
      <c r="E1604"/>
      <c r="F1604" t="s">
        <v>24</v>
      </c>
    </row>
    <row r="1605" spans="2:6" x14ac:dyDescent="0.2">
      <c r="B1605"/>
      <c r="C1605"/>
      <c r="D1605"/>
      <c r="E1605"/>
      <c r="F1605" t="s">
        <v>25</v>
      </c>
    </row>
    <row r="1606" spans="2:6" x14ac:dyDescent="0.2">
      <c r="B1606"/>
      <c r="C1606"/>
      <c r="D1606"/>
      <c r="E1606"/>
      <c r="F1606" t="s">
        <v>9</v>
      </c>
    </row>
    <row r="1607" spans="2:6" x14ac:dyDescent="0.2">
      <c r="B1607"/>
      <c r="C1607"/>
      <c r="D1607"/>
      <c r="E1607"/>
      <c r="F1607" t="s">
        <v>49</v>
      </c>
    </row>
    <row r="1608" spans="2:6" x14ac:dyDescent="0.2">
      <c r="B1608"/>
      <c r="C1608"/>
      <c r="D1608"/>
      <c r="E1608"/>
      <c r="F1608" t="s">
        <v>27</v>
      </c>
    </row>
    <row r="1609" spans="2:6" x14ac:dyDescent="0.2">
      <c r="B1609"/>
      <c r="C1609"/>
      <c r="D1609"/>
      <c r="E1609"/>
      <c r="F1609" t="s">
        <v>59</v>
      </c>
    </row>
    <row r="1610" spans="2:6" x14ac:dyDescent="0.2">
      <c r="B1610"/>
      <c r="C1610"/>
      <c r="D1610"/>
      <c r="E1610"/>
      <c r="F1610" t="s">
        <v>10</v>
      </c>
    </row>
    <row r="1611" spans="2:6" x14ac:dyDescent="0.2">
      <c r="B1611"/>
      <c r="C1611"/>
      <c r="D1611"/>
      <c r="E1611"/>
      <c r="F1611" t="s">
        <v>21</v>
      </c>
    </row>
    <row r="1612" spans="2:6" x14ac:dyDescent="0.2">
      <c r="B1612"/>
      <c r="C1612"/>
      <c r="D1612"/>
      <c r="E1612"/>
      <c r="F1612" t="s">
        <v>11</v>
      </c>
    </row>
    <row r="1613" spans="2:6" x14ac:dyDescent="0.2">
      <c r="B1613"/>
      <c r="C1613"/>
      <c r="D1613"/>
      <c r="E1613"/>
      <c r="F1613" t="s">
        <v>22</v>
      </c>
    </row>
    <row r="1614" spans="2:6" x14ac:dyDescent="0.2">
      <c r="B1614"/>
      <c r="C1614"/>
      <c r="D1614"/>
      <c r="E1614"/>
      <c r="F1614" t="s">
        <v>51</v>
      </c>
    </row>
    <row r="1615" spans="2:6" x14ac:dyDescent="0.2">
      <c r="B1615"/>
      <c r="C1615"/>
      <c r="D1615"/>
      <c r="E1615"/>
      <c r="F1615" t="s">
        <v>39</v>
      </c>
    </row>
    <row r="1616" spans="2:6" x14ac:dyDescent="0.2">
      <c r="B1616"/>
      <c r="C1616"/>
      <c r="D1616"/>
      <c r="E1616"/>
      <c r="F1616" t="s">
        <v>12</v>
      </c>
    </row>
    <row r="1617" spans="2:6" x14ac:dyDescent="0.2">
      <c r="B1617"/>
      <c r="C1617"/>
      <c r="D1617"/>
      <c r="E1617"/>
      <c r="F1617" t="s">
        <v>37</v>
      </c>
    </row>
    <row r="1618" spans="2:6" x14ac:dyDescent="0.2">
      <c r="B1618"/>
      <c r="C1618"/>
      <c r="D1618"/>
      <c r="E1618"/>
      <c r="F1618" t="s">
        <v>13</v>
      </c>
    </row>
    <row r="1619" spans="2:6" x14ac:dyDescent="0.2">
      <c r="B1619"/>
      <c r="C1619"/>
      <c r="D1619"/>
      <c r="E1619"/>
      <c r="F1619" t="s">
        <v>14</v>
      </c>
    </row>
    <row r="1620" spans="2:6" x14ac:dyDescent="0.2">
      <c r="B1620"/>
      <c r="C1620"/>
      <c r="D1620"/>
      <c r="E1620"/>
      <c r="F1620" t="s">
        <v>15</v>
      </c>
    </row>
    <row r="1621" spans="2:6" x14ac:dyDescent="0.2">
      <c r="B1621"/>
      <c r="C1621"/>
      <c r="D1621"/>
      <c r="E1621"/>
      <c r="F1621" t="s">
        <v>30</v>
      </c>
    </row>
    <row r="1622" spans="2:6" x14ac:dyDescent="0.2">
      <c r="B1622"/>
      <c r="C1622"/>
      <c r="D1622"/>
      <c r="E1622"/>
      <c r="F1622" t="s">
        <v>53</v>
      </c>
    </row>
    <row r="1623" spans="2:6" x14ac:dyDescent="0.2">
      <c r="B1623"/>
      <c r="C1623"/>
      <c r="D1623"/>
      <c r="E1623"/>
      <c r="F1623" t="s">
        <v>31</v>
      </c>
    </row>
    <row r="1624" spans="2:6" x14ac:dyDescent="0.2">
      <c r="B1624"/>
      <c r="C1624"/>
      <c r="D1624"/>
      <c r="E1624"/>
      <c r="F1624" t="s">
        <v>32</v>
      </c>
    </row>
    <row r="1625" spans="2:6" x14ac:dyDescent="0.2">
      <c r="B1625"/>
      <c r="C1625"/>
      <c r="D1625"/>
      <c r="E1625"/>
      <c r="F1625" t="s">
        <v>54</v>
      </c>
    </row>
    <row r="1626" spans="2:6" x14ac:dyDescent="0.2">
      <c r="B1626"/>
      <c r="C1626"/>
      <c r="D1626"/>
      <c r="E1626"/>
      <c r="F1626" t="s">
        <v>38</v>
      </c>
    </row>
    <row r="1627" spans="2:6" x14ac:dyDescent="0.2">
      <c r="B1627"/>
      <c r="C1627"/>
      <c r="D1627"/>
      <c r="E1627"/>
      <c r="F1627" t="s">
        <v>55</v>
      </c>
    </row>
    <row r="1628" spans="2:6" x14ac:dyDescent="0.2">
      <c r="B1628"/>
      <c r="C1628"/>
      <c r="D1628"/>
      <c r="E1628"/>
      <c r="F1628" t="s">
        <v>56</v>
      </c>
    </row>
    <row r="1629" spans="2:6" x14ac:dyDescent="0.2">
      <c r="B1629"/>
      <c r="C1629"/>
      <c r="D1629"/>
      <c r="E1629"/>
      <c r="F1629" t="s">
        <v>33</v>
      </c>
    </row>
    <row r="1630" spans="2:6" x14ac:dyDescent="0.2">
      <c r="B1630"/>
      <c r="C1630"/>
      <c r="D1630"/>
      <c r="E1630"/>
      <c r="F1630" t="s">
        <v>57</v>
      </c>
    </row>
    <row r="1631" spans="2:6" x14ac:dyDescent="0.2">
      <c r="B1631" t="s">
        <v>179</v>
      </c>
      <c r="C1631" t="s">
        <v>663</v>
      </c>
      <c r="D1631" t="s">
        <v>969</v>
      </c>
      <c r="E1631" t="s">
        <v>1206</v>
      </c>
      <c r="F1631" t="s">
        <v>5</v>
      </c>
    </row>
    <row r="1632" spans="2:6" x14ac:dyDescent="0.2">
      <c r="B1632" t="s">
        <v>180</v>
      </c>
      <c r="C1632" t="s">
        <v>664</v>
      </c>
      <c r="D1632" t="s">
        <v>970</v>
      </c>
      <c r="E1632" t="s">
        <v>1207</v>
      </c>
      <c r="F1632" t="s">
        <v>10</v>
      </c>
    </row>
    <row r="1633" spans="2:6" x14ac:dyDescent="0.2">
      <c r="B1633" t="s">
        <v>181</v>
      </c>
      <c r="C1633" t="s">
        <v>1103</v>
      </c>
      <c r="D1633" t="s">
        <v>969</v>
      </c>
      <c r="E1633" t="s">
        <v>1208</v>
      </c>
      <c r="F1633" t="s">
        <v>5</v>
      </c>
    </row>
    <row r="1634" spans="2:6" x14ac:dyDescent="0.2">
      <c r="B1634"/>
      <c r="C1634"/>
      <c r="D1634"/>
      <c r="E1634"/>
      <c r="F1634" t="s">
        <v>9</v>
      </c>
    </row>
    <row r="1635" spans="2:6" x14ac:dyDescent="0.2">
      <c r="B1635"/>
      <c r="C1635"/>
      <c r="D1635"/>
      <c r="E1635"/>
      <c r="F1635" t="s">
        <v>10</v>
      </c>
    </row>
    <row r="1636" spans="2:6" x14ac:dyDescent="0.2">
      <c r="B1636"/>
      <c r="C1636"/>
      <c r="D1636"/>
      <c r="E1636"/>
      <c r="F1636" t="s">
        <v>12</v>
      </c>
    </row>
    <row r="1637" spans="2:6" x14ac:dyDescent="0.2">
      <c r="B1637"/>
      <c r="C1637"/>
      <c r="D1637"/>
      <c r="E1637"/>
      <c r="F1637" t="s">
        <v>29</v>
      </c>
    </row>
    <row r="1638" spans="2:6" x14ac:dyDescent="0.2">
      <c r="B1638" t="s">
        <v>182</v>
      </c>
      <c r="C1638" t="s">
        <v>665</v>
      </c>
      <c r="D1638" t="s">
        <v>969</v>
      </c>
      <c r="E1638" t="s">
        <v>1209</v>
      </c>
      <c r="F1638" t="s">
        <v>4</v>
      </c>
    </row>
    <row r="1639" spans="2:6" x14ac:dyDescent="0.2">
      <c r="B1639"/>
      <c r="C1639"/>
      <c r="D1639"/>
      <c r="E1639"/>
      <c r="F1639" t="s">
        <v>5</v>
      </c>
    </row>
    <row r="1640" spans="2:6" x14ac:dyDescent="0.2">
      <c r="B1640"/>
      <c r="C1640"/>
      <c r="D1640"/>
      <c r="E1640"/>
      <c r="F1640" t="s">
        <v>7</v>
      </c>
    </row>
    <row r="1641" spans="2:6" x14ac:dyDescent="0.2">
      <c r="B1641"/>
      <c r="C1641"/>
      <c r="D1641"/>
      <c r="E1641"/>
      <c r="F1641" t="s">
        <v>8</v>
      </c>
    </row>
    <row r="1642" spans="2:6" x14ac:dyDescent="0.2">
      <c r="B1642"/>
      <c r="C1642"/>
      <c r="D1642"/>
      <c r="E1642"/>
      <c r="F1642" t="s">
        <v>24</v>
      </c>
    </row>
    <row r="1643" spans="2:6" x14ac:dyDescent="0.2">
      <c r="B1643"/>
      <c r="C1643"/>
      <c r="D1643"/>
      <c r="E1643"/>
      <c r="F1643" t="s">
        <v>25</v>
      </c>
    </row>
    <row r="1644" spans="2:6" x14ac:dyDescent="0.2">
      <c r="B1644"/>
      <c r="C1644"/>
      <c r="D1644"/>
      <c r="E1644"/>
      <c r="F1644" t="s">
        <v>9</v>
      </c>
    </row>
    <row r="1645" spans="2:6" x14ac:dyDescent="0.2">
      <c r="B1645"/>
      <c r="C1645"/>
      <c r="D1645"/>
      <c r="E1645"/>
      <c r="F1645" t="s">
        <v>27</v>
      </c>
    </row>
    <row r="1646" spans="2:6" x14ac:dyDescent="0.2">
      <c r="B1646"/>
      <c r="C1646"/>
      <c r="D1646"/>
      <c r="E1646"/>
      <c r="F1646" t="s">
        <v>10</v>
      </c>
    </row>
    <row r="1647" spans="2:6" x14ac:dyDescent="0.2">
      <c r="B1647"/>
      <c r="C1647"/>
      <c r="D1647"/>
      <c r="E1647"/>
      <c r="F1647" t="s">
        <v>12</v>
      </c>
    </row>
    <row r="1648" spans="2:6" x14ac:dyDescent="0.2">
      <c r="B1648"/>
      <c r="C1648"/>
      <c r="D1648"/>
      <c r="E1648"/>
      <c r="F1648" t="s">
        <v>29</v>
      </c>
    </row>
    <row r="1649" spans="2:6" x14ac:dyDescent="0.2">
      <c r="B1649"/>
      <c r="C1649"/>
      <c r="D1649"/>
      <c r="E1649"/>
      <c r="F1649" t="s">
        <v>37</v>
      </c>
    </row>
    <row r="1650" spans="2:6" x14ac:dyDescent="0.2">
      <c r="B1650"/>
      <c r="C1650"/>
      <c r="D1650"/>
      <c r="E1650"/>
      <c r="F1650" t="s">
        <v>13</v>
      </c>
    </row>
    <row r="1651" spans="2:6" x14ac:dyDescent="0.2">
      <c r="B1651"/>
      <c r="C1651"/>
      <c r="D1651"/>
      <c r="E1651"/>
      <c r="F1651" t="s">
        <v>14</v>
      </c>
    </row>
    <row r="1652" spans="2:6" x14ac:dyDescent="0.2">
      <c r="B1652"/>
      <c r="C1652"/>
      <c r="D1652"/>
      <c r="E1652"/>
      <c r="F1652" t="s">
        <v>15</v>
      </c>
    </row>
    <row r="1653" spans="2:6" x14ac:dyDescent="0.2">
      <c r="B1653"/>
      <c r="C1653"/>
      <c r="D1653"/>
      <c r="E1653"/>
      <c r="F1653" t="s">
        <v>31</v>
      </c>
    </row>
    <row r="1654" spans="2:6" x14ac:dyDescent="0.2">
      <c r="B1654"/>
      <c r="C1654"/>
      <c r="D1654"/>
      <c r="E1654"/>
      <c r="F1654" t="s">
        <v>32</v>
      </c>
    </row>
    <row r="1655" spans="2:6" x14ac:dyDescent="0.2">
      <c r="B1655" t="s">
        <v>183</v>
      </c>
      <c r="C1655" t="s">
        <v>666</v>
      </c>
      <c r="D1655" t="s">
        <v>970</v>
      </c>
      <c r="E1655" t="s">
        <v>1210</v>
      </c>
      <c r="F1655" t="s">
        <v>5</v>
      </c>
    </row>
    <row r="1656" spans="2:6" x14ac:dyDescent="0.2">
      <c r="B1656"/>
      <c r="C1656"/>
      <c r="D1656"/>
      <c r="E1656"/>
      <c r="F1656" t="s">
        <v>25</v>
      </c>
    </row>
    <row r="1657" spans="2:6" x14ac:dyDescent="0.2">
      <c r="B1657"/>
      <c r="C1657"/>
      <c r="D1657"/>
      <c r="E1657"/>
      <c r="F1657" t="s">
        <v>9</v>
      </c>
    </row>
    <row r="1658" spans="2:6" x14ac:dyDescent="0.2">
      <c r="B1658"/>
      <c r="C1658"/>
      <c r="D1658"/>
      <c r="E1658"/>
      <c r="F1658" t="s">
        <v>10</v>
      </c>
    </row>
    <row r="1659" spans="2:6" x14ac:dyDescent="0.2">
      <c r="B1659"/>
      <c r="C1659"/>
      <c r="D1659"/>
      <c r="E1659"/>
      <c r="F1659" t="s">
        <v>13</v>
      </c>
    </row>
    <row r="1660" spans="2:6" x14ac:dyDescent="0.2">
      <c r="B1660"/>
      <c r="C1660"/>
      <c r="D1660"/>
      <c r="E1660"/>
      <c r="F1660" t="s">
        <v>14</v>
      </c>
    </row>
    <row r="1661" spans="2:6" x14ac:dyDescent="0.2">
      <c r="B1661"/>
      <c r="C1661"/>
      <c r="D1661"/>
      <c r="E1661"/>
      <c r="F1661" t="s">
        <v>15</v>
      </c>
    </row>
    <row r="1662" spans="2:6" x14ac:dyDescent="0.2">
      <c r="B1662" t="s">
        <v>184</v>
      </c>
      <c r="C1662" t="s">
        <v>667</v>
      </c>
      <c r="D1662" t="s">
        <v>969</v>
      </c>
      <c r="E1662" t="s">
        <v>1211</v>
      </c>
      <c r="F1662" t="s">
        <v>5</v>
      </c>
    </row>
    <row r="1663" spans="2:6" x14ac:dyDescent="0.2">
      <c r="B1663"/>
      <c r="C1663"/>
      <c r="D1663"/>
      <c r="E1663"/>
      <c r="F1663" t="s">
        <v>6</v>
      </c>
    </row>
    <row r="1664" spans="2:6" x14ac:dyDescent="0.2">
      <c r="B1664"/>
      <c r="C1664"/>
      <c r="D1664"/>
      <c r="E1664"/>
      <c r="F1664" t="s">
        <v>7</v>
      </c>
    </row>
    <row r="1665" spans="2:6" x14ac:dyDescent="0.2">
      <c r="B1665"/>
      <c r="C1665"/>
      <c r="D1665"/>
      <c r="E1665"/>
      <c r="F1665" t="s">
        <v>8</v>
      </c>
    </row>
    <row r="1666" spans="2:6" x14ac:dyDescent="0.2">
      <c r="B1666"/>
      <c r="C1666"/>
      <c r="D1666"/>
      <c r="E1666"/>
      <c r="F1666" t="s">
        <v>10</v>
      </c>
    </row>
    <row r="1667" spans="2:6" x14ac:dyDescent="0.2">
      <c r="B1667"/>
      <c r="C1667"/>
      <c r="D1667"/>
      <c r="E1667"/>
      <c r="F1667" t="s">
        <v>11</v>
      </c>
    </row>
    <row r="1668" spans="2:6" x14ac:dyDescent="0.2">
      <c r="B1668"/>
      <c r="C1668"/>
      <c r="D1668"/>
      <c r="E1668"/>
      <c r="F1668" t="s">
        <v>15</v>
      </c>
    </row>
    <row r="1669" spans="2:6" x14ac:dyDescent="0.2">
      <c r="B1669" t="s">
        <v>185</v>
      </c>
      <c r="C1669" t="s">
        <v>668</v>
      </c>
      <c r="D1669" t="s">
        <v>970</v>
      </c>
      <c r="E1669" t="s">
        <v>1212</v>
      </c>
      <c r="F1669" t="s">
        <v>43</v>
      </c>
    </row>
    <row r="1670" spans="2:6" x14ac:dyDescent="0.2">
      <c r="B1670"/>
      <c r="C1670"/>
      <c r="D1670"/>
      <c r="E1670"/>
      <c r="F1670" t="s">
        <v>44</v>
      </c>
    </row>
    <row r="1671" spans="2:6" x14ac:dyDescent="0.2">
      <c r="B1671"/>
      <c r="C1671"/>
      <c r="D1671"/>
      <c r="E1671"/>
      <c r="F1671" t="s">
        <v>4</v>
      </c>
    </row>
    <row r="1672" spans="2:6" x14ac:dyDescent="0.2">
      <c r="B1672"/>
      <c r="C1672"/>
      <c r="D1672"/>
      <c r="E1672"/>
      <c r="F1672" t="s">
        <v>5</v>
      </c>
    </row>
    <row r="1673" spans="2:6" x14ac:dyDescent="0.2">
      <c r="B1673"/>
      <c r="C1673"/>
      <c r="D1673"/>
      <c r="E1673"/>
      <c r="F1673" t="s">
        <v>24</v>
      </c>
    </row>
    <row r="1674" spans="2:6" x14ac:dyDescent="0.2">
      <c r="B1674"/>
      <c r="C1674"/>
      <c r="D1674"/>
      <c r="E1674"/>
      <c r="F1674" t="s">
        <v>25</v>
      </c>
    </row>
    <row r="1675" spans="2:6" x14ac:dyDescent="0.2">
      <c r="B1675"/>
      <c r="C1675"/>
      <c r="D1675"/>
      <c r="E1675"/>
      <c r="F1675" t="s">
        <v>9</v>
      </c>
    </row>
    <row r="1676" spans="2:6" x14ac:dyDescent="0.2">
      <c r="B1676" t="s">
        <v>186</v>
      </c>
      <c r="C1676" t="s">
        <v>669</v>
      </c>
      <c r="D1676" t="s">
        <v>969</v>
      </c>
      <c r="E1676" t="s">
        <v>1174</v>
      </c>
      <c r="F1676" t="s">
        <v>11</v>
      </c>
    </row>
    <row r="1677" spans="2:6" x14ac:dyDescent="0.2">
      <c r="B1677" t="s">
        <v>187</v>
      </c>
      <c r="C1677" t="s">
        <v>892</v>
      </c>
      <c r="D1677" t="s">
        <v>969</v>
      </c>
      <c r="E1677" t="s">
        <v>1213</v>
      </c>
      <c r="F1677" t="s">
        <v>46</v>
      </c>
    </row>
    <row r="1678" spans="2:6" x14ac:dyDescent="0.2">
      <c r="B1678"/>
      <c r="C1678"/>
      <c r="D1678"/>
      <c r="E1678"/>
      <c r="F1678" t="s">
        <v>47</v>
      </c>
    </row>
    <row r="1679" spans="2:6" x14ac:dyDescent="0.2">
      <c r="B1679" t="s">
        <v>188</v>
      </c>
      <c r="C1679" t="s">
        <v>670</v>
      </c>
      <c r="D1679" t="s">
        <v>969</v>
      </c>
      <c r="E1679" t="s">
        <v>1214</v>
      </c>
      <c r="F1679" t="s">
        <v>35</v>
      </c>
    </row>
    <row r="1680" spans="2:6" x14ac:dyDescent="0.2">
      <c r="B1680"/>
      <c r="C1680"/>
      <c r="D1680"/>
      <c r="E1680"/>
      <c r="F1680" t="s">
        <v>36</v>
      </c>
    </row>
    <row r="1681" spans="2:6" x14ac:dyDescent="0.2">
      <c r="B1681"/>
      <c r="C1681"/>
      <c r="D1681"/>
      <c r="E1681"/>
      <c r="F1681" t="s">
        <v>43</v>
      </c>
    </row>
    <row r="1682" spans="2:6" x14ac:dyDescent="0.2">
      <c r="B1682"/>
      <c r="C1682"/>
      <c r="D1682"/>
      <c r="E1682"/>
      <c r="F1682" t="s">
        <v>44</v>
      </c>
    </row>
    <row r="1683" spans="2:6" x14ac:dyDescent="0.2">
      <c r="B1683"/>
      <c r="C1683"/>
      <c r="D1683"/>
      <c r="E1683"/>
      <c r="F1683" t="s">
        <v>4</v>
      </c>
    </row>
    <row r="1684" spans="2:6" x14ac:dyDescent="0.2">
      <c r="B1684"/>
      <c r="C1684"/>
      <c r="D1684"/>
      <c r="E1684"/>
      <c r="F1684" t="s">
        <v>5</v>
      </c>
    </row>
    <row r="1685" spans="2:6" x14ac:dyDescent="0.2">
      <c r="B1685"/>
      <c r="C1685"/>
      <c r="D1685"/>
      <c r="E1685"/>
      <c r="F1685" t="s">
        <v>6</v>
      </c>
    </row>
    <row r="1686" spans="2:6" x14ac:dyDescent="0.2">
      <c r="B1686"/>
      <c r="C1686"/>
      <c r="D1686"/>
      <c r="E1686"/>
      <c r="F1686" t="s">
        <v>7</v>
      </c>
    </row>
    <row r="1687" spans="2:6" x14ac:dyDescent="0.2">
      <c r="B1687"/>
      <c r="C1687"/>
      <c r="D1687"/>
      <c r="E1687"/>
      <c r="F1687" t="s">
        <v>8</v>
      </c>
    </row>
    <row r="1688" spans="2:6" x14ac:dyDescent="0.2">
      <c r="B1688"/>
      <c r="C1688"/>
      <c r="D1688"/>
      <c r="E1688"/>
      <c r="F1688" t="s">
        <v>24</v>
      </c>
    </row>
    <row r="1689" spans="2:6" x14ac:dyDescent="0.2">
      <c r="B1689"/>
      <c r="C1689"/>
      <c r="D1689"/>
      <c r="E1689"/>
      <c r="F1689" t="s">
        <v>25</v>
      </c>
    </row>
    <row r="1690" spans="2:6" x14ac:dyDescent="0.2">
      <c r="B1690"/>
      <c r="C1690"/>
      <c r="D1690"/>
      <c r="E1690"/>
      <c r="F1690" t="s">
        <v>9</v>
      </c>
    </row>
    <row r="1691" spans="2:6" x14ac:dyDescent="0.2">
      <c r="B1691"/>
      <c r="C1691"/>
      <c r="D1691"/>
      <c r="E1691"/>
      <c r="F1691" t="s">
        <v>49</v>
      </c>
    </row>
    <row r="1692" spans="2:6" x14ac:dyDescent="0.2">
      <c r="B1692"/>
      <c r="C1692"/>
      <c r="D1692"/>
      <c r="E1692"/>
      <c r="F1692" t="s">
        <v>27</v>
      </c>
    </row>
    <row r="1693" spans="2:6" x14ac:dyDescent="0.2">
      <c r="B1693"/>
      <c r="C1693"/>
      <c r="D1693"/>
      <c r="E1693"/>
      <c r="F1693" t="s">
        <v>81</v>
      </c>
    </row>
    <row r="1694" spans="2:6" x14ac:dyDescent="0.2">
      <c r="B1694"/>
      <c r="C1694"/>
      <c r="D1694"/>
      <c r="E1694"/>
      <c r="F1694" t="s">
        <v>10</v>
      </c>
    </row>
    <row r="1695" spans="2:6" x14ac:dyDescent="0.2">
      <c r="B1695"/>
      <c r="C1695"/>
      <c r="D1695"/>
      <c r="E1695"/>
      <c r="F1695" t="s">
        <v>21</v>
      </c>
    </row>
    <row r="1696" spans="2:6" x14ac:dyDescent="0.2">
      <c r="B1696"/>
      <c r="C1696"/>
      <c r="D1696"/>
      <c r="E1696"/>
      <c r="F1696" t="s">
        <v>22</v>
      </c>
    </row>
    <row r="1697" spans="2:6" x14ac:dyDescent="0.2">
      <c r="B1697"/>
      <c r="C1697"/>
      <c r="D1697"/>
      <c r="E1697"/>
      <c r="F1697" t="s">
        <v>63</v>
      </c>
    </row>
    <row r="1698" spans="2:6" x14ac:dyDescent="0.2">
      <c r="B1698"/>
      <c r="C1698"/>
      <c r="D1698"/>
      <c r="E1698"/>
      <c r="F1698" t="s">
        <v>39</v>
      </c>
    </row>
    <row r="1699" spans="2:6" x14ac:dyDescent="0.2">
      <c r="B1699"/>
      <c r="C1699"/>
      <c r="D1699"/>
      <c r="E1699"/>
      <c r="F1699" t="s">
        <v>12</v>
      </c>
    </row>
    <row r="1700" spans="2:6" x14ac:dyDescent="0.2">
      <c r="B1700"/>
      <c r="C1700"/>
      <c r="D1700"/>
      <c r="E1700"/>
      <c r="F1700" t="s">
        <v>29</v>
      </c>
    </row>
    <row r="1701" spans="2:6" x14ac:dyDescent="0.2">
      <c r="B1701"/>
      <c r="C1701"/>
      <c r="D1701"/>
      <c r="E1701"/>
      <c r="F1701" t="s">
        <v>37</v>
      </c>
    </row>
    <row r="1702" spans="2:6" x14ac:dyDescent="0.2">
      <c r="B1702"/>
      <c r="C1702"/>
      <c r="D1702"/>
      <c r="E1702"/>
      <c r="F1702" t="s">
        <v>13</v>
      </c>
    </row>
    <row r="1703" spans="2:6" x14ac:dyDescent="0.2">
      <c r="B1703"/>
      <c r="C1703"/>
      <c r="D1703"/>
      <c r="E1703"/>
      <c r="F1703" t="s">
        <v>14</v>
      </c>
    </row>
    <row r="1704" spans="2:6" x14ac:dyDescent="0.2">
      <c r="B1704"/>
      <c r="C1704"/>
      <c r="D1704"/>
      <c r="E1704"/>
      <c r="F1704" t="s">
        <v>15</v>
      </c>
    </row>
    <row r="1705" spans="2:6" x14ac:dyDescent="0.2">
      <c r="B1705"/>
      <c r="C1705"/>
      <c r="D1705"/>
      <c r="E1705"/>
      <c r="F1705" t="s">
        <v>30</v>
      </c>
    </row>
    <row r="1706" spans="2:6" x14ac:dyDescent="0.2">
      <c r="B1706"/>
      <c r="C1706"/>
      <c r="D1706"/>
      <c r="E1706"/>
      <c r="F1706" t="s">
        <v>53</v>
      </c>
    </row>
    <row r="1707" spans="2:6" x14ac:dyDescent="0.2">
      <c r="B1707"/>
      <c r="C1707"/>
      <c r="D1707"/>
      <c r="E1707"/>
      <c r="F1707" t="s">
        <v>31</v>
      </c>
    </row>
    <row r="1708" spans="2:6" x14ac:dyDescent="0.2">
      <c r="B1708"/>
      <c r="C1708"/>
      <c r="D1708"/>
      <c r="E1708"/>
      <c r="F1708" t="s">
        <v>32</v>
      </c>
    </row>
    <row r="1709" spans="2:6" x14ac:dyDescent="0.2">
      <c r="B1709"/>
      <c r="C1709"/>
      <c r="D1709"/>
      <c r="E1709"/>
      <c r="F1709" t="s">
        <v>33</v>
      </c>
    </row>
    <row r="1710" spans="2:6" x14ac:dyDescent="0.2">
      <c r="B1710" t="s">
        <v>189</v>
      </c>
      <c r="C1710" t="s">
        <v>671</v>
      </c>
      <c r="D1710" t="s">
        <v>969</v>
      </c>
      <c r="E1710" t="s">
        <v>1130</v>
      </c>
      <c r="F1710" t="s">
        <v>35</v>
      </c>
    </row>
    <row r="1711" spans="2:6" x14ac:dyDescent="0.2">
      <c r="B1711"/>
      <c r="C1711"/>
      <c r="D1711"/>
      <c r="E1711"/>
      <c r="F1711" t="s">
        <v>43</v>
      </c>
    </row>
    <row r="1712" spans="2:6" x14ac:dyDescent="0.2">
      <c r="B1712"/>
      <c r="C1712"/>
      <c r="D1712"/>
      <c r="E1712"/>
      <c r="F1712" t="s">
        <v>44</v>
      </c>
    </row>
    <row r="1713" spans="2:6" x14ac:dyDescent="0.2">
      <c r="B1713"/>
      <c r="C1713"/>
      <c r="D1713"/>
      <c r="E1713"/>
      <c r="F1713" t="s">
        <v>4</v>
      </c>
    </row>
    <row r="1714" spans="2:6" x14ac:dyDescent="0.2">
      <c r="B1714"/>
      <c r="C1714"/>
      <c r="D1714"/>
      <c r="E1714"/>
      <c r="F1714" t="s">
        <v>5</v>
      </c>
    </row>
    <row r="1715" spans="2:6" x14ac:dyDescent="0.2">
      <c r="B1715"/>
      <c r="C1715"/>
      <c r="D1715"/>
      <c r="E1715"/>
      <c r="F1715" t="s">
        <v>6</v>
      </c>
    </row>
    <row r="1716" spans="2:6" x14ac:dyDescent="0.2">
      <c r="B1716"/>
      <c r="C1716"/>
      <c r="D1716"/>
      <c r="E1716"/>
      <c r="F1716" t="s">
        <v>7</v>
      </c>
    </row>
    <row r="1717" spans="2:6" x14ac:dyDescent="0.2">
      <c r="B1717"/>
      <c r="C1717"/>
      <c r="D1717"/>
      <c r="E1717"/>
      <c r="F1717" t="s">
        <v>8</v>
      </c>
    </row>
    <row r="1718" spans="2:6" x14ac:dyDescent="0.2">
      <c r="B1718"/>
      <c r="C1718"/>
      <c r="D1718"/>
      <c r="E1718"/>
      <c r="F1718" t="s">
        <v>24</v>
      </c>
    </row>
    <row r="1719" spans="2:6" x14ac:dyDescent="0.2">
      <c r="B1719"/>
      <c r="C1719"/>
      <c r="D1719"/>
      <c r="E1719"/>
      <c r="F1719" t="s">
        <v>25</v>
      </c>
    </row>
    <row r="1720" spans="2:6" x14ac:dyDescent="0.2">
      <c r="B1720"/>
      <c r="C1720"/>
      <c r="D1720"/>
      <c r="E1720"/>
      <c r="F1720" t="s">
        <v>9</v>
      </c>
    </row>
    <row r="1721" spans="2:6" x14ac:dyDescent="0.2">
      <c r="B1721"/>
      <c r="C1721"/>
      <c r="D1721"/>
      <c r="E1721"/>
      <c r="F1721" t="s">
        <v>49</v>
      </c>
    </row>
    <row r="1722" spans="2:6" x14ac:dyDescent="0.2">
      <c r="B1722"/>
      <c r="C1722"/>
      <c r="D1722"/>
      <c r="E1722"/>
      <c r="F1722" t="s">
        <v>27</v>
      </c>
    </row>
    <row r="1723" spans="2:6" x14ac:dyDescent="0.2">
      <c r="B1723"/>
      <c r="C1723"/>
      <c r="D1723"/>
      <c r="E1723"/>
      <c r="F1723" t="s">
        <v>10</v>
      </c>
    </row>
    <row r="1724" spans="2:6" x14ac:dyDescent="0.2">
      <c r="B1724"/>
      <c r="C1724"/>
      <c r="D1724"/>
      <c r="E1724"/>
      <c r="F1724" t="s">
        <v>21</v>
      </c>
    </row>
    <row r="1725" spans="2:6" x14ac:dyDescent="0.2">
      <c r="B1725"/>
      <c r="C1725"/>
      <c r="D1725"/>
      <c r="E1725"/>
      <c r="F1725" t="s">
        <v>11</v>
      </c>
    </row>
    <row r="1726" spans="2:6" x14ac:dyDescent="0.2">
      <c r="B1726"/>
      <c r="C1726"/>
      <c r="D1726"/>
      <c r="E1726"/>
      <c r="F1726" t="s">
        <v>22</v>
      </c>
    </row>
    <row r="1727" spans="2:6" x14ac:dyDescent="0.2">
      <c r="B1727"/>
      <c r="C1727"/>
      <c r="D1727"/>
      <c r="E1727"/>
      <c r="F1727" t="s">
        <v>39</v>
      </c>
    </row>
    <row r="1728" spans="2:6" x14ac:dyDescent="0.2">
      <c r="B1728"/>
      <c r="C1728"/>
      <c r="D1728"/>
      <c r="E1728"/>
      <c r="F1728" t="s">
        <v>12</v>
      </c>
    </row>
    <row r="1729" spans="2:6" x14ac:dyDescent="0.2">
      <c r="B1729"/>
      <c r="C1729"/>
      <c r="D1729"/>
      <c r="E1729"/>
      <c r="F1729" t="s">
        <v>29</v>
      </c>
    </row>
    <row r="1730" spans="2:6" x14ac:dyDescent="0.2">
      <c r="B1730"/>
      <c r="C1730"/>
      <c r="D1730"/>
      <c r="E1730"/>
      <c r="F1730" t="s">
        <v>37</v>
      </c>
    </row>
    <row r="1731" spans="2:6" x14ac:dyDescent="0.2">
      <c r="B1731"/>
      <c r="C1731"/>
      <c r="D1731"/>
      <c r="E1731"/>
      <c r="F1731" t="s">
        <v>13</v>
      </c>
    </row>
    <row r="1732" spans="2:6" x14ac:dyDescent="0.2">
      <c r="B1732"/>
      <c r="C1732"/>
      <c r="D1732"/>
      <c r="E1732"/>
      <c r="F1732" t="s">
        <v>52</v>
      </c>
    </row>
    <row r="1733" spans="2:6" x14ac:dyDescent="0.2">
      <c r="B1733"/>
      <c r="C1733"/>
      <c r="D1733"/>
      <c r="E1733"/>
      <c r="F1733" t="s">
        <v>14</v>
      </c>
    </row>
    <row r="1734" spans="2:6" x14ac:dyDescent="0.2">
      <c r="B1734"/>
      <c r="C1734"/>
      <c r="D1734"/>
      <c r="E1734"/>
      <c r="F1734" t="s">
        <v>15</v>
      </c>
    </row>
    <row r="1735" spans="2:6" x14ac:dyDescent="0.2">
      <c r="B1735"/>
      <c r="C1735"/>
      <c r="D1735"/>
      <c r="E1735"/>
      <c r="F1735" t="s">
        <v>30</v>
      </c>
    </row>
    <row r="1736" spans="2:6" x14ac:dyDescent="0.2">
      <c r="B1736"/>
      <c r="C1736"/>
      <c r="D1736"/>
      <c r="E1736"/>
      <c r="F1736" t="s">
        <v>53</v>
      </c>
    </row>
    <row r="1737" spans="2:6" x14ac:dyDescent="0.2">
      <c r="B1737"/>
      <c r="C1737"/>
      <c r="D1737"/>
      <c r="E1737"/>
      <c r="F1737" t="s">
        <v>31</v>
      </c>
    </row>
    <row r="1738" spans="2:6" x14ac:dyDescent="0.2">
      <c r="B1738"/>
      <c r="C1738"/>
      <c r="D1738"/>
      <c r="E1738"/>
      <c r="F1738" t="s">
        <v>32</v>
      </c>
    </row>
    <row r="1739" spans="2:6" x14ac:dyDescent="0.2">
      <c r="B1739"/>
      <c r="C1739"/>
      <c r="D1739"/>
      <c r="E1739"/>
      <c r="F1739" t="s">
        <v>38</v>
      </c>
    </row>
    <row r="1740" spans="2:6" x14ac:dyDescent="0.2">
      <c r="B1740" t="s">
        <v>190</v>
      </c>
      <c r="C1740" t="s">
        <v>672</v>
      </c>
      <c r="D1740" t="s">
        <v>970</v>
      </c>
      <c r="E1740" t="s">
        <v>1215</v>
      </c>
      <c r="F1740" t="s">
        <v>70</v>
      </c>
    </row>
    <row r="1741" spans="2:6" x14ac:dyDescent="0.2">
      <c r="B1741" t="s">
        <v>515</v>
      </c>
      <c r="C1741" t="s">
        <v>673</v>
      </c>
      <c r="D1741" t="s">
        <v>969</v>
      </c>
      <c r="E1741" t="s">
        <v>1216</v>
      </c>
      <c r="F1741" t="s">
        <v>43</v>
      </c>
    </row>
    <row r="1742" spans="2:6" x14ac:dyDescent="0.2">
      <c r="B1742"/>
      <c r="C1742"/>
      <c r="D1742"/>
      <c r="E1742"/>
      <c r="F1742" t="s">
        <v>44</v>
      </c>
    </row>
    <row r="1743" spans="2:6" x14ac:dyDescent="0.2">
      <c r="B1743"/>
      <c r="C1743"/>
      <c r="D1743"/>
      <c r="E1743"/>
      <c r="F1743" t="s">
        <v>50</v>
      </c>
    </row>
    <row r="1744" spans="2:6" x14ac:dyDescent="0.2">
      <c r="B1744"/>
      <c r="C1744"/>
      <c r="D1744"/>
      <c r="E1744"/>
      <c r="F1744" t="s">
        <v>18</v>
      </c>
    </row>
    <row r="1745" spans="2:6" x14ac:dyDescent="0.2">
      <c r="B1745"/>
      <c r="C1745"/>
      <c r="D1745"/>
      <c r="E1745"/>
      <c r="F1745" t="s">
        <v>11</v>
      </c>
    </row>
    <row r="1746" spans="2:6" x14ac:dyDescent="0.2">
      <c r="B1746" t="s">
        <v>191</v>
      </c>
      <c r="C1746" t="s">
        <v>674</v>
      </c>
      <c r="D1746" t="s">
        <v>969</v>
      </c>
      <c r="E1746" t="s">
        <v>1217</v>
      </c>
      <c r="F1746" t="s">
        <v>46</v>
      </c>
    </row>
    <row r="1747" spans="2:6" x14ac:dyDescent="0.2">
      <c r="B1747"/>
      <c r="C1747"/>
      <c r="D1747"/>
      <c r="E1747"/>
      <c r="F1747" t="s">
        <v>47</v>
      </c>
    </row>
    <row r="1748" spans="2:6" x14ac:dyDescent="0.2">
      <c r="B1748"/>
      <c r="C1748"/>
      <c r="D1748"/>
      <c r="E1748"/>
      <c r="F1748" t="s">
        <v>48</v>
      </c>
    </row>
    <row r="1749" spans="2:6" x14ac:dyDescent="0.2">
      <c r="B1749"/>
      <c r="C1749"/>
      <c r="D1749"/>
      <c r="E1749"/>
      <c r="F1749" t="s">
        <v>4</v>
      </c>
    </row>
    <row r="1750" spans="2:6" x14ac:dyDescent="0.2">
      <c r="B1750"/>
      <c r="C1750"/>
      <c r="D1750"/>
      <c r="E1750"/>
      <c r="F1750" t="s">
        <v>5</v>
      </c>
    </row>
    <row r="1751" spans="2:6" x14ac:dyDescent="0.2">
      <c r="B1751"/>
      <c r="C1751"/>
      <c r="D1751"/>
      <c r="E1751"/>
      <c r="F1751" t="s">
        <v>6</v>
      </c>
    </row>
    <row r="1752" spans="2:6" x14ac:dyDescent="0.2">
      <c r="B1752"/>
      <c r="C1752"/>
      <c r="D1752"/>
      <c r="E1752"/>
      <c r="F1752" t="s">
        <v>7</v>
      </c>
    </row>
    <row r="1753" spans="2:6" x14ac:dyDescent="0.2">
      <c r="B1753"/>
      <c r="C1753"/>
      <c r="D1753"/>
      <c r="E1753"/>
      <c r="F1753" t="s">
        <v>8</v>
      </c>
    </row>
    <row r="1754" spans="2:6" x14ac:dyDescent="0.2">
      <c r="B1754"/>
      <c r="C1754"/>
      <c r="D1754"/>
      <c r="E1754"/>
      <c r="F1754" t="s">
        <v>24</v>
      </c>
    </row>
    <row r="1755" spans="2:6" x14ac:dyDescent="0.2">
      <c r="B1755"/>
      <c r="C1755"/>
      <c r="D1755"/>
      <c r="E1755"/>
      <c r="F1755" t="s">
        <v>25</v>
      </c>
    </row>
    <row r="1756" spans="2:6" x14ac:dyDescent="0.2">
      <c r="B1756"/>
      <c r="C1756"/>
      <c r="D1756"/>
      <c r="E1756"/>
      <c r="F1756" t="s">
        <v>9</v>
      </c>
    </row>
    <row r="1757" spans="2:6" x14ac:dyDescent="0.2">
      <c r="B1757"/>
      <c r="C1757"/>
      <c r="D1757"/>
      <c r="E1757"/>
      <c r="F1757" t="s">
        <v>27</v>
      </c>
    </row>
    <row r="1758" spans="2:6" x14ac:dyDescent="0.2">
      <c r="B1758"/>
      <c r="C1758"/>
      <c r="D1758"/>
      <c r="E1758"/>
      <c r="F1758" t="s">
        <v>59</v>
      </c>
    </row>
    <row r="1759" spans="2:6" x14ac:dyDescent="0.2">
      <c r="B1759"/>
      <c r="C1759"/>
      <c r="D1759"/>
      <c r="E1759"/>
      <c r="F1759" t="s">
        <v>10</v>
      </c>
    </row>
    <row r="1760" spans="2:6" x14ac:dyDescent="0.2">
      <c r="B1760"/>
      <c r="C1760"/>
      <c r="D1760"/>
      <c r="E1760"/>
      <c r="F1760" t="s">
        <v>12</v>
      </c>
    </row>
    <row r="1761" spans="2:6" x14ac:dyDescent="0.2">
      <c r="B1761"/>
      <c r="C1761"/>
      <c r="D1761"/>
      <c r="E1761"/>
      <c r="F1761" t="s">
        <v>29</v>
      </c>
    </row>
    <row r="1762" spans="2:6" x14ac:dyDescent="0.2">
      <c r="B1762"/>
      <c r="C1762"/>
      <c r="D1762"/>
      <c r="E1762"/>
      <c r="F1762" t="s">
        <v>37</v>
      </c>
    </row>
    <row r="1763" spans="2:6" x14ac:dyDescent="0.2">
      <c r="B1763"/>
      <c r="C1763"/>
      <c r="D1763"/>
      <c r="E1763"/>
      <c r="F1763" t="s">
        <v>13</v>
      </c>
    </row>
    <row r="1764" spans="2:6" x14ac:dyDescent="0.2">
      <c r="B1764"/>
      <c r="C1764"/>
      <c r="D1764"/>
      <c r="E1764"/>
      <c r="F1764" t="s">
        <v>14</v>
      </c>
    </row>
    <row r="1765" spans="2:6" x14ac:dyDescent="0.2">
      <c r="B1765"/>
      <c r="C1765"/>
      <c r="D1765"/>
      <c r="E1765"/>
      <c r="F1765" t="s">
        <v>15</v>
      </c>
    </row>
    <row r="1766" spans="2:6" x14ac:dyDescent="0.2">
      <c r="B1766"/>
      <c r="C1766"/>
      <c r="D1766"/>
      <c r="E1766"/>
      <c r="F1766" t="s">
        <v>31</v>
      </c>
    </row>
    <row r="1767" spans="2:6" x14ac:dyDescent="0.2">
      <c r="B1767"/>
      <c r="C1767"/>
      <c r="D1767"/>
      <c r="E1767"/>
      <c r="F1767" t="s">
        <v>32</v>
      </c>
    </row>
    <row r="1768" spans="2:6" x14ac:dyDescent="0.2">
      <c r="B1768" t="s">
        <v>192</v>
      </c>
      <c r="C1768" t="s">
        <v>837</v>
      </c>
      <c r="D1768" t="s">
        <v>969</v>
      </c>
      <c r="E1768" t="s">
        <v>1153</v>
      </c>
      <c r="F1768" t="s">
        <v>35</v>
      </c>
    </row>
    <row r="1769" spans="2:6" x14ac:dyDescent="0.2">
      <c r="B1769"/>
      <c r="C1769"/>
      <c r="D1769"/>
      <c r="E1769"/>
      <c r="F1769" t="s">
        <v>36</v>
      </c>
    </row>
    <row r="1770" spans="2:6" x14ac:dyDescent="0.2">
      <c r="B1770"/>
      <c r="C1770"/>
      <c r="D1770"/>
      <c r="E1770"/>
      <c r="F1770" t="s">
        <v>47</v>
      </c>
    </row>
    <row r="1771" spans="2:6" x14ac:dyDescent="0.2">
      <c r="B1771"/>
      <c r="C1771"/>
      <c r="D1771"/>
      <c r="E1771"/>
      <c r="F1771" t="s">
        <v>4</v>
      </c>
    </row>
    <row r="1772" spans="2:6" x14ac:dyDescent="0.2">
      <c r="B1772"/>
      <c r="C1772"/>
      <c r="D1772"/>
      <c r="E1772"/>
      <c r="F1772" t="s">
        <v>5</v>
      </c>
    </row>
    <row r="1773" spans="2:6" x14ac:dyDescent="0.2">
      <c r="B1773"/>
      <c r="C1773"/>
      <c r="D1773"/>
      <c r="E1773"/>
      <c r="F1773" t="s">
        <v>6</v>
      </c>
    </row>
    <row r="1774" spans="2:6" x14ac:dyDescent="0.2">
      <c r="B1774"/>
      <c r="C1774"/>
      <c r="D1774"/>
      <c r="E1774"/>
      <c r="F1774" t="s">
        <v>7</v>
      </c>
    </row>
    <row r="1775" spans="2:6" x14ac:dyDescent="0.2">
      <c r="B1775"/>
      <c r="C1775"/>
      <c r="D1775"/>
      <c r="E1775"/>
      <c r="F1775" t="s">
        <v>8</v>
      </c>
    </row>
    <row r="1776" spans="2:6" x14ac:dyDescent="0.2">
      <c r="B1776"/>
      <c r="C1776"/>
      <c r="D1776"/>
      <c r="E1776"/>
      <c r="F1776" t="s">
        <v>24</v>
      </c>
    </row>
    <row r="1777" spans="2:6" x14ac:dyDescent="0.2">
      <c r="B1777"/>
      <c r="C1777"/>
      <c r="D1777"/>
      <c r="E1777"/>
      <c r="F1777" t="s">
        <v>25</v>
      </c>
    </row>
    <row r="1778" spans="2:6" x14ac:dyDescent="0.2">
      <c r="B1778"/>
      <c r="C1778"/>
      <c r="D1778"/>
      <c r="E1778"/>
      <c r="F1778" t="s">
        <v>9</v>
      </c>
    </row>
    <row r="1779" spans="2:6" x14ac:dyDescent="0.2">
      <c r="B1779"/>
      <c r="C1779"/>
      <c r="D1779"/>
      <c r="E1779"/>
      <c r="F1779" t="s">
        <v>27</v>
      </c>
    </row>
    <row r="1780" spans="2:6" x14ac:dyDescent="0.2">
      <c r="B1780"/>
      <c r="C1780"/>
      <c r="D1780"/>
      <c r="E1780"/>
      <c r="F1780" t="s">
        <v>10</v>
      </c>
    </row>
    <row r="1781" spans="2:6" x14ac:dyDescent="0.2">
      <c r="B1781"/>
      <c r="C1781"/>
      <c r="D1781"/>
      <c r="E1781"/>
      <c r="F1781" t="s">
        <v>12</v>
      </c>
    </row>
    <row r="1782" spans="2:6" x14ac:dyDescent="0.2">
      <c r="B1782"/>
      <c r="C1782"/>
      <c r="D1782"/>
      <c r="E1782"/>
      <c r="F1782" t="s">
        <v>29</v>
      </c>
    </row>
    <row r="1783" spans="2:6" x14ac:dyDescent="0.2">
      <c r="B1783"/>
      <c r="C1783"/>
      <c r="D1783"/>
      <c r="E1783"/>
      <c r="F1783" t="s">
        <v>37</v>
      </c>
    </row>
    <row r="1784" spans="2:6" x14ac:dyDescent="0.2">
      <c r="B1784"/>
      <c r="C1784"/>
      <c r="D1784"/>
      <c r="E1784"/>
      <c r="F1784" t="s">
        <v>13</v>
      </c>
    </row>
    <row r="1785" spans="2:6" x14ac:dyDescent="0.2">
      <c r="B1785"/>
      <c r="C1785"/>
      <c r="D1785"/>
      <c r="E1785"/>
      <c r="F1785" t="s">
        <v>14</v>
      </c>
    </row>
    <row r="1786" spans="2:6" x14ac:dyDescent="0.2">
      <c r="B1786"/>
      <c r="C1786"/>
      <c r="D1786"/>
      <c r="E1786"/>
      <c r="F1786" t="s">
        <v>15</v>
      </c>
    </row>
    <row r="1787" spans="2:6" x14ac:dyDescent="0.2">
      <c r="B1787"/>
      <c r="C1787"/>
      <c r="D1787"/>
      <c r="E1787"/>
      <c r="F1787" t="s">
        <v>30</v>
      </c>
    </row>
    <row r="1788" spans="2:6" x14ac:dyDescent="0.2">
      <c r="B1788"/>
      <c r="C1788"/>
      <c r="D1788"/>
      <c r="E1788"/>
      <c r="F1788" t="s">
        <v>31</v>
      </c>
    </row>
    <row r="1789" spans="2:6" x14ac:dyDescent="0.2">
      <c r="B1789"/>
      <c r="C1789"/>
      <c r="D1789"/>
      <c r="E1789"/>
      <c r="F1789" t="s">
        <v>32</v>
      </c>
    </row>
    <row r="1790" spans="2:6" x14ac:dyDescent="0.2">
      <c r="B1790" t="s">
        <v>193</v>
      </c>
      <c r="C1790" t="s">
        <v>675</v>
      </c>
      <c r="D1790" t="s">
        <v>970</v>
      </c>
      <c r="E1790" t="s">
        <v>1218</v>
      </c>
      <c r="F1790" t="s">
        <v>10</v>
      </c>
    </row>
    <row r="1791" spans="2:6" x14ac:dyDescent="0.2">
      <c r="B1791"/>
      <c r="C1791"/>
      <c r="D1791"/>
      <c r="E1791"/>
      <c r="F1791" t="s">
        <v>107</v>
      </c>
    </row>
    <row r="1792" spans="2:6" x14ac:dyDescent="0.2">
      <c r="B1792"/>
      <c r="C1792"/>
      <c r="D1792"/>
      <c r="E1792"/>
      <c r="F1792" t="s">
        <v>108</v>
      </c>
    </row>
    <row r="1793" spans="2:6" x14ac:dyDescent="0.2">
      <c r="B1793" t="s">
        <v>194</v>
      </c>
      <c r="C1793" t="s">
        <v>676</v>
      </c>
      <c r="D1793" t="s">
        <v>970</v>
      </c>
      <c r="E1793" t="s">
        <v>1174</v>
      </c>
      <c r="F1793" t="s">
        <v>39</v>
      </c>
    </row>
    <row r="1794" spans="2:6" x14ac:dyDescent="0.2">
      <c r="B1794" t="s">
        <v>872</v>
      </c>
      <c r="C1794" t="s">
        <v>873</v>
      </c>
      <c r="D1794" t="s">
        <v>969</v>
      </c>
      <c r="E1794" t="s">
        <v>1194</v>
      </c>
      <c r="F1794" t="s">
        <v>36</v>
      </c>
    </row>
    <row r="1795" spans="2:6" x14ac:dyDescent="0.2">
      <c r="B1795"/>
      <c r="C1795"/>
      <c r="D1795"/>
      <c r="E1795"/>
      <c r="F1795" t="s">
        <v>46</v>
      </c>
    </row>
    <row r="1796" spans="2:6" x14ac:dyDescent="0.2">
      <c r="B1796"/>
      <c r="C1796"/>
      <c r="D1796"/>
      <c r="E1796"/>
      <c r="F1796" t="s">
        <v>47</v>
      </c>
    </row>
    <row r="1797" spans="2:6" x14ac:dyDescent="0.2">
      <c r="B1797"/>
      <c r="C1797"/>
      <c r="D1797"/>
      <c r="E1797"/>
      <c r="F1797" t="s">
        <v>48</v>
      </c>
    </row>
    <row r="1798" spans="2:6" x14ac:dyDescent="0.2">
      <c r="B1798"/>
      <c r="C1798"/>
      <c r="D1798"/>
      <c r="E1798"/>
      <c r="F1798" t="s">
        <v>4</v>
      </c>
    </row>
    <row r="1799" spans="2:6" x14ac:dyDescent="0.2">
      <c r="B1799"/>
      <c r="C1799"/>
      <c r="D1799"/>
      <c r="E1799"/>
      <c r="F1799" t="s">
        <v>5</v>
      </c>
    </row>
    <row r="1800" spans="2:6" x14ac:dyDescent="0.2">
      <c r="B1800"/>
      <c r="C1800"/>
      <c r="D1800"/>
      <c r="E1800"/>
      <c r="F1800" t="s">
        <v>6</v>
      </c>
    </row>
    <row r="1801" spans="2:6" x14ac:dyDescent="0.2">
      <c r="B1801"/>
      <c r="C1801"/>
      <c r="D1801"/>
      <c r="E1801"/>
      <c r="F1801" t="s">
        <v>7</v>
      </c>
    </row>
    <row r="1802" spans="2:6" x14ac:dyDescent="0.2">
      <c r="B1802"/>
      <c r="C1802"/>
      <c r="D1802"/>
      <c r="E1802"/>
      <c r="F1802" t="s">
        <v>8</v>
      </c>
    </row>
    <row r="1803" spans="2:6" x14ac:dyDescent="0.2">
      <c r="B1803"/>
      <c r="C1803"/>
      <c r="D1803"/>
      <c r="E1803"/>
      <c r="F1803" t="s">
        <v>24</v>
      </c>
    </row>
    <row r="1804" spans="2:6" x14ac:dyDescent="0.2">
      <c r="B1804"/>
      <c r="C1804"/>
      <c r="D1804"/>
      <c r="E1804"/>
      <c r="F1804" t="s">
        <v>25</v>
      </c>
    </row>
    <row r="1805" spans="2:6" x14ac:dyDescent="0.2">
      <c r="B1805"/>
      <c r="C1805"/>
      <c r="D1805"/>
      <c r="E1805"/>
      <c r="F1805" t="s">
        <v>9</v>
      </c>
    </row>
    <row r="1806" spans="2:6" x14ac:dyDescent="0.2">
      <c r="B1806"/>
      <c r="C1806"/>
      <c r="D1806"/>
      <c r="E1806"/>
      <c r="F1806" t="s">
        <v>49</v>
      </c>
    </row>
    <row r="1807" spans="2:6" x14ac:dyDescent="0.2">
      <c r="B1807"/>
      <c r="C1807"/>
      <c r="D1807"/>
      <c r="E1807"/>
      <c r="F1807" t="s">
        <v>27</v>
      </c>
    </row>
    <row r="1808" spans="2:6" x14ac:dyDescent="0.2">
      <c r="B1808"/>
      <c r="C1808"/>
      <c r="D1808"/>
      <c r="E1808"/>
      <c r="F1808" t="s">
        <v>10</v>
      </c>
    </row>
    <row r="1809" spans="2:6" x14ac:dyDescent="0.2">
      <c r="B1809"/>
      <c r="C1809"/>
      <c r="D1809"/>
      <c r="E1809"/>
      <c r="F1809" t="s">
        <v>21</v>
      </c>
    </row>
    <row r="1810" spans="2:6" x14ac:dyDescent="0.2">
      <c r="B1810"/>
      <c r="C1810"/>
      <c r="D1810"/>
      <c r="E1810"/>
      <c r="F1810" t="s">
        <v>11</v>
      </c>
    </row>
    <row r="1811" spans="2:6" x14ac:dyDescent="0.2">
      <c r="B1811"/>
      <c r="C1811"/>
      <c r="D1811"/>
      <c r="E1811"/>
      <c r="F1811" t="s">
        <v>22</v>
      </c>
    </row>
    <row r="1812" spans="2:6" x14ac:dyDescent="0.2">
      <c r="B1812"/>
      <c r="C1812"/>
      <c r="D1812"/>
      <c r="E1812"/>
      <c r="F1812" t="s">
        <v>12</v>
      </c>
    </row>
    <row r="1813" spans="2:6" x14ac:dyDescent="0.2">
      <c r="B1813"/>
      <c r="C1813"/>
      <c r="D1813"/>
      <c r="E1813"/>
      <c r="F1813" t="s">
        <v>28</v>
      </c>
    </row>
    <row r="1814" spans="2:6" x14ac:dyDescent="0.2">
      <c r="B1814"/>
      <c r="C1814"/>
      <c r="D1814"/>
      <c r="E1814"/>
      <c r="F1814" t="s">
        <v>29</v>
      </c>
    </row>
    <row r="1815" spans="2:6" x14ac:dyDescent="0.2">
      <c r="B1815"/>
      <c r="C1815"/>
      <c r="D1815"/>
      <c r="E1815"/>
      <c r="F1815" t="s">
        <v>14</v>
      </c>
    </row>
    <row r="1816" spans="2:6" x14ac:dyDescent="0.2">
      <c r="B1816"/>
      <c r="C1816"/>
      <c r="D1816"/>
      <c r="E1816"/>
      <c r="F1816" t="s">
        <v>15</v>
      </c>
    </row>
    <row r="1817" spans="2:6" x14ac:dyDescent="0.2">
      <c r="B1817"/>
      <c r="C1817"/>
      <c r="D1817"/>
      <c r="E1817"/>
      <c r="F1817" t="s">
        <v>30</v>
      </c>
    </row>
    <row r="1818" spans="2:6" x14ac:dyDescent="0.2">
      <c r="B1818"/>
      <c r="C1818"/>
      <c r="D1818"/>
      <c r="E1818"/>
      <c r="F1818" t="s">
        <v>31</v>
      </c>
    </row>
    <row r="1819" spans="2:6" x14ac:dyDescent="0.2">
      <c r="B1819"/>
      <c r="C1819"/>
      <c r="D1819"/>
      <c r="E1819"/>
      <c r="F1819" t="s">
        <v>32</v>
      </c>
    </row>
    <row r="1820" spans="2:6" x14ac:dyDescent="0.2">
      <c r="B1820" t="s">
        <v>909</v>
      </c>
      <c r="C1820" t="s">
        <v>911</v>
      </c>
      <c r="D1820" t="s">
        <v>970</v>
      </c>
      <c r="E1820" t="s">
        <v>1219</v>
      </c>
      <c r="F1820" t="s">
        <v>11</v>
      </c>
    </row>
    <row r="1821" spans="2:6" x14ac:dyDescent="0.2">
      <c r="B1821" t="s">
        <v>1055</v>
      </c>
      <c r="C1821" t="s">
        <v>1057</v>
      </c>
      <c r="D1821" t="s">
        <v>969</v>
      </c>
      <c r="E1821" t="s">
        <v>1220</v>
      </c>
      <c r="F1821" t="s">
        <v>993</v>
      </c>
    </row>
    <row r="1822" spans="2:6" x14ac:dyDescent="0.2">
      <c r="B1822" t="s">
        <v>195</v>
      </c>
      <c r="C1822" t="s">
        <v>859</v>
      </c>
      <c r="D1822" t="s">
        <v>970</v>
      </c>
      <c r="E1822" t="s">
        <v>965</v>
      </c>
      <c r="F1822" t="s">
        <v>4</v>
      </c>
    </row>
    <row r="1823" spans="2:6" x14ac:dyDescent="0.2">
      <c r="B1823"/>
      <c r="C1823"/>
      <c r="D1823"/>
      <c r="E1823"/>
      <c r="F1823" t="s">
        <v>5</v>
      </c>
    </row>
    <row r="1824" spans="2:6" x14ac:dyDescent="0.2">
      <c r="B1824"/>
      <c r="C1824"/>
      <c r="D1824"/>
      <c r="E1824"/>
      <c r="F1824" t="s">
        <v>7</v>
      </c>
    </row>
    <row r="1825" spans="2:6" x14ac:dyDescent="0.2">
      <c r="B1825"/>
      <c r="C1825"/>
      <c r="D1825"/>
      <c r="E1825"/>
      <c r="F1825" t="s">
        <v>8</v>
      </c>
    </row>
    <row r="1826" spans="2:6" x14ac:dyDescent="0.2">
      <c r="B1826"/>
      <c r="C1826"/>
      <c r="D1826"/>
      <c r="E1826"/>
      <c r="F1826" t="s">
        <v>24</v>
      </c>
    </row>
    <row r="1827" spans="2:6" x14ac:dyDescent="0.2">
      <c r="B1827"/>
      <c r="C1827"/>
      <c r="D1827"/>
      <c r="E1827"/>
      <c r="F1827" t="s">
        <v>25</v>
      </c>
    </row>
    <row r="1828" spans="2:6" x14ac:dyDescent="0.2">
      <c r="B1828"/>
      <c r="C1828"/>
      <c r="D1828"/>
      <c r="E1828"/>
      <c r="F1828" t="s">
        <v>9</v>
      </c>
    </row>
    <row r="1829" spans="2:6" x14ac:dyDescent="0.2">
      <c r="B1829"/>
      <c r="C1829"/>
      <c r="D1829"/>
      <c r="E1829"/>
      <c r="F1829" t="s">
        <v>27</v>
      </c>
    </row>
    <row r="1830" spans="2:6" x14ac:dyDescent="0.2">
      <c r="B1830"/>
      <c r="C1830"/>
      <c r="D1830"/>
      <c r="E1830"/>
      <c r="F1830" t="s">
        <v>10</v>
      </c>
    </row>
    <row r="1831" spans="2:6" x14ac:dyDescent="0.2">
      <c r="B1831"/>
      <c r="C1831"/>
      <c r="D1831"/>
      <c r="E1831"/>
      <c r="F1831" t="s">
        <v>12</v>
      </c>
    </row>
    <row r="1832" spans="2:6" x14ac:dyDescent="0.2">
      <c r="B1832"/>
      <c r="C1832"/>
      <c r="D1832"/>
      <c r="E1832"/>
      <c r="F1832" t="s">
        <v>37</v>
      </c>
    </row>
    <row r="1833" spans="2:6" x14ac:dyDescent="0.2">
      <c r="B1833"/>
      <c r="C1833"/>
      <c r="D1833"/>
      <c r="E1833"/>
      <c r="F1833" t="s">
        <v>13</v>
      </c>
    </row>
    <row r="1834" spans="2:6" x14ac:dyDescent="0.2">
      <c r="B1834"/>
      <c r="C1834"/>
      <c r="D1834"/>
      <c r="E1834"/>
      <c r="F1834" t="s">
        <v>14</v>
      </c>
    </row>
    <row r="1835" spans="2:6" x14ac:dyDescent="0.2">
      <c r="B1835"/>
      <c r="C1835"/>
      <c r="D1835"/>
      <c r="E1835"/>
      <c r="F1835" t="s">
        <v>15</v>
      </c>
    </row>
    <row r="1836" spans="2:6" x14ac:dyDescent="0.2">
      <c r="B1836"/>
      <c r="C1836"/>
      <c r="D1836"/>
      <c r="E1836"/>
      <c r="F1836" t="s">
        <v>30</v>
      </c>
    </row>
    <row r="1837" spans="2:6" x14ac:dyDescent="0.2">
      <c r="B1837"/>
      <c r="C1837"/>
      <c r="D1837"/>
      <c r="E1837"/>
      <c r="F1837" t="s">
        <v>31</v>
      </c>
    </row>
    <row r="1838" spans="2:6" x14ac:dyDescent="0.2">
      <c r="B1838"/>
      <c r="C1838"/>
      <c r="D1838"/>
      <c r="E1838"/>
      <c r="F1838" t="s">
        <v>32</v>
      </c>
    </row>
    <row r="1839" spans="2:6" x14ac:dyDescent="0.2">
      <c r="B1839" t="s">
        <v>196</v>
      </c>
      <c r="C1839" t="s">
        <v>677</v>
      </c>
      <c r="D1839" t="s">
        <v>970</v>
      </c>
      <c r="E1839" t="s">
        <v>1221</v>
      </c>
      <c r="F1839" t="s">
        <v>21</v>
      </c>
    </row>
    <row r="1840" spans="2:6" x14ac:dyDescent="0.2">
      <c r="B1840" t="s">
        <v>838</v>
      </c>
      <c r="C1840" t="s">
        <v>839</v>
      </c>
      <c r="D1840" t="s">
        <v>970</v>
      </c>
      <c r="E1840" t="s">
        <v>1222</v>
      </c>
      <c r="F1840" t="s">
        <v>5</v>
      </c>
    </row>
    <row r="1841" spans="2:6" x14ac:dyDescent="0.2">
      <c r="B1841"/>
      <c r="C1841"/>
      <c r="D1841"/>
      <c r="E1841"/>
      <c r="F1841" t="s">
        <v>27</v>
      </c>
    </row>
    <row r="1842" spans="2:6" x14ac:dyDescent="0.2">
      <c r="B1842"/>
      <c r="C1842"/>
      <c r="D1842"/>
      <c r="E1842"/>
      <c r="F1842" t="s">
        <v>10</v>
      </c>
    </row>
    <row r="1843" spans="2:6" x14ac:dyDescent="0.2">
      <c r="B1843"/>
      <c r="C1843"/>
      <c r="D1843"/>
      <c r="E1843"/>
      <c r="F1843" t="s">
        <v>11</v>
      </c>
    </row>
    <row r="1844" spans="2:6" x14ac:dyDescent="0.2">
      <c r="B1844"/>
      <c r="C1844"/>
      <c r="D1844"/>
      <c r="E1844"/>
      <c r="F1844" t="s">
        <v>29</v>
      </c>
    </row>
    <row r="1845" spans="2:6" x14ac:dyDescent="0.2">
      <c r="B1845"/>
      <c r="C1845"/>
      <c r="D1845"/>
      <c r="E1845"/>
      <c r="F1845" t="s">
        <v>13</v>
      </c>
    </row>
    <row r="1846" spans="2:6" x14ac:dyDescent="0.2">
      <c r="B1846"/>
      <c r="C1846"/>
      <c r="D1846"/>
      <c r="E1846"/>
      <c r="F1846" t="s">
        <v>14</v>
      </c>
    </row>
    <row r="1847" spans="2:6" x14ac:dyDescent="0.2">
      <c r="B1847"/>
      <c r="C1847"/>
      <c r="D1847"/>
      <c r="E1847"/>
      <c r="F1847" t="s">
        <v>31</v>
      </c>
    </row>
    <row r="1848" spans="2:6" x14ac:dyDescent="0.2">
      <c r="B1848" t="s">
        <v>197</v>
      </c>
      <c r="C1848" t="s">
        <v>678</v>
      </c>
      <c r="D1848" t="s">
        <v>970</v>
      </c>
      <c r="E1848" t="s">
        <v>1223</v>
      </c>
      <c r="F1848" t="s">
        <v>35</v>
      </c>
    </row>
    <row r="1849" spans="2:6" x14ac:dyDescent="0.2">
      <c r="B1849"/>
      <c r="C1849"/>
      <c r="D1849"/>
      <c r="E1849"/>
      <c r="F1849" t="s">
        <v>46</v>
      </c>
    </row>
    <row r="1850" spans="2:6" x14ac:dyDescent="0.2">
      <c r="B1850"/>
      <c r="C1850"/>
      <c r="D1850"/>
      <c r="E1850"/>
      <c r="F1850" t="s">
        <v>47</v>
      </c>
    </row>
    <row r="1851" spans="2:6" x14ac:dyDescent="0.2">
      <c r="B1851"/>
      <c r="C1851"/>
      <c r="D1851"/>
      <c r="E1851"/>
      <c r="F1851" t="s">
        <v>48</v>
      </c>
    </row>
    <row r="1852" spans="2:6" x14ac:dyDescent="0.2">
      <c r="B1852"/>
      <c r="C1852"/>
      <c r="D1852"/>
      <c r="E1852"/>
      <c r="F1852" t="s">
        <v>10</v>
      </c>
    </row>
    <row r="1853" spans="2:6" x14ac:dyDescent="0.2">
      <c r="B1853"/>
      <c r="C1853"/>
      <c r="D1853"/>
      <c r="E1853"/>
      <c r="F1853" t="s">
        <v>107</v>
      </c>
    </row>
    <row r="1854" spans="2:6" x14ac:dyDescent="0.2">
      <c r="B1854"/>
      <c r="C1854"/>
      <c r="D1854"/>
      <c r="E1854"/>
      <c r="F1854" t="s">
        <v>108</v>
      </c>
    </row>
    <row r="1855" spans="2:6" x14ac:dyDescent="0.2">
      <c r="B1855" t="s">
        <v>198</v>
      </c>
      <c r="C1855" t="s">
        <v>679</v>
      </c>
      <c r="D1855" t="s">
        <v>969</v>
      </c>
      <c r="E1855" t="s">
        <v>1224</v>
      </c>
      <c r="F1855" t="s">
        <v>27</v>
      </c>
    </row>
    <row r="1856" spans="2:6" x14ac:dyDescent="0.2">
      <c r="B1856"/>
      <c r="C1856"/>
      <c r="D1856"/>
      <c r="E1856"/>
      <c r="F1856" t="s">
        <v>37</v>
      </c>
    </row>
    <row r="1857" spans="2:6" x14ac:dyDescent="0.2">
      <c r="B1857"/>
      <c r="C1857"/>
      <c r="D1857"/>
      <c r="E1857"/>
      <c r="F1857" t="s">
        <v>13</v>
      </c>
    </row>
    <row r="1858" spans="2:6" x14ac:dyDescent="0.2">
      <c r="B1858"/>
      <c r="C1858"/>
      <c r="D1858"/>
      <c r="E1858"/>
      <c r="F1858" t="s">
        <v>52</v>
      </c>
    </row>
    <row r="1859" spans="2:6" x14ac:dyDescent="0.2">
      <c r="B1859"/>
      <c r="C1859"/>
      <c r="D1859"/>
      <c r="E1859"/>
      <c r="F1859" t="s">
        <v>14</v>
      </c>
    </row>
    <row r="1860" spans="2:6" x14ac:dyDescent="0.2">
      <c r="B1860" t="s">
        <v>199</v>
      </c>
      <c r="C1860" t="s">
        <v>680</v>
      </c>
      <c r="D1860" t="s">
        <v>969</v>
      </c>
      <c r="E1860" t="s">
        <v>1225</v>
      </c>
      <c r="F1860" t="s">
        <v>10</v>
      </c>
    </row>
    <row r="1861" spans="2:6" x14ac:dyDescent="0.2">
      <c r="B1861"/>
      <c r="C1861"/>
      <c r="D1861"/>
      <c r="E1861"/>
      <c r="F1861" t="s">
        <v>21</v>
      </c>
    </row>
    <row r="1862" spans="2:6" x14ac:dyDescent="0.2">
      <c r="B1862"/>
      <c r="C1862"/>
      <c r="D1862"/>
      <c r="E1862"/>
      <c r="F1862" t="s">
        <v>12</v>
      </c>
    </row>
    <row r="1863" spans="2:6" x14ac:dyDescent="0.2">
      <c r="B1863" t="s">
        <v>200</v>
      </c>
      <c r="C1863" t="s">
        <v>1014</v>
      </c>
      <c r="D1863" t="s">
        <v>969</v>
      </c>
      <c r="E1863" t="s">
        <v>965</v>
      </c>
      <c r="F1863" t="s">
        <v>124</v>
      </c>
    </row>
    <row r="1864" spans="2:6" x14ac:dyDescent="0.2">
      <c r="B1864"/>
      <c r="C1864"/>
      <c r="D1864"/>
      <c r="E1864"/>
      <c r="F1864" t="s">
        <v>36</v>
      </c>
    </row>
    <row r="1865" spans="2:6" x14ac:dyDescent="0.2">
      <c r="B1865"/>
      <c r="C1865"/>
      <c r="D1865"/>
      <c r="E1865"/>
      <c r="F1865" t="s">
        <v>125</v>
      </c>
    </row>
    <row r="1866" spans="2:6" x14ac:dyDescent="0.2">
      <c r="B1866"/>
      <c r="C1866"/>
      <c r="D1866"/>
      <c r="E1866"/>
      <c r="F1866" t="s">
        <v>42</v>
      </c>
    </row>
    <row r="1867" spans="2:6" x14ac:dyDescent="0.2">
      <c r="B1867"/>
      <c r="C1867"/>
      <c r="D1867"/>
      <c r="E1867"/>
      <c r="F1867" t="s">
        <v>43</v>
      </c>
    </row>
    <row r="1868" spans="2:6" x14ac:dyDescent="0.2">
      <c r="B1868"/>
      <c r="C1868"/>
      <c r="D1868"/>
      <c r="E1868"/>
      <c r="F1868" t="s">
        <v>44</v>
      </c>
    </row>
    <row r="1869" spans="2:6" x14ac:dyDescent="0.2">
      <c r="B1869"/>
      <c r="C1869"/>
      <c r="D1869"/>
      <c r="E1869"/>
      <c r="F1869" t="s">
        <v>45</v>
      </c>
    </row>
    <row r="1870" spans="2:6" x14ac:dyDescent="0.2">
      <c r="B1870"/>
      <c r="C1870"/>
      <c r="D1870"/>
      <c r="E1870"/>
      <c r="F1870" t="s">
        <v>46</v>
      </c>
    </row>
    <row r="1871" spans="2:6" x14ac:dyDescent="0.2">
      <c r="B1871"/>
      <c r="C1871"/>
      <c r="D1871"/>
      <c r="E1871"/>
      <c r="F1871" t="s">
        <v>47</v>
      </c>
    </row>
    <row r="1872" spans="2:6" x14ac:dyDescent="0.2">
      <c r="B1872"/>
      <c r="C1872"/>
      <c r="D1872"/>
      <c r="E1872"/>
      <c r="F1872" t="s">
        <v>4</v>
      </c>
    </row>
    <row r="1873" spans="2:6" x14ac:dyDescent="0.2">
      <c r="B1873"/>
      <c r="C1873"/>
      <c r="D1873"/>
      <c r="E1873"/>
      <c r="F1873" t="s">
        <v>5</v>
      </c>
    </row>
    <row r="1874" spans="2:6" x14ac:dyDescent="0.2">
      <c r="B1874"/>
      <c r="C1874"/>
      <c r="D1874"/>
      <c r="E1874"/>
      <c r="F1874" t="s">
        <v>6</v>
      </c>
    </row>
    <row r="1875" spans="2:6" x14ac:dyDescent="0.2">
      <c r="B1875"/>
      <c r="C1875"/>
      <c r="D1875"/>
      <c r="E1875"/>
      <c r="F1875" t="s">
        <v>7</v>
      </c>
    </row>
    <row r="1876" spans="2:6" x14ac:dyDescent="0.2">
      <c r="B1876"/>
      <c r="C1876"/>
      <c r="D1876"/>
      <c r="E1876"/>
      <c r="F1876" t="s">
        <v>8</v>
      </c>
    </row>
    <row r="1877" spans="2:6" x14ac:dyDescent="0.2">
      <c r="B1877"/>
      <c r="C1877"/>
      <c r="D1877"/>
      <c r="E1877"/>
      <c r="F1877" t="s">
        <v>24</v>
      </c>
    </row>
    <row r="1878" spans="2:6" x14ac:dyDescent="0.2">
      <c r="B1878"/>
      <c r="C1878"/>
      <c r="D1878"/>
      <c r="E1878"/>
      <c r="F1878" t="s">
        <v>25</v>
      </c>
    </row>
    <row r="1879" spans="2:6" x14ac:dyDescent="0.2">
      <c r="B1879"/>
      <c r="C1879"/>
      <c r="D1879"/>
      <c r="E1879"/>
      <c r="F1879" t="s">
        <v>9</v>
      </c>
    </row>
    <row r="1880" spans="2:6" x14ac:dyDescent="0.2">
      <c r="B1880"/>
      <c r="C1880"/>
      <c r="D1880"/>
      <c r="E1880"/>
      <c r="F1880" t="s">
        <v>26</v>
      </c>
    </row>
    <row r="1881" spans="2:6" x14ac:dyDescent="0.2">
      <c r="B1881"/>
      <c r="C1881"/>
      <c r="D1881"/>
      <c r="E1881"/>
      <c r="F1881" t="s">
        <v>20</v>
      </c>
    </row>
    <row r="1882" spans="2:6" x14ac:dyDescent="0.2">
      <c r="B1882"/>
      <c r="C1882"/>
      <c r="D1882"/>
      <c r="E1882"/>
      <c r="F1882" t="s">
        <v>49</v>
      </c>
    </row>
    <row r="1883" spans="2:6" x14ac:dyDescent="0.2">
      <c r="B1883"/>
      <c r="C1883"/>
      <c r="D1883"/>
      <c r="E1883"/>
      <c r="F1883" t="s">
        <v>27</v>
      </c>
    </row>
    <row r="1884" spans="2:6" x14ac:dyDescent="0.2">
      <c r="B1884"/>
      <c r="C1884"/>
      <c r="D1884"/>
      <c r="E1884"/>
      <c r="F1884" t="s">
        <v>10</v>
      </c>
    </row>
    <row r="1885" spans="2:6" x14ac:dyDescent="0.2">
      <c r="B1885"/>
      <c r="C1885"/>
      <c r="D1885"/>
      <c r="E1885"/>
      <c r="F1885" t="s">
        <v>21</v>
      </c>
    </row>
    <row r="1886" spans="2:6" x14ac:dyDescent="0.2">
      <c r="B1886"/>
      <c r="C1886"/>
      <c r="D1886"/>
      <c r="E1886"/>
      <c r="F1886" t="s">
        <v>11</v>
      </c>
    </row>
    <row r="1887" spans="2:6" x14ac:dyDescent="0.2">
      <c r="B1887"/>
      <c r="C1887"/>
      <c r="D1887"/>
      <c r="E1887"/>
      <c r="F1887" t="s">
        <v>22</v>
      </c>
    </row>
    <row r="1888" spans="2:6" x14ac:dyDescent="0.2">
      <c r="B1888"/>
      <c r="C1888"/>
      <c r="D1888"/>
      <c r="E1888"/>
      <c r="F1888" t="s">
        <v>39</v>
      </c>
    </row>
    <row r="1889" spans="2:6" x14ac:dyDescent="0.2">
      <c r="B1889"/>
      <c r="C1889"/>
      <c r="D1889"/>
      <c r="E1889"/>
      <c r="F1889" t="s">
        <v>12</v>
      </c>
    </row>
    <row r="1890" spans="2:6" x14ac:dyDescent="0.2">
      <c r="B1890"/>
      <c r="C1890"/>
      <c r="D1890"/>
      <c r="E1890"/>
      <c r="F1890" t="s">
        <v>37</v>
      </c>
    </row>
    <row r="1891" spans="2:6" x14ac:dyDescent="0.2">
      <c r="B1891"/>
      <c r="C1891"/>
      <c r="D1891"/>
      <c r="E1891"/>
      <c r="F1891" t="s">
        <v>13</v>
      </c>
    </row>
    <row r="1892" spans="2:6" x14ac:dyDescent="0.2">
      <c r="B1892"/>
      <c r="C1892"/>
      <c r="D1892"/>
      <c r="E1892"/>
      <c r="F1892" t="s">
        <v>52</v>
      </c>
    </row>
    <row r="1893" spans="2:6" x14ac:dyDescent="0.2">
      <c r="B1893"/>
      <c r="C1893"/>
      <c r="D1893"/>
      <c r="E1893"/>
      <c r="F1893" t="s">
        <v>14</v>
      </c>
    </row>
    <row r="1894" spans="2:6" x14ac:dyDescent="0.2">
      <c r="B1894"/>
      <c r="C1894"/>
      <c r="D1894"/>
      <c r="E1894"/>
      <c r="F1894" t="s">
        <v>15</v>
      </c>
    </row>
    <row r="1895" spans="2:6" x14ac:dyDescent="0.2">
      <c r="B1895"/>
      <c r="C1895"/>
      <c r="D1895"/>
      <c r="E1895"/>
      <c r="F1895" t="s">
        <v>30</v>
      </c>
    </row>
    <row r="1896" spans="2:6" x14ac:dyDescent="0.2">
      <c r="B1896"/>
      <c r="C1896"/>
      <c r="D1896"/>
      <c r="E1896"/>
      <c r="F1896" t="s">
        <v>53</v>
      </c>
    </row>
    <row r="1897" spans="2:6" x14ac:dyDescent="0.2">
      <c r="B1897"/>
      <c r="C1897"/>
      <c r="D1897"/>
      <c r="E1897"/>
      <c r="F1897" t="s">
        <v>31</v>
      </c>
    </row>
    <row r="1898" spans="2:6" x14ac:dyDescent="0.2">
      <c r="B1898"/>
      <c r="C1898"/>
      <c r="D1898"/>
      <c r="E1898"/>
      <c r="F1898" t="s">
        <v>32</v>
      </c>
    </row>
    <row r="1899" spans="2:6" x14ac:dyDescent="0.2">
      <c r="B1899"/>
      <c r="C1899"/>
      <c r="D1899"/>
      <c r="E1899"/>
      <c r="F1899" t="s">
        <v>54</v>
      </c>
    </row>
    <row r="1900" spans="2:6" x14ac:dyDescent="0.2">
      <c r="B1900"/>
      <c r="C1900"/>
      <c r="D1900"/>
      <c r="E1900"/>
      <c r="F1900" t="s">
        <v>38</v>
      </c>
    </row>
    <row r="1901" spans="2:6" x14ac:dyDescent="0.2">
      <c r="B1901"/>
      <c r="C1901"/>
      <c r="D1901"/>
      <c r="E1901"/>
      <c r="F1901" t="s">
        <v>55</v>
      </c>
    </row>
    <row r="1902" spans="2:6" x14ac:dyDescent="0.2">
      <c r="B1902"/>
      <c r="C1902"/>
      <c r="D1902"/>
      <c r="E1902"/>
      <c r="F1902" t="s">
        <v>56</v>
      </c>
    </row>
    <row r="1903" spans="2:6" x14ac:dyDescent="0.2">
      <c r="B1903"/>
      <c r="C1903"/>
      <c r="D1903"/>
      <c r="E1903"/>
      <c r="F1903" t="s">
        <v>33</v>
      </c>
    </row>
    <row r="1904" spans="2:6" x14ac:dyDescent="0.2">
      <c r="B1904"/>
      <c r="C1904"/>
      <c r="D1904"/>
      <c r="E1904"/>
      <c r="F1904" t="s">
        <v>57</v>
      </c>
    </row>
    <row r="1905" spans="2:6" x14ac:dyDescent="0.2">
      <c r="B1905" t="s">
        <v>538</v>
      </c>
      <c r="C1905" t="s">
        <v>681</v>
      </c>
      <c r="D1905" t="s">
        <v>970</v>
      </c>
      <c r="E1905" t="s">
        <v>965</v>
      </c>
      <c r="F1905" t="s">
        <v>11</v>
      </c>
    </row>
    <row r="1906" spans="2:6" x14ac:dyDescent="0.2">
      <c r="B1906" t="s">
        <v>201</v>
      </c>
      <c r="C1906" t="s">
        <v>682</v>
      </c>
      <c r="D1906" t="s">
        <v>969</v>
      </c>
      <c r="E1906" t="s">
        <v>1226</v>
      </c>
      <c r="F1906" t="s">
        <v>4</v>
      </c>
    </row>
    <row r="1907" spans="2:6" x14ac:dyDescent="0.2">
      <c r="B1907"/>
      <c r="C1907"/>
      <c r="D1907"/>
      <c r="E1907"/>
      <c r="F1907" t="s">
        <v>5</v>
      </c>
    </row>
    <row r="1908" spans="2:6" x14ac:dyDescent="0.2">
      <c r="B1908"/>
      <c r="C1908"/>
      <c r="D1908"/>
      <c r="E1908"/>
      <c r="F1908" t="s">
        <v>9</v>
      </c>
    </row>
    <row r="1909" spans="2:6" x14ac:dyDescent="0.2">
      <c r="B1909"/>
      <c r="C1909"/>
      <c r="D1909"/>
      <c r="E1909"/>
      <c r="F1909" t="s">
        <v>30</v>
      </c>
    </row>
    <row r="1910" spans="2:6" x14ac:dyDescent="0.2">
      <c r="B1910"/>
      <c r="C1910"/>
      <c r="D1910"/>
      <c r="E1910"/>
      <c r="F1910" t="s">
        <v>53</v>
      </c>
    </row>
    <row r="1911" spans="2:6" x14ac:dyDescent="0.2">
      <c r="B1911"/>
      <c r="C1911"/>
      <c r="D1911"/>
      <c r="E1911"/>
      <c r="F1911" t="s">
        <v>31</v>
      </c>
    </row>
    <row r="1912" spans="2:6" x14ac:dyDescent="0.2">
      <c r="B1912"/>
      <c r="C1912"/>
      <c r="D1912"/>
      <c r="E1912"/>
      <c r="F1912" t="s">
        <v>32</v>
      </c>
    </row>
    <row r="1913" spans="2:6" x14ac:dyDescent="0.2">
      <c r="B1913"/>
      <c r="C1913"/>
      <c r="D1913"/>
      <c r="E1913"/>
      <c r="F1913" t="s">
        <v>38</v>
      </c>
    </row>
    <row r="1914" spans="2:6" x14ac:dyDescent="0.2">
      <c r="B1914"/>
      <c r="C1914"/>
      <c r="D1914"/>
      <c r="E1914"/>
      <c r="F1914" t="s">
        <v>55</v>
      </c>
    </row>
    <row r="1915" spans="2:6" x14ac:dyDescent="0.2">
      <c r="B1915" t="s">
        <v>1058</v>
      </c>
      <c r="C1915" t="s">
        <v>1060</v>
      </c>
      <c r="D1915" t="s">
        <v>969</v>
      </c>
      <c r="E1915" t="s">
        <v>1227</v>
      </c>
      <c r="F1915" t="s">
        <v>976</v>
      </c>
    </row>
    <row r="1916" spans="2:6" x14ac:dyDescent="0.2">
      <c r="B1916"/>
      <c r="C1916"/>
      <c r="D1916"/>
      <c r="E1916"/>
      <c r="F1916" t="s">
        <v>978</v>
      </c>
    </row>
    <row r="1917" spans="2:6" x14ac:dyDescent="0.2">
      <c r="B1917" t="s">
        <v>1069</v>
      </c>
      <c r="C1917" t="s">
        <v>1070</v>
      </c>
      <c r="D1917" t="s">
        <v>970</v>
      </c>
      <c r="E1917" t="s">
        <v>965</v>
      </c>
      <c r="F1917" t="s">
        <v>59</v>
      </c>
    </row>
    <row r="1918" spans="2:6" x14ac:dyDescent="0.2">
      <c r="B1918" t="s">
        <v>985</v>
      </c>
      <c r="C1918" t="s">
        <v>986</v>
      </c>
      <c r="D1918" t="s">
        <v>969</v>
      </c>
      <c r="E1918" t="s">
        <v>965</v>
      </c>
      <c r="F1918" t="s">
        <v>976</v>
      </c>
    </row>
    <row r="1919" spans="2:6" x14ac:dyDescent="0.2">
      <c r="B1919" t="s">
        <v>202</v>
      </c>
      <c r="C1919" t="s">
        <v>683</v>
      </c>
      <c r="D1919" t="s">
        <v>970</v>
      </c>
      <c r="E1919" t="s">
        <v>965</v>
      </c>
      <c r="F1919" t="s">
        <v>59</v>
      </c>
    </row>
    <row r="1920" spans="2:6" x14ac:dyDescent="0.2">
      <c r="B1920" t="s">
        <v>203</v>
      </c>
      <c r="C1920" t="s">
        <v>942</v>
      </c>
      <c r="D1920" t="s">
        <v>969</v>
      </c>
      <c r="E1920" t="s">
        <v>1228</v>
      </c>
      <c r="F1920" t="s">
        <v>29</v>
      </c>
    </row>
    <row r="1921" spans="2:6" x14ac:dyDescent="0.2">
      <c r="B1921" t="s">
        <v>204</v>
      </c>
      <c r="C1921" t="s">
        <v>684</v>
      </c>
      <c r="D1921" t="s">
        <v>969</v>
      </c>
      <c r="E1921" t="s">
        <v>1229</v>
      </c>
      <c r="F1921" t="s">
        <v>25</v>
      </c>
    </row>
    <row r="1922" spans="2:6" x14ac:dyDescent="0.2">
      <c r="B1922"/>
      <c r="C1922"/>
      <c r="D1922"/>
      <c r="E1922"/>
      <c r="F1922" t="s">
        <v>9</v>
      </c>
    </row>
    <row r="1923" spans="2:6" x14ac:dyDescent="0.2">
      <c r="B1923"/>
      <c r="C1923"/>
      <c r="D1923"/>
      <c r="E1923"/>
      <c r="F1923" t="s">
        <v>37</v>
      </c>
    </row>
    <row r="1924" spans="2:6" x14ac:dyDescent="0.2">
      <c r="B1924" t="s">
        <v>205</v>
      </c>
      <c r="C1924" t="s">
        <v>685</v>
      </c>
      <c r="D1924" t="s">
        <v>970</v>
      </c>
      <c r="E1924" t="s">
        <v>965</v>
      </c>
      <c r="F1924" t="s">
        <v>11</v>
      </c>
    </row>
    <row r="1925" spans="2:6" x14ac:dyDescent="0.2">
      <c r="B1925" t="s">
        <v>206</v>
      </c>
      <c r="C1925" t="s">
        <v>686</v>
      </c>
      <c r="D1925" t="s">
        <v>969</v>
      </c>
      <c r="E1925" t="s">
        <v>1230</v>
      </c>
      <c r="F1925" t="s">
        <v>5</v>
      </c>
    </row>
    <row r="1926" spans="2:6" x14ac:dyDescent="0.2">
      <c r="B1926"/>
      <c r="C1926"/>
      <c r="D1926"/>
      <c r="E1926"/>
      <c r="F1926" t="s">
        <v>6</v>
      </c>
    </row>
    <row r="1927" spans="2:6" x14ac:dyDescent="0.2">
      <c r="B1927"/>
      <c r="C1927"/>
      <c r="D1927"/>
      <c r="E1927"/>
      <c r="F1927" t="s">
        <v>7</v>
      </c>
    </row>
    <row r="1928" spans="2:6" x14ac:dyDescent="0.2">
      <c r="B1928"/>
      <c r="C1928"/>
      <c r="D1928"/>
      <c r="E1928"/>
      <c r="F1928" t="s">
        <v>8</v>
      </c>
    </row>
    <row r="1929" spans="2:6" x14ac:dyDescent="0.2">
      <c r="B1929"/>
      <c r="C1929"/>
      <c r="D1929"/>
      <c r="E1929"/>
      <c r="F1929" t="s">
        <v>24</v>
      </c>
    </row>
    <row r="1930" spans="2:6" x14ac:dyDescent="0.2">
      <c r="B1930"/>
      <c r="C1930"/>
      <c r="D1930"/>
      <c r="E1930"/>
      <c r="F1930" t="s">
        <v>25</v>
      </c>
    </row>
    <row r="1931" spans="2:6" x14ac:dyDescent="0.2">
      <c r="B1931"/>
      <c r="C1931"/>
      <c r="D1931"/>
      <c r="E1931"/>
      <c r="F1931" t="s">
        <v>9</v>
      </c>
    </row>
    <row r="1932" spans="2:6" x14ac:dyDescent="0.2">
      <c r="B1932"/>
      <c r="C1932"/>
      <c r="D1932"/>
      <c r="E1932"/>
      <c r="F1932" t="s">
        <v>27</v>
      </c>
    </row>
    <row r="1933" spans="2:6" x14ac:dyDescent="0.2">
      <c r="B1933"/>
      <c r="C1933"/>
      <c r="D1933"/>
      <c r="E1933"/>
      <c r="F1933" t="s">
        <v>10</v>
      </c>
    </row>
    <row r="1934" spans="2:6" x14ac:dyDescent="0.2">
      <c r="B1934"/>
      <c r="C1934"/>
      <c r="D1934"/>
      <c r="E1934"/>
      <c r="F1934" t="s">
        <v>51</v>
      </c>
    </row>
    <row r="1935" spans="2:6" x14ac:dyDescent="0.2">
      <c r="B1935"/>
      <c r="C1935"/>
      <c r="D1935"/>
      <c r="E1935"/>
      <c r="F1935" t="s">
        <v>12</v>
      </c>
    </row>
    <row r="1936" spans="2:6" x14ac:dyDescent="0.2">
      <c r="B1936"/>
      <c r="C1936"/>
      <c r="D1936"/>
      <c r="E1936"/>
      <c r="F1936" t="s">
        <v>29</v>
      </c>
    </row>
    <row r="1937" spans="2:6" x14ac:dyDescent="0.2">
      <c r="B1937"/>
      <c r="C1937"/>
      <c r="D1937"/>
      <c r="E1937"/>
      <c r="F1937" t="s">
        <v>37</v>
      </c>
    </row>
    <row r="1938" spans="2:6" x14ac:dyDescent="0.2">
      <c r="B1938"/>
      <c r="C1938"/>
      <c r="D1938"/>
      <c r="E1938"/>
      <c r="F1938" t="s">
        <v>13</v>
      </c>
    </row>
    <row r="1939" spans="2:6" x14ac:dyDescent="0.2">
      <c r="B1939"/>
      <c r="C1939"/>
      <c r="D1939"/>
      <c r="E1939"/>
      <c r="F1939" t="s">
        <v>14</v>
      </c>
    </row>
    <row r="1940" spans="2:6" x14ac:dyDescent="0.2">
      <c r="B1940"/>
      <c r="C1940"/>
      <c r="D1940"/>
      <c r="E1940"/>
      <c r="F1940" t="s">
        <v>15</v>
      </c>
    </row>
    <row r="1941" spans="2:6" x14ac:dyDescent="0.2">
      <c r="B1941"/>
      <c r="C1941"/>
      <c r="D1941"/>
      <c r="E1941"/>
      <c r="F1941" t="s">
        <v>31</v>
      </c>
    </row>
    <row r="1942" spans="2:6" x14ac:dyDescent="0.2">
      <c r="B1942"/>
      <c r="C1942"/>
      <c r="D1942"/>
      <c r="E1942"/>
      <c r="F1942" t="s">
        <v>32</v>
      </c>
    </row>
    <row r="1943" spans="2:6" x14ac:dyDescent="0.2">
      <c r="B1943" t="s">
        <v>517</v>
      </c>
      <c r="C1943" t="s">
        <v>687</v>
      </c>
      <c r="D1943" t="s">
        <v>970</v>
      </c>
      <c r="E1943" t="s">
        <v>1133</v>
      </c>
      <c r="F1943" t="s">
        <v>9</v>
      </c>
    </row>
    <row r="1944" spans="2:6" x14ac:dyDescent="0.2">
      <c r="B1944"/>
      <c r="C1944"/>
      <c r="D1944"/>
      <c r="E1944"/>
      <c r="F1944" t="s">
        <v>10</v>
      </c>
    </row>
    <row r="1945" spans="2:6" x14ac:dyDescent="0.2">
      <c r="B1945" t="s">
        <v>207</v>
      </c>
      <c r="C1945" t="s">
        <v>688</v>
      </c>
      <c r="D1945" t="s">
        <v>970</v>
      </c>
      <c r="E1945" t="s">
        <v>1130</v>
      </c>
      <c r="F1945" t="s">
        <v>5</v>
      </c>
    </row>
    <row r="1946" spans="2:6" x14ac:dyDescent="0.2">
      <c r="B1946"/>
      <c r="C1946"/>
      <c r="D1946"/>
      <c r="E1946"/>
      <c r="F1946" t="s">
        <v>12</v>
      </c>
    </row>
    <row r="1947" spans="2:6" x14ac:dyDescent="0.2">
      <c r="B1947" t="s">
        <v>533</v>
      </c>
      <c r="C1947" t="s">
        <v>689</v>
      </c>
      <c r="D1947" t="s">
        <v>970</v>
      </c>
      <c r="E1947" t="s">
        <v>1231</v>
      </c>
      <c r="F1947" t="s">
        <v>46</v>
      </c>
    </row>
    <row r="1948" spans="2:6" x14ac:dyDescent="0.2">
      <c r="B1948" t="s">
        <v>208</v>
      </c>
      <c r="C1948" t="s">
        <v>690</v>
      </c>
      <c r="D1948" t="s">
        <v>970</v>
      </c>
      <c r="E1948" t="s">
        <v>1192</v>
      </c>
      <c r="F1948" t="s">
        <v>43</v>
      </c>
    </row>
    <row r="1949" spans="2:6" x14ac:dyDescent="0.2">
      <c r="B1949"/>
      <c r="C1949"/>
      <c r="D1949"/>
      <c r="E1949"/>
      <c r="F1949" t="s">
        <v>44</v>
      </c>
    </row>
    <row r="1950" spans="2:6" x14ac:dyDescent="0.2">
      <c r="B1950"/>
      <c r="C1950"/>
      <c r="D1950"/>
      <c r="E1950"/>
      <c r="F1950" t="s">
        <v>46</v>
      </c>
    </row>
    <row r="1951" spans="2:6" x14ac:dyDescent="0.2">
      <c r="B1951"/>
      <c r="C1951"/>
      <c r="D1951"/>
      <c r="E1951"/>
      <c r="F1951" t="s">
        <v>47</v>
      </c>
    </row>
    <row r="1952" spans="2:6" x14ac:dyDescent="0.2">
      <c r="B1952"/>
      <c r="C1952"/>
      <c r="D1952"/>
      <c r="E1952"/>
      <c r="F1952" t="s">
        <v>48</v>
      </c>
    </row>
    <row r="1953" spans="2:6" x14ac:dyDescent="0.2">
      <c r="B1953"/>
      <c r="C1953"/>
      <c r="D1953"/>
      <c r="E1953"/>
      <c r="F1953" t="s">
        <v>4</v>
      </c>
    </row>
    <row r="1954" spans="2:6" x14ac:dyDescent="0.2">
      <c r="B1954"/>
      <c r="C1954"/>
      <c r="D1954"/>
      <c r="E1954"/>
      <c r="F1954" t="s">
        <v>5</v>
      </c>
    </row>
    <row r="1955" spans="2:6" x14ac:dyDescent="0.2">
      <c r="B1955"/>
      <c r="C1955"/>
      <c r="D1955"/>
      <c r="E1955"/>
      <c r="F1955" t="s">
        <v>7</v>
      </c>
    </row>
    <row r="1956" spans="2:6" x14ac:dyDescent="0.2">
      <c r="B1956"/>
      <c r="C1956"/>
      <c r="D1956"/>
      <c r="E1956"/>
      <c r="F1956" t="s">
        <v>8</v>
      </c>
    </row>
    <row r="1957" spans="2:6" x14ac:dyDescent="0.2">
      <c r="B1957"/>
      <c r="C1957"/>
      <c r="D1957"/>
      <c r="E1957"/>
      <c r="F1957" t="s">
        <v>24</v>
      </c>
    </row>
    <row r="1958" spans="2:6" x14ac:dyDescent="0.2">
      <c r="B1958"/>
      <c r="C1958"/>
      <c r="D1958"/>
      <c r="E1958"/>
      <c r="F1958" t="s">
        <v>25</v>
      </c>
    </row>
    <row r="1959" spans="2:6" x14ac:dyDescent="0.2">
      <c r="B1959"/>
      <c r="C1959"/>
      <c r="D1959"/>
      <c r="E1959"/>
      <c r="F1959" t="s">
        <v>9</v>
      </c>
    </row>
    <row r="1960" spans="2:6" x14ac:dyDescent="0.2">
      <c r="B1960"/>
      <c r="C1960"/>
      <c r="D1960"/>
      <c r="E1960"/>
      <c r="F1960" t="s">
        <v>27</v>
      </c>
    </row>
    <row r="1961" spans="2:6" x14ac:dyDescent="0.2">
      <c r="B1961"/>
      <c r="C1961"/>
      <c r="D1961"/>
      <c r="E1961"/>
      <c r="F1961" t="s">
        <v>10</v>
      </c>
    </row>
    <row r="1962" spans="2:6" x14ac:dyDescent="0.2">
      <c r="B1962"/>
      <c r="C1962"/>
      <c r="D1962"/>
      <c r="E1962"/>
      <c r="F1962" t="s">
        <v>39</v>
      </c>
    </row>
    <row r="1963" spans="2:6" x14ac:dyDescent="0.2">
      <c r="B1963"/>
      <c r="C1963"/>
      <c r="D1963"/>
      <c r="E1963"/>
      <c r="F1963" t="s">
        <v>37</v>
      </c>
    </row>
    <row r="1964" spans="2:6" x14ac:dyDescent="0.2">
      <c r="B1964"/>
      <c r="C1964"/>
      <c r="D1964"/>
      <c r="E1964"/>
      <c r="F1964" t="s">
        <v>13</v>
      </c>
    </row>
    <row r="1965" spans="2:6" x14ac:dyDescent="0.2">
      <c r="B1965"/>
      <c r="C1965"/>
      <c r="D1965"/>
      <c r="E1965"/>
      <c r="F1965" t="s">
        <v>14</v>
      </c>
    </row>
    <row r="1966" spans="2:6" x14ac:dyDescent="0.2">
      <c r="B1966"/>
      <c r="C1966"/>
      <c r="D1966"/>
      <c r="E1966"/>
      <c r="F1966" t="s">
        <v>15</v>
      </c>
    </row>
    <row r="1967" spans="2:6" x14ac:dyDescent="0.2">
      <c r="B1967"/>
      <c r="C1967"/>
      <c r="D1967"/>
      <c r="E1967"/>
      <c r="F1967" t="s">
        <v>31</v>
      </c>
    </row>
    <row r="1968" spans="2:6" x14ac:dyDescent="0.2">
      <c r="B1968"/>
      <c r="C1968"/>
      <c r="D1968"/>
      <c r="E1968"/>
      <c r="F1968" t="s">
        <v>32</v>
      </c>
    </row>
    <row r="1969" spans="2:6" x14ac:dyDescent="0.2">
      <c r="B1969"/>
      <c r="C1969"/>
      <c r="D1969"/>
      <c r="E1969"/>
      <c r="F1969" t="s">
        <v>1004</v>
      </c>
    </row>
    <row r="1970" spans="2:6" x14ac:dyDescent="0.2">
      <c r="B1970" t="s">
        <v>209</v>
      </c>
      <c r="C1970" t="s">
        <v>979</v>
      </c>
      <c r="D1970" t="s">
        <v>970</v>
      </c>
      <c r="E1970" t="s">
        <v>965</v>
      </c>
      <c r="F1970" t="s">
        <v>21</v>
      </c>
    </row>
    <row r="1971" spans="2:6" x14ac:dyDescent="0.2">
      <c r="B1971" t="s">
        <v>210</v>
      </c>
      <c r="C1971" t="s">
        <v>691</v>
      </c>
      <c r="D1971" t="s">
        <v>969</v>
      </c>
      <c r="E1971" t="s">
        <v>1160</v>
      </c>
      <c r="F1971" t="s">
        <v>27</v>
      </c>
    </row>
    <row r="1972" spans="2:6" x14ac:dyDescent="0.2">
      <c r="B1972"/>
      <c r="C1972"/>
      <c r="D1972"/>
      <c r="E1972"/>
      <c r="F1972" t="s">
        <v>13</v>
      </c>
    </row>
    <row r="1973" spans="2:6" x14ac:dyDescent="0.2">
      <c r="B1973" t="s">
        <v>211</v>
      </c>
      <c r="C1973" t="s">
        <v>692</v>
      </c>
      <c r="D1973" t="s">
        <v>969</v>
      </c>
      <c r="E1973" t="s">
        <v>1190</v>
      </c>
      <c r="F1973" t="s">
        <v>35</v>
      </c>
    </row>
    <row r="1974" spans="2:6" x14ac:dyDescent="0.2">
      <c r="B1974"/>
      <c r="C1974"/>
      <c r="D1974"/>
      <c r="E1974"/>
      <c r="F1974" t="s">
        <v>124</v>
      </c>
    </row>
    <row r="1975" spans="2:6" x14ac:dyDescent="0.2">
      <c r="B1975"/>
      <c r="C1975"/>
      <c r="D1975"/>
      <c r="E1975"/>
      <c r="F1975" t="s">
        <v>36</v>
      </c>
    </row>
    <row r="1976" spans="2:6" x14ac:dyDescent="0.2">
      <c r="B1976"/>
      <c r="C1976"/>
      <c r="D1976"/>
      <c r="E1976"/>
      <c r="F1976" t="s">
        <v>125</v>
      </c>
    </row>
    <row r="1977" spans="2:6" x14ac:dyDescent="0.2">
      <c r="B1977"/>
      <c r="C1977"/>
      <c r="D1977"/>
      <c r="E1977"/>
      <c r="F1977" t="s">
        <v>42</v>
      </c>
    </row>
    <row r="1978" spans="2:6" x14ac:dyDescent="0.2">
      <c r="B1978"/>
      <c r="C1978"/>
      <c r="D1978"/>
      <c r="E1978"/>
      <c r="F1978" t="s">
        <v>4</v>
      </c>
    </row>
    <row r="1979" spans="2:6" x14ac:dyDescent="0.2">
      <c r="B1979"/>
      <c r="C1979"/>
      <c r="D1979"/>
      <c r="E1979"/>
      <c r="F1979" t="s">
        <v>5</v>
      </c>
    </row>
    <row r="1980" spans="2:6" x14ac:dyDescent="0.2">
      <c r="B1980"/>
      <c r="C1980"/>
      <c r="D1980"/>
      <c r="E1980"/>
      <c r="F1980" t="s">
        <v>7</v>
      </c>
    </row>
    <row r="1981" spans="2:6" x14ac:dyDescent="0.2">
      <c r="B1981"/>
      <c r="C1981"/>
      <c r="D1981"/>
      <c r="E1981"/>
      <c r="F1981" t="s">
        <v>8</v>
      </c>
    </row>
    <row r="1982" spans="2:6" x14ac:dyDescent="0.2">
      <c r="B1982"/>
      <c r="C1982"/>
      <c r="D1982"/>
      <c r="E1982"/>
      <c r="F1982" t="s">
        <v>24</v>
      </c>
    </row>
    <row r="1983" spans="2:6" x14ac:dyDescent="0.2">
      <c r="B1983"/>
      <c r="C1983"/>
      <c r="D1983"/>
      <c r="E1983"/>
      <c r="F1983" t="s">
        <v>25</v>
      </c>
    </row>
    <row r="1984" spans="2:6" x14ac:dyDescent="0.2">
      <c r="B1984"/>
      <c r="C1984"/>
      <c r="D1984"/>
      <c r="E1984"/>
      <c r="F1984" t="s">
        <v>9</v>
      </c>
    </row>
    <row r="1985" spans="2:6" x14ac:dyDescent="0.2">
      <c r="B1985"/>
      <c r="C1985"/>
      <c r="D1985"/>
      <c r="E1985"/>
      <c r="F1985" t="s">
        <v>20</v>
      </c>
    </row>
    <row r="1986" spans="2:6" x14ac:dyDescent="0.2">
      <c r="B1986"/>
      <c r="C1986"/>
      <c r="D1986"/>
      <c r="E1986"/>
      <c r="F1986" t="s">
        <v>27</v>
      </c>
    </row>
    <row r="1987" spans="2:6" x14ac:dyDescent="0.2">
      <c r="B1987"/>
      <c r="C1987"/>
      <c r="D1987"/>
      <c r="E1987"/>
      <c r="F1987" t="s">
        <v>10</v>
      </c>
    </row>
    <row r="1988" spans="2:6" x14ac:dyDescent="0.2">
      <c r="B1988"/>
      <c r="C1988"/>
      <c r="D1988"/>
      <c r="E1988"/>
      <c r="F1988" t="s">
        <v>21</v>
      </c>
    </row>
    <row r="1989" spans="2:6" x14ac:dyDescent="0.2">
      <c r="B1989"/>
      <c r="C1989"/>
      <c r="D1989"/>
      <c r="E1989"/>
      <c r="F1989" t="s">
        <v>11</v>
      </c>
    </row>
    <row r="1990" spans="2:6" x14ac:dyDescent="0.2">
      <c r="B1990"/>
      <c r="C1990"/>
      <c r="D1990"/>
      <c r="E1990"/>
      <c r="F1990" t="s">
        <v>39</v>
      </c>
    </row>
    <row r="1991" spans="2:6" x14ac:dyDescent="0.2">
      <c r="B1991"/>
      <c r="C1991"/>
      <c r="D1991"/>
      <c r="E1991"/>
      <c r="F1991" t="s">
        <v>37</v>
      </c>
    </row>
    <row r="1992" spans="2:6" x14ac:dyDescent="0.2">
      <c r="B1992"/>
      <c r="C1992"/>
      <c r="D1992"/>
      <c r="E1992"/>
      <c r="F1992" t="s">
        <v>13</v>
      </c>
    </row>
    <row r="1993" spans="2:6" x14ac:dyDescent="0.2">
      <c r="B1993"/>
      <c r="C1993"/>
      <c r="D1993"/>
      <c r="E1993"/>
      <c r="F1993" t="s">
        <v>52</v>
      </c>
    </row>
    <row r="1994" spans="2:6" x14ac:dyDescent="0.2">
      <c r="B1994"/>
      <c r="C1994"/>
      <c r="D1994"/>
      <c r="E1994"/>
      <c r="F1994" t="s">
        <v>14</v>
      </c>
    </row>
    <row r="1995" spans="2:6" x14ac:dyDescent="0.2">
      <c r="B1995"/>
      <c r="C1995"/>
      <c r="D1995"/>
      <c r="E1995"/>
      <c r="F1995" t="s">
        <v>15</v>
      </c>
    </row>
    <row r="1996" spans="2:6" x14ac:dyDescent="0.2">
      <c r="B1996"/>
      <c r="C1996"/>
      <c r="D1996"/>
      <c r="E1996"/>
      <c r="F1996" t="s">
        <v>30</v>
      </c>
    </row>
    <row r="1997" spans="2:6" x14ac:dyDescent="0.2">
      <c r="B1997"/>
      <c r="C1997"/>
      <c r="D1997"/>
      <c r="E1997"/>
      <c r="F1997" t="s">
        <v>53</v>
      </c>
    </row>
    <row r="1998" spans="2:6" x14ac:dyDescent="0.2">
      <c r="B1998"/>
      <c r="C1998"/>
      <c r="D1998"/>
      <c r="E1998"/>
      <c r="F1998" t="s">
        <v>31</v>
      </c>
    </row>
    <row r="1999" spans="2:6" x14ac:dyDescent="0.2">
      <c r="B1999"/>
      <c r="C1999"/>
      <c r="D1999"/>
      <c r="E1999"/>
      <c r="F1999" t="s">
        <v>32</v>
      </c>
    </row>
    <row r="2000" spans="2:6" x14ac:dyDescent="0.2">
      <c r="B2000"/>
      <c r="C2000"/>
      <c r="D2000"/>
      <c r="E2000"/>
      <c r="F2000" t="s">
        <v>38</v>
      </c>
    </row>
    <row r="2001" spans="2:6" x14ac:dyDescent="0.2">
      <c r="B2001"/>
      <c r="C2001"/>
      <c r="D2001"/>
      <c r="E2001"/>
      <c r="F2001" t="s">
        <v>56</v>
      </c>
    </row>
    <row r="2002" spans="2:6" x14ac:dyDescent="0.2">
      <c r="B2002" t="s">
        <v>212</v>
      </c>
      <c r="C2002" t="s">
        <v>935</v>
      </c>
      <c r="D2002" t="s">
        <v>969</v>
      </c>
      <c r="E2002" t="s">
        <v>1232</v>
      </c>
      <c r="F2002" t="s">
        <v>46</v>
      </c>
    </row>
    <row r="2003" spans="2:6" x14ac:dyDescent="0.2">
      <c r="B2003"/>
      <c r="C2003"/>
      <c r="D2003"/>
      <c r="E2003"/>
      <c r="F2003" t="s">
        <v>47</v>
      </c>
    </row>
    <row r="2004" spans="2:6" x14ac:dyDescent="0.2">
      <c r="B2004"/>
      <c r="C2004"/>
      <c r="D2004"/>
      <c r="E2004"/>
      <c r="F2004" t="s">
        <v>48</v>
      </c>
    </row>
    <row r="2005" spans="2:6" x14ac:dyDescent="0.2">
      <c r="B2005"/>
      <c r="C2005"/>
      <c r="D2005"/>
      <c r="E2005"/>
      <c r="F2005" t="s">
        <v>4</v>
      </c>
    </row>
    <row r="2006" spans="2:6" x14ac:dyDescent="0.2">
      <c r="B2006"/>
      <c r="C2006"/>
      <c r="D2006"/>
      <c r="E2006"/>
      <c r="F2006" t="s">
        <v>5</v>
      </c>
    </row>
    <row r="2007" spans="2:6" x14ac:dyDescent="0.2">
      <c r="B2007"/>
      <c r="C2007"/>
      <c r="D2007"/>
      <c r="E2007"/>
      <c r="F2007" t="s">
        <v>6</v>
      </c>
    </row>
    <row r="2008" spans="2:6" x14ac:dyDescent="0.2">
      <c r="B2008"/>
      <c r="C2008"/>
      <c r="D2008"/>
      <c r="E2008"/>
      <c r="F2008" t="s">
        <v>7</v>
      </c>
    </row>
    <row r="2009" spans="2:6" x14ac:dyDescent="0.2">
      <c r="B2009"/>
      <c r="C2009"/>
      <c r="D2009"/>
      <c r="E2009"/>
      <c r="F2009" t="s">
        <v>8</v>
      </c>
    </row>
    <row r="2010" spans="2:6" x14ac:dyDescent="0.2">
      <c r="B2010"/>
      <c r="C2010"/>
      <c r="D2010"/>
      <c r="E2010"/>
      <c r="F2010" t="s">
        <v>25</v>
      </c>
    </row>
    <row r="2011" spans="2:6" x14ac:dyDescent="0.2">
      <c r="B2011"/>
      <c r="C2011"/>
      <c r="D2011"/>
      <c r="E2011"/>
      <c r="F2011" t="s">
        <v>9</v>
      </c>
    </row>
    <row r="2012" spans="2:6" x14ac:dyDescent="0.2">
      <c r="B2012"/>
      <c r="C2012"/>
      <c r="D2012"/>
      <c r="E2012"/>
      <c r="F2012" t="s">
        <v>49</v>
      </c>
    </row>
    <row r="2013" spans="2:6" x14ac:dyDescent="0.2">
      <c r="B2013"/>
      <c r="C2013"/>
      <c r="D2013"/>
      <c r="E2013"/>
      <c r="F2013" t="s">
        <v>27</v>
      </c>
    </row>
    <row r="2014" spans="2:6" x14ac:dyDescent="0.2">
      <c r="B2014"/>
      <c r="C2014"/>
      <c r="D2014"/>
      <c r="E2014"/>
      <c r="F2014" t="s">
        <v>59</v>
      </c>
    </row>
    <row r="2015" spans="2:6" x14ac:dyDescent="0.2">
      <c r="B2015"/>
      <c r="C2015"/>
      <c r="D2015"/>
      <c r="E2015"/>
      <c r="F2015" t="s">
        <v>75</v>
      </c>
    </row>
    <row r="2016" spans="2:6" x14ac:dyDescent="0.2">
      <c r="B2016"/>
      <c r="C2016"/>
      <c r="D2016"/>
      <c r="E2016"/>
      <c r="F2016" t="s">
        <v>10</v>
      </c>
    </row>
    <row r="2017" spans="2:6" x14ac:dyDescent="0.2">
      <c r="B2017"/>
      <c r="C2017"/>
      <c r="D2017"/>
      <c r="E2017"/>
      <c r="F2017" t="s">
        <v>21</v>
      </c>
    </row>
    <row r="2018" spans="2:6" x14ac:dyDescent="0.2">
      <c r="B2018"/>
      <c r="C2018"/>
      <c r="D2018"/>
      <c r="E2018"/>
      <c r="F2018" t="s">
        <v>11</v>
      </c>
    </row>
    <row r="2019" spans="2:6" x14ac:dyDescent="0.2">
      <c r="B2019"/>
      <c r="C2019"/>
      <c r="D2019"/>
      <c r="E2019"/>
      <c r="F2019" t="s">
        <v>22</v>
      </c>
    </row>
    <row r="2020" spans="2:6" x14ac:dyDescent="0.2">
      <c r="B2020"/>
      <c r="C2020"/>
      <c r="D2020"/>
      <c r="E2020"/>
      <c r="F2020" t="s">
        <v>12</v>
      </c>
    </row>
    <row r="2021" spans="2:6" x14ac:dyDescent="0.2">
      <c r="B2021"/>
      <c r="C2021"/>
      <c r="D2021"/>
      <c r="E2021"/>
      <c r="F2021" t="s">
        <v>29</v>
      </c>
    </row>
    <row r="2022" spans="2:6" x14ac:dyDescent="0.2">
      <c r="B2022"/>
      <c r="C2022"/>
      <c r="D2022"/>
      <c r="E2022"/>
      <c r="F2022" t="s">
        <v>14</v>
      </c>
    </row>
    <row r="2023" spans="2:6" x14ac:dyDescent="0.2">
      <c r="B2023"/>
      <c r="C2023"/>
      <c r="D2023"/>
      <c r="E2023"/>
      <c r="F2023" t="s">
        <v>15</v>
      </c>
    </row>
    <row r="2024" spans="2:6" x14ac:dyDescent="0.2">
      <c r="B2024"/>
      <c r="C2024"/>
      <c r="D2024"/>
      <c r="E2024"/>
      <c r="F2024" t="s">
        <v>31</v>
      </c>
    </row>
    <row r="2025" spans="2:6" x14ac:dyDescent="0.2">
      <c r="B2025"/>
      <c r="C2025"/>
      <c r="D2025"/>
      <c r="E2025"/>
      <c r="F2025" t="s">
        <v>32</v>
      </c>
    </row>
    <row r="2026" spans="2:6" x14ac:dyDescent="0.2">
      <c r="B2026"/>
      <c r="C2026"/>
      <c r="D2026"/>
      <c r="E2026"/>
      <c r="F2026" t="s">
        <v>1013</v>
      </c>
    </row>
    <row r="2027" spans="2:6" x14ac:dyDescent="0.2">
      <c r="B2027" t="s">
        <v>213</v>
      </c>
      <c r="C2027" t="s">
        <v>693</v>
      </c>
      <c r="D2027" t="s">
        <v>969</v>
      </c>
      <c r="E2027" t="s">
        <v>965</v>
      </c>
      <c r="F2027" t="s">
        <v>30</v>
      </c>
    </row>
    <row r="2028" spans="2:6" x14ac:dyDescent="0.2">
      <c r="B2028"/>
      <c r="C2028"/>
      <c r="D2028"/>
      <c r="E2028"/>
      <c r="F2028" t="s">
        <v>53</v>
      </c>
    </row>
    <row r="2029" spans="2:6" x14ac:dyDescent="0.2">
      <c r="B2029"/>
      <c r="C2029"/>
      <c r="D2029"/>
      <c r="E2029"/>
      <c r="F2029" t="s">
        <v>31</v>
      </c>
    </row>
    <row r="2030" spans="2:6" x14ac:dyDescent="0.2">
      <c r="B2030"/>
      <c r="C2030"/>
      <c r="D2030"/>
      <c r="E2030"/>
      <c r="F2030" t="s">
        <v>32</v>
      </c>
    </row>
    <row r="2031" spans="2:6" x14ac:dyDescent="0.2">
      <c r="B2031"/>
      <c r="C2031"/>
      <c r="D2031"/>
      <c r="E2031"/>
      <c r="F2031" t="s">
        <v>55</v>
      </c>
    </row>
    <row r="2032" spans="2:6" x14ac:dyDescent="0.2">
      <c r="B2032" t="s">
        <v>214</v>
      </c>
      <c r="C2032" t="s">
        <v>694</v>
      </c>
      <c r="D2032" t="s">
        <v>969</v>
      </c>
      <c r="E2032" t="s">
        <v>1183</v>
      </c>
      <c r="F2032" t="s">
        <v>70</v>
      </c>
    </row>
    <row r="2033" spans="2:6" x14ac:dyDescent="0.2">
      <c r="B2033" t="s">
        <v>215</v>
      </c>
      <c r="C2033" t="s">
        <v>695</v>
      </c>
      <c r="D2033" t="s">
        <v>969</v>
      </c>
      <c r="E2033" t="s">
        <v>1134</v>
      </c>
      <c r="F2033" t="s">
        <v>5</v>
      </c>
    </row>
    <row r="2034" spans="2:6" x14ac:dyDescent="0.2">
      <c r="B2034"/>
      <c r="C2034"/>
      <c r="D2034"/>
      <c r="E2034"/>
      <c r="F2034" t="s">
        <v>9</v>
      </c>
    </row>
    <row r="2035" spans="2:6" x14ac:dyDescent="0.2">
      <c r="B2035"/>
      <c r="C2035"/>
      <c r="D2035"/>
      <c r="E2035"/>
      <c r="F2035" t="s">
        <v>10</v>
      </c>
    </row>
    <row r="2036" spans="2:6" x14ac:dyDescent="0.2">
      <c r="B2036"/>
      <c r="C2036"/>
      <c r="D2036"/>
      <c r="E2036"/>
      <c r="F2036" t="s">
        <v>29</v>
      </c>
    </row>
    <row r="2037" spans="2:6" x14ac:dyDescent="0.2">
      <c r="B2037"/>
      <c r="C2037"/>
      <c r="D2037"/>
      <c r="E2037"/>
      <c r="F2037" t="s">
        <v>31</v>
      </c>
    </row>
    <row r="2038" spans="2:6" x14ac:dyDescent="0.2">
      <c r="B2038"/>
      <c r="C2038"/>
      <c r="D2038"/>
      <c r="E2038"/>
      <c r="F2038" t="s">
        <v>32</v>
      </c>
    </row>
    <row r="2039" spans="2:6" x14ac:dyDescent="0.2">
      <c r="B2039" t="s">
        <v>216</v>
      </c>
      <c r="C2039" t="s">
        <v>696</v>
      </c>
      <c r="D2039" t="s">
        <v>970</v>
      </c>
      <c r="E2039" t="s">
        <v>965</v>
      </c>
      <c r="F2039" t="s">
        <v>10</v>
      </c>
    </row>
    <row r="2040" spans="2:6" x14ac:dyDescent="0.2">
      <c r="B2040"/>
      <c r="C2040"/>
      <c r="D2040"/>
      <c r="E2040"/>
      <c r="F2040" t="s">
        <v>33</v>
      </c>
    </row>
    <row r="2041" spans="2:6" x14ac:dyDescent="0.2">
      <c r="B2041" t="s">
        <v>217</v>
      </c>
      <c r="C2041" t="s">
        <v>697</v>
      </c>
      <c r="D2041" t="s">
        <v>970</v>
      </c>
      <c r="E2041" t="s">
        <v>1233</v>
      </c>
      <c r="F2041" t="s">
        <v>4</v>
      </c>
    </row>
    <row r="2042" spans="2:6" x14ac:dyDescent="0.2">
      <c r="B2042"/>
      <c r="C2042"/>
      <c r="D2042"/>
      <c r="E2042"/>
      <c r="F2042" t="s">
        <v>5</v>
      </c>
    </row>
    <row r="2043" spans="2:6" x14ac:dyDescent="0.2">
      <c r="B2043"/>
      <c r="C2043"/>
      <c r="D2043"/>
      <c r="E2043"/>
      <c r="F2043" t="s">
        <v>27</v>
      </c>
    </row>
    <row r="2044" spans="2:6" x14ac:dyDescent="0.2">
      <c r="B2044"/>
      <c r="C2044"/>
      <c r="D2044"/>
      <c r="E2044"/>
      <c r="F2044" t="s">
        <v>13</v>
      </c>
    </row>
    <row r="2045" spans="2:6" x14ac:dyDescent="0.2">
      <c r="B2045"/>
      <c r="C2045"/>
      <c r="D2045"/>
      <c r="E2045"/>
      <c r="F2045" t="s">
        <v>14</v>
      </c>
    </row>
    <row r="2046" spans="2:6" x14ac:dyDescent="0.2">
      <c r="B2046" t="s">
        <v>1038</v>
      </c>
      <c r="C2046" t="s">
        <v>1039</v>
      </c>
      <c r="D2046" t="s">
        <v>969</v>
      </c>
      <c r="E2046" t="s">
        <v>965</v>
      </c>
      <c r="F2046" t="s">
        <v>42</v>
      </c>
    </row>
    <row r="2047" spans="2:6" x14ac:dyDescent="0.2">
      <c r="B2047" t="s">
        <v>893</v>
      </c>
      <c r="C2047" t="s">
        <v>894</v>
      </c>
      <c r="D2047" t="s">
        <v>969</v>
      </c>
      <c r="E2047" t="s">
        <v>1194</v>
      </c>
      <c r="F2047" t="s">
        <v>59</v>
      </c>
    </row>
    <row r="2048" spans="2:6" x14ac:dyDescent="0.2">
      <c r="B2048" t="s">
        <v>218</v>
      </c>
      <c r="C2048" t="s">
        <v>698</v>
      </c>
      <c r="D2048" t="s">
        <v>969</v>
      </c>
      <c r="E2048" t="s">
        <v>1174</v>
      </c>
      <c r="F2048" t="s">
        <v>5</v>
      </c>
    </row>
    <row r="2049" spans="2:6" x14ac:dyDescent="0.2">
      <c r="B2049"/>
      <c r="C2049"/>
      <c r="D2049"/>
      <c r="E2049"/>
      <c r="F2049" t="s">
        <v>10</v>
      </c>
    </row>
    <row r="2050" spans="2:6" x14ac:dyDescent="0.2">
      <c r="B2050" t="s">
        <v>219</v>
      </c>
      <c r="C2050" t="s">
        <v>819</v>
      </c>
      <c r="D2050" t="s">
        <v>969</v>
      </c>
      <c r="E2050" t="s">
        <v>1234</v>
      </c>
      <c r="F2050" t="s">
        <v>59</v>
      </c>
    </row>
    <row r="2051" spans="2:6" x14ac:dyDescent="0.2">
      <c r="B2051" t="s">
        <v>220</v>
      </c>
      <c r="C2051" t="s">
        <v>699</v>
      </c>
      <c r="D2051" t="s">
        <v>970</v>
      </c>
      <c r="E2051" t="s">
        <v>1235</v>
      </c>
      <c r="F2051" t="s">
        <v>47</v>
      </c>
    </row>
    <row r="2052" spans="2:6" x14ac:dyDescent="0.2">
      <c r="B2052"/>
      <c r="C2052"/>
      <c r="D2052"/>
      <c r="E2052"/>
      <c r="F2052" t="s">
        <v>4</v>
      </c>
    </row>
    <row r="2053" spans="2:6" x14ac:dyDescent="0.2">
      <c r="B2053"/>
      <c r="C2053"/>
      <c r="D2053"/>
      <c r="E2053"/>
      <c r="F2053" t="s">
        <v>5</v>
      </c>
    </row>
    <row r="2054" spans="2:6" x14ac:dyDescent="0.2">
      <c r="B2054"/>
      <c r="C2054"/>
      <c r="D2054"/>
      <c r="E2054"/>
      <c r="F2054" t="s">
        <v>7</v>
      </c>
    </row>
    <row r="2055" spans="2:6" x14ac:dyDescent="0.2">
      <c r="B2055"/>
      <c r="C2055"/>
      <c r="D2055"/>
      <c r="E2055"/>
      <c r="F2055" t="s">
        <v>8</v>
      </c>
    </row>
    <row r="2056" spans="2:6" x14ac:dyDescent="0.2">
      <c r="B2056"/>
      <c r="C2056"/>
      <c r="D2056"/>
      <c r="E2056"/>
      <c r="F2056" t="s">
        <v>25</v>
      </c>
    </row>
    <row r="2057" spans="2:6" x14ac:dyDescent="0.2">
      <c r="B2057"/>
      <c r="C2057"/>
      <c r="D2057"/>
      <c r="E2057"/>
      <c r="F2057" t="s">
        <v>9</v>
      </c>
    </row>
    <row r="2058" spans="2:6" x14ac:dyDescent="0.2">
      <c r="B2058"/>
      <c r="C2058"/>
      <c r="D2058"/>
      <c r="E2058"/>
      <c r="F2058" t="s">
        <v>27</v>
      </c>
    </row>
    <row r="2059" spans="2:6" x14ac:dyDescent="0.2">
      <c r="B2059"/>
      <c r="C2059"/>
      <c r="D2059"/>
      <c r="E2059"/>
      <c r="F2059" t="s">
        <v>10</v>
      </c>
    </row>
    <row r="2060" spans="2:6" x14ac:dyDescent="0.2">
      <c r="B2060"/>
      <c r="C2060"/>
      <c r="D2060"/>
      <c r="E2060"/>
      <c r="F2060" t="s">
        <v>29</v>
      </c>
    </row>
    <row r="2061" spans="2:6" x14ac:dyDescent="0.2">
      <c r="B2061"/>
      <c r="C2061"/>
      <c r="D2061"/>
      <c r="E2061"/>
      <c r="F2061" t="s">
        <v>37</v>
      </c>
    </row>
    <row r="2062" spans="2:6" x14ac:dyDescent="0.2">
      <c r="B2062"/>
      <c r="C2062"/>
      <c r="D2062"/>
      <c r="E2062"/>
      <c r="F2062" t="s">
        <v>13</v>
      </c>
    </row>
    <row r="2063" spans="2:6" x14ac:dyDescent="0.2">
      <c r="B2063"/>
      <c r="C2063"/>
      <c r="D2063"/>
      <c r="E2063"/>
      <c r="F2063" t="s">
        <v>14</v>
      </c>
    </row>
    <row r="2064" spans="2:6" x14ac:dyDescent="0.2">
      <c r="B2064"/>
      <c r="C2064"/>
      <c r="D2064"/>
      <c r="E2064"/>
      <c r="F2064" t="s">
        <v>15</v>
      </c>
    </row>
    <row r="2065" spans="2:6" x14ac:dyDescent="0.2">
      <c r="B2065"/>
      <c r="C2065"/>
      <c r="D2065"/>
      <c r="E2065"/>
      <c r="F2065" t="s">
        <v>30</v>
      </c>
    </row>
    <row r="2066" spans="2:6" x14ac:dyDescent="0.2">
      <c r="B2066"/>
      <c r="C2066"/>
      <c r="D2066"/>
      <c r="E2066"/>
      <c r="F2066" t="s">
        <v>31</v>
      </c>
    </row>
    <row r="2067" spans="2:6" x14ac:dyDescent="0.2">
      <c r="B2067"/>
      <c r="C2067"/>
      <c r="D2067"/>
      <c r="E2067"/>
      <c r="F2067" t="s">
        <v>32</v>
      </c>
    </row>
    <row r="2068" spans="2:6" x14ac:dyDescent="0.2">
      <c r="B2068"/>
      <c r="C2068"/>
      <c r="D2068"/>
      <c r="E2068"/>
      <c r="F2068" t="s">
        <v>38</v>
      </c>
    </row>
    <row r="2069" spans="2:6" x14ac:dyDescent="0.2">
      <c r="B2069" t="s">
        <v>221</v>
      </c>
      <c r="C2069" t="s">
        <v>700</v>
      </c>
      <c r="D2069" t="s">
        <v>969</v>
      </c>
      <c r="E2069" t="s">
        <v>965</v>
      </c>
      <c r="F2069" t="s">
        <v>125</v>
      </c>
    </row>
    <row r="2070" spans="2:6" x14ac:dyDescent="0.2">
      <c r="B2070"/>
      <c r="C2070"/>
      <c r="D2070"/>
      <c r="E2070"/>
      <c r="F2070" t="s">
        <v>4</v>
      </c>
    </row>
    <row r="2071" spans="2:6" x14ac:dyDescent="0.2">
      <c r="B2071"/>
      <c r="C2071"/>
      <c r="D2071"/>
      <c r="E2071"/>
      <c r="F2071" t="s">
        <v>5</v>
      </c>
    </row>
    <row r="2072" spans="2:6" x14ac:dyDescent="0.2">
      <c r="B2072"/>
      <c r="C2072"/>
      <c r="D2072"/>
      <c r="E2072"/>
      <c r="F2072" t="s">
        <v>6</v>
      </c>
    </row>
    <row r="2073" spans="2:6" x14ac:dyDescent="0.2">
      <c r="B2073"/>
      <c r="C2073"/>
      <c r="D2073"/>
      <c r="E2073"/>
      <c r="F2073" t="s">
        <v>7</v>
      </c>
    </row>
    <row r="2074" spans="2:6" x14ac:dyDescent="0.2">
      <c r="B2074"/>
      <c r="C2074"/>
      <c r="D2074"/>
      <c r="E2074"/>
      <c r="F2074" t="s">
        <v>8</v>
      </c>
    </row>
    <row r="2075" spans="2:6" x14ac:dyDescent="0.2">
      <c r="B2075"/>
      <c r="C2075"/>
      <c r="D2075"/>
      <c r="E2075"/>
      <c r="F2075" t="s">
        <v>24</v>
      </c>
    </row>
    <row r="2076" spans="2:6" x14ac:dyDescent="0.2">
      <c r="B2076"/>
      <c r="C2076"/>
      <c r="D2076"/>
      <c r="E2076"/>
      <c r="F2076" t="s">
        <v>25</v>
      </c>
    </row>
    <row r="2077" spans="2:6" x14ac:dyDescent="0.2">
      <c r="B2077"/>
      <c r="C2077"/>
      <c r="D2077"/>
      <c r="E2077"/>
      <c r="F2077" t="s">
        <v>9</v>
      </c>
    </row>
    <row r="2078" spans="2:6" x14ac:dyDescent="0.2">
      <c r="B2078"/>
      <c r="C2078"/>
      <c r="D2078"/>
      <c r="E2078"/>
      <c r="F2078" t="s">
        <v>27</v>
      </c>
    </row>
    <row r="2079" spans="2:6" x14ac:dyDescent="0.2">
      <c r="B2079"/>
      <c r="C2079"/>
      <c r="D2079"/>
      <c r="E2079"/>
      <c r="F2079" t="s">
        <v>59</v>
      </c>
    </row>
    <row r="2080" spans="2:6" x14ac:dyDescent="0.2">
      <c r="B2080"/>
      <c r="C2080"/>
      <c r="D2080"/>
      <c r="E2080"/>
      <c r="F2080" t="s">
        <v>10</v>
      </c>
    </row>
    <row r="2081" spans="2:6" x14ac:dyDescent="0.2">
      <c r="B2081"/>
      <c r="C2081"/>
      <c r="D2081"/>
      <c r="E2081"/>
      <c r="F2081" t="s">
        <v>21</v>
      </c>
    </row>
    <row r="2082" spans="2:6" x14ac:dyDescent="0.2">
      <c r="B2082"/>
      <c r="C2082"/>
      <c r="D2082"/>
      <c r="E2082"/>
      <c r="F2082" t="s">
        <v>11</v>
      </c>
    </row>
    <row r="2083" spans="2:6" x14ac:dyDescent="0.2">
      <c r="B2083"/>
      <c r="C2083"/>
      <c r="D2083"/>
      <c r="E2083"/>
      <c r="F2083" t="s">
        <v>22</v>
      </c>
    </row>
    <row r="2084" spans="2:6" x14ac:dyDescent="0.2">
      <c r="B2084"/>
      <c r="C2084"/>
      <c r="D2084"/>
      <c r="E2084"/>
      <c r="F2084" t="s">
        <v>51</v>
      </c>
    </row>
    <row r="2085" spans="2:6" x14ac:dyDescent="0.2">
      <c r="B2085"/>
      <c r="C2085"/>
      <c r="D2085"/>
      <c r="E2085"/>
      <c r="F2085" t="s">
        <v>37</v>
      </c>
    </row>
    <row r="2086" spans="2:6" x14ac:dyDescent="0.2">
      <c r="B2086"/>
      <c r="C2086"/>
      <c r="D2086"/>
      <c r="E2086"/>
      <c r="F2086" t="s">
        <v>13</v>
      </c>
    </row>
    <row r="2087" spans="2:6" x14ac:dyDescent="0.2">
      <c r="B2087"/>
      <c r="C2087"/>
      <c r="D2087"/>
      <c r="E2087"/>
      <c r="F2087" t="s">
        <v>52</v>
      </c>
    </row>
    <row r="2088" spans="2:6" x14ac:dyDescent="0.2">
      <c r="B2088"/>
      <c r="C2088"/>
      <c r="D2088"/>
      <c r="E2088"/>
      <c r="F2088" t="s">
        <v>14</v>
      </c>
    </row>
    <row r="2089" spans="2:6" x14ac:dyDescent="0.2">
      <c r="B2089"/>
      <c r="C2089"/>
      <c r="D2089"/>
      <c r="E2089"/>
      <c r="F2089" t="s">
        <v>15</v>
      </c>
    </row>
    <row r="2090" spans="2:6" x14ac:dyDescent="0.2">
      <c r="B2090"/>
      <c r="C2090"/>
      <c r="D2090"/>
      <c r="E2090"/>
      <c r="F2090" t="s">
        <v>30</v>
      </c>
    </row>
    <row r="2091" spans="2:6" x14ac:dyDescent="0.2">
      <c r="B2091"/>
      <c r="C2091"/>
      <c r="D2091"/>
      <c r="E2091"/>
      <c r="F2091" t="s">
        <v>53</v>
      </c>
    </row>
    <row r="2092" spans="2:6" x14ac:dyDescent="0.2">
      <c r="B2092"/>
      <c r="C2092"/>
      <c r="D2092"/>
      <c r="E2092"/>
      <c r="F2092" t="s">
        <v>31</v>
      </c>
    </row>
    <row r="2093" spans="2:6" x14ac:dyDescent="0.2">
      <c r="B2093"/>
      <c r="C2093"/>
      <c r="D2093"/>
      <c r="E2093"/>
      <c r="F2093" t="s">
        <v>32</v>
      </c>
    </row>
    <row r="2094" spans="2:6" x14ac:dyDescent="0.2">
      <c r="B2094"/>
      <c r="C2094"/>
      <c r="D2094"/>
      <c r="E2094"/>
      <c r="F2094" t="s">
        <v>54</v>
      </c>
    </row>
    <row r="2095" spans="2:6" x14ac:dyDescent="0.2">
      <c r="B2095"/>
      <c r="C2095"/>
      <c r="D2095"/>
      <c r="E2095"/>
      <c r="F2095" t="s">
        <v>38</v>
      </c>
    </row>
    <row r="2096" spans="2:6" x14ac:dyDescent="0.2">
      <c r="B2096"/>
      <c r="C2096"/>
      <c r="D2096"/>
      <c r="E2096"/>
      <c r="F2096" t="s">
        <v>55</v>
      </c>
    </row>
    <row r="2097" spans="2:6" x14ac:dyDescent="0.2">
      <c r="B2097"/>
      <c r="C2097"/>
      <c r="D2097"/>
      <c r="E2097"/>
      <c r="F2097" t="s">
        <v>56</v>
      </c>
    </row>
    <row r="2098" spans="2:6" x14ac:dyDescent="0.2">
      <c r="B2098"/>
      <c r="C2098"/>
      <c r="D2098"/>
      <c r="E2098"/>
      <c r="F2098" t="s">
        <v>33</v>
      </c>
    </row>
    <row r="2099" spans="2:6" x14ac:dyDescent="0.2">
      <c r="B2099"/>
      <c r="C2099"/>
      <c r="D2099"/>
      <c r="E2099"/>
      <c r="F2099" t="s">
        <v>57</v>
      </c>
    </row>
    <row r="2100" spans="2:6" x14ac:dyDescent="0.2">
      <c r="B2100" t="s">
        <v>222</v>
      </c>
      <c r="C2100" t="s">
        <v>1093</v>
      </c>
      <c r="D2100" t="s">
        <v>969</v>
      </c>
      <c r="E2100" t="s">
        <v>1236</v>
      </c>
      <c r="F2100" t="s">
        <v>43</v>
      </c>
    </row>
    <row r="2101" spans="2:6" x14ac:dyDescent="0.2">
      <c r="B2101"/>
      <c r="C2101"/>
      <c r="D2101"/>
      <c r="E2101"/>
      <c r="F2101" t="s">
        <v>44</v>
      </c>
    </row>
    <row r="2102" spans="2:6" x14ac:dyDescent="0.2">
      <c r="B2102"/>
      <c r="C2102"/>
      <c r="D2102"/>
      <c r="E2102"/>
      <c r="F2102" t="s">
        <v>4</v>
      </c>
    </row>
    <row r="2103" spans="2:6" x14ac:dyDescent="0.2">
      <c r="B2103"/>
      <c r="C2103"/>
      <c r="D2103"/>
      <c r="E2103"/>
      <c r="F2103" t="s">
        <v>5</v>
      </c>
    </row>
    <row r="2104" spans="2:6" x14ac:dyDescent="0.2">
      <c r="B2104"/>
      <c r="C2104"/>
      <c r="D2104"/>
      <c r="E2104"/>
      <c r="F2104" t="s">
        <v>7</v>
      </c>
    </row>
    <row r="2105" spans="2:6" x14ac:dyDescent="0.2">
      <c r="B2105"/>
      <c r="C2105"/>
      <c r="D2105"/>
      <c r="E2105"/>
      <c r="F2105" t="s">
        <v>8</v>
      </c>
    </row>
    <row r="2106" spans="2:6" x14ac:dyDescent="0.2">
      <c r="B2106"/>
      <c r="C2106"/>
      <c r="D2106"/>
      <c r="E2106"/>
      <c r="F2106" t="s">
        <v>24</v>
      </c>
    </row>
    <row r="2107" spans="2:6" x14ac:dyDescent="0.2">
      <c r="B2107"/>
      <c r="C2107"/>
      <c r="D2107"/>
      <c r="E2107"/>
      <c r="F2107" t="s">
        <v>25</v>
      </c>
    </row>
    <row r="2108" spans="2:6" x14ac:dyDescent="0.2">
      <c r="B2108"/>
      <c r="C2108"/>
      <c r="D2108"/>
      <c r="E2108"/>
      <c r="F2108" t="s">
        <v>9</v>
      </c>
    </row>
    <row r="2109" spans="2:6" x14ac:dyDescent="0.2">
      <c r="B2109"/>
      <c r="C2109"/>
      <c r="D2109"/>
      <c r="E2109"/>
      <c r="F2109" t="s">
        <v>27</v>
      </c>
    </row>
    <row r="2110" spans="2:6" x14ac:dyDescent="0.2">
      <c r="B2110"/>
      <c r="C2110"/>
      <c r="D2110"/>
      <c r="E2110"/>
      <c r="F2110" t="s">
        <v>10</v>
      </c>
    </row>
    <row r="2111" spans="2:6" x14ac:dyDescent="0.2">
      <c r="B2111"/>
      <c r="C2111"/>
      <c r="D2111"/>
      <c r="E2111"/>
      <c r="F2111" t="s">
        <v>11</v>
      </c>
    </row>
    <row r="2112" spans="2:6" x14ac:dyDescent="0.2">
      <c r="B2112"/>
      <c r="C2112"/>
      <c r="D2112"/>
      <c r="E2112"/>
      <c r="F2112" t="s">
        <v>39</v>
      </c>
    </row>
    <row r="2113" spans="2:6" x14ac:dyDescent="0.2">
      <c r="B2113"/>
      <c r="C2113"/>
      <c r="D2113"/>
      <c r="E2113"/>
      <c r="F2113" t="s">
        <v>12</v>
      </c>
    </row>
    <row r="2114" spans="2:6" x14ac:dyDescent="0.2">
      <c r="B2114"/>
      <c r="C2114"/>
      <c r="D2114"/>
      <c r="E2114"/>
      <c r="F2114" t="s">
        <v>29</v>
      </c>
    </row>
    <row r="2115" spans="2:6" x14ac:dyDescent="0.2">
      <c r="B2115"/>
      <c r="C2115"/>
      <c r="D2115"/>
      <c r="E2115"/>
      <c r="F2115" t="s">
        <v>37</v>
      </c>
    </row>
    <row r="2116" spans="2:6" x14ac:dyDescent="0.2">
      <c r="B2116"/>
      <c r="C2116"/>
      <c r="D2116"/>
      <c r="E2116"/>
      <c r="F2116" t="s">
        <v>13</v>
      </c>
    </row>
    <row r="2117" spans="2:6" x14ac:dyDescent="0.2">
      <c r="B2117"/>
      <c r="C2117"/>
      <c r="D2117"/>
      <c r="E2117"/>
      <c r="F2117" t="s">
        <v>52</v>
      </c>
    </row>
    <row r="2118" spans="2:6" x14ac:dyDescent="0.2">
      <c r="B2118"/>
      <c r="C2118"/>
      <c r="D2118"/>
      <c r="E2118"/>
      <c r="F2118" t="s">
        <v>14</v>
      </c>
    </row>
    <row r="2119" spans="2:6" x14ac:dyDescent="0.2">
      <c r="B2119"/>
      <c r="C2119"/>
      <c r="D2119"/>
      <c r="E2119"/>
      <c r="F2119" t="s">
        <v>15</v>
      </c>
    </row>
    <row r="2120" spans="2:6" x14ac:dyDescent="0.2">
      <c r="B2120"/>
      <c r="C2120"/>
      <c r="D2120"/>
      <c r="E2120"/>
      <c r="F2120" t="s">
        <v>30</v>
      </c>
    </row>
    <row r="2121" spans="2:6" x14ac:dyDescent="0.2">
      <c r="B2121"/>
      <c r="C2121"/>
      <c r="D2121"/>
      <c r="E2121"/>
      <c r="F2121" t="s">
        <v>31</v>
      </c>
    </row>
    <row r="2122" spans="2:6" x14ac:dyDescent="0.2">
      <c r="B2122"/>
      <c r="C2122"/>
      <c r="D2122"/>
      <c r="E2122"/>
      <c r="F2122" t="s">
        <v>32</v>
      </c>
    </row>
    <row r="2123" spans="2:6" x14ac:dyDescent="0.2">
      <c r="B2123" t="s">
        <v>223</v>
      </c>
      <c r="C2123" t="s">
        <v>701</v>
      </c>
      <c r="D2123" t="s">
        <v>969</v>
      </c>
      <c r="E2123" t="s">
        <v>965</v>
      </c>
      <c r="F2123" t="s">
        <v>4</v>
      </c>
    </row>
    <row r="2124" spans="2:6" x14ac:dyDescent="0.2">
      <c r="B2124"/>
      <c r="C2124"/>
      <c r="D2124"/>
      <c r="E2124"/>
      <c r="F2124" t="s">
        <v>5</v>
      </c>
    </row>
    <row r="2125" spans="2:6" x14ac:dyDescent="0.2">
      <c r="B2125"/>
      <c r="C2125"/>
      <c r="D2125"/>
      <c r="E2125"/>
      <c r="F2125" t="s">
        <v>7</v>
      </c>
    </row>
    <row r="2126" spans="2:6" x14ac:dyDescent="0.2">
      <c r="B2126"/>
      <c r="C2126"/>
      <c r="D2126"/>
      <c r="E2126"/>
      <c r="F2126" t="s">
        <v>8</v>
      </c>
    </row>
    <row r="2127" spans="2:6" x14ac:dyDescent="0.2">
      <c r="B2127"/>
      <c r="C2127"/>
      <c r="D2127"/>
      <c r="E2127"/>
      <c r="F2127" t="s">
        <v>24</v>
      </c>
    </row>
    <row r="2128" spans="2:6" x14ac:dyDescent="0.2">
      <c r="B2128"/>
      <c r="C2128"/>
      <c r="D2128"/>
      <c r="E2128"/>
      <c r="F2128" t="s">
        <v>25</v>
      </c>
    </row>
    <row r="2129" spans="2:6" x14ac:dyDescent="0.2">
      <c r="B2129"/>
      <c r="C2129"/>
      <c r="D2129"/>
      <c r="E2129"/>
      <c r="F2129" t="s">
        <v>9</v>
      </c>
    </row>
    <row r="2130" spans="2:6" x14ac:dyDescent="0.2">
      <c r="B2130"/>
      <c r="C2130"/>
      <c r="D2130"/>
      <c r="E2130"/>
      <c r="F2130" t="s">
        <v>20</v>
      </c>
    </row>
    <row r="2131" spans="2:6" x14ac:dyDescent="0.2">
      <c r="B2131"/>
      <c r="C2131"/>
      <c r="D2131"/>
      <c r="E2131"/>
      <c r="F2131" t="s">
        <v>27</v>
      </c>
    </row>
    <row r="2132" spans="2:6" x14ac:dyDescent="0.2">
      <c r="B2132"/>
      <c r="C2132"/>
      <c r="D2132"/>
      <c r="E2132"/>
      <c r="F2132" t="s">
        <v>10</v>
      </c>
    </row>
    <row r="2133" spans="2:6" x14ac:dyDescent="0.2">
      <c r="B2133"/>
      <c r="C2133"/>
      <c r="D2133"/>
      <c r="E2133"/>
      <c r="F2133" t="s">
        <v>51</v>
      </c>
    </row>
    <row r="2134" spans="2:6" x14ac:dyDescent="0.2">
      <c r="B2134"/>
      <c r="C2134"/>
      <c r="D2134"/>
      <c r="E2134"/>
      <c r="F2134" t="s">
        <v>39</v>
      </c>
    </row>
    <row r="2135" spans="2:6" x14ac:dyDescent="0.2">
      <c r="B2135"/>
      <c r="C2135"/>
      <c r="D2135"/>
      <c r="E2135"/>
      <c r="F2135" t="s">
        <v>37</v>
      </c>
    </row>
    <row r="2136" spans="2:6" x14ac:dyDescent="0.2">
      <c r="B2136"/>
      <c r="C2136"/>
      <c r="D2136"/>
      <c r="E2136"/>
      <c r="F2136" t="s">
        <v>13</v>
      </c>
    </row>
    <row r="2137" spans="2:6" x14ac:dyDescent="0.2">
      <c r="B2137"/>
      <c r="C2137"/>
      <c r="D2137"/>
      <c r="E2137"/>
      <c r="F2137" t="s">
        <v>14</v>
      </c>
    </row>
    <row r="2138" spans="2:6" x14ac:dyDescent="0.2">
      <c r="B2138"/>
      <c r="C2138"/>
      <c r="D2138"/>
      <c r="E2138"/>
      <c r="F2138" t="s">
        <v>15</v>
      </c>
    </row>
    <row r="2139" spans="2:6" x14ac:dyDescent="0.2">
      <c r="B2139"/>
      <c r="C2139"/>
      <c r="D2139"/>
      <c r="E2139"/>
      <c r="F2139" t="s">
        <v>30</v>
      </c>
    </row>
    <row r="2140" spans="2:6" x14ac:dyDescent="0.2">
      <c r="B2140"/>
      <c r="C2140"/>
      <c r="D2140"/>
      <c r="E2140"/>
      <c r="F2140" t="s">
        <v>53</v>
      </c>
    </row>
    <row r="2141" spans="2:6" x14ac:dyDescent="0.2">
      <c r="B2141"/>
      <c r="C2141"/>
      <c r="D2141"/>
      <c r="E2141"/>
      <c r="F2141" t="s">
        <v>31</v>
      </c>
    </row>
    <row r="2142" spans="2:6" x14ac:dyDescent="0.2">
      <c r="B2142"/>
      <c r="C2142"/>
      <c r="D2142"/>
      <c r="E2142"/>
      <c r="F2142" t="s">
        <v>32</v>
      </c>
    </row>
    <row r="2143" spans="2:6" x14ac:dyDescent="0.2">
      <c r="B2143"/>
      <c r="C2143"/>
      <c r="D2143"/>
      <c r="E2143"/>
      <c r="F2143" t="s">
        <v>54</v>
      </c>
    </row>
    <row r="2144" spans="2:6" x14ac:dyDescent="0.2">
      <c r="B2144"/>
      <c r="C2144"/>
      <c r="D2144"/>
      <c r="E2144"/>
      <c r="F2144" t="s">
        <v>38</v>
      </c>
    </row>
    <row r="2145" spans="2:6" x14ac:dyDescent="0.2">
      <c r="B2145"/>
      <c r="C2145"/>
      <c r="D2145"/>
      <c r="E2145"/>
      <c r="F2145" t="s">
        <v>55</v>
      </c>
    </row>
    <row r="2146" spans="2:6" x14ac:dyDescent="0.2">
      <c r="B2146"/>
      <c r="C2146"/>
      <c r="D2146"/>
      <c r="E2146"/>
      <c r="F2146" t="s">
        <v>56</v>
      </c>
    </row>
    <row r="2147" spans="2:6" x14ac:dyDescent="0.2">
      <c r="B2147"/>
      <c r="C2147"/>
      <c r="D2147"/>
      <c r="E2147"/>
      <c r="F2147" t="s">
        <v>33</v>
      </c>
    </row>
    <row r="2148" spans="2:6" x14ac:dyDescent="0.2">
      <c r="B2148"/>
      <c r="C2148"/>
      <c r="D2148"/>
      <c r="E2148"/>
      <c r="F2148" t="s">
        <v>57</v>
      </c>
    </row>
    <row r="2149" spans="2:6" x14ac:dyDescent="0.2">
      <c r="B2149"/>
      <c r="C2149"/>
      <c r="D2149"/>
      <c r="E2149"/>
      <c r="F2149" t="s">
        <v>1013</v>
      </c>
    </row>
    <row r="2150" spans="2:6" x14ac:dyDescent="0.2">
      <c r="B2150" t="s">
        <v>1117</v>
      </c>
      <c r="C2150" t="s">
        <v>1118</v>
      </c>
      <c r="D2150" t="s">
        <v>969</v>
      </c>
      <c r="E2150" t="s">
        <v>965</v>
      </c>
      <c r="F2150" t="s">
        <v>70</v>
      </c>
    </row>
    <row r="2151" spans="2:6" x14ac:dyDescent="0.2">
      <c r="B2151" t="s">
        <v>224</v>
      </c>
      <c r="C2151" t="s">
        <v>702</v>
      </c>
      <c r="D2151" t="s">
        <v>970</v>
      </c>
      <c r="E2151" t="s">
        <v>1155</v>
      </c>
      <c r="F2151" t="s">
        <v>5</v>
      </c>
    </row>
    <row r="2152" spans="2:6" x14ac:dyDescent="0.2">
      <c r="B2152"/>
      <c r="C2152"/>
      <c r="D2152"/>
      <c r="E2152"/>
      <c r="F2152" t="s">
        <v>7</v>
      </c>
    </row>
    <row r="2153" spans="2:6" x14ac:dyDescent="0.2">
      <c r="B2153"/>
      <c r="C2153"/>
      <c r="D2153"/>
      <c r="E2153"/>
      <c r="F2153" t="s">
        <v>8</v>
      </c>
    </row>
    <row r="2154" spans="2:6" x14ac:dyDescent="0.2">
      <c r="B2154"/>
      <c r="C2154"/>
      <c r="D2154"/>
      <c r="E2154"/>
      <c r="F2154" t="s">
        <v>25</v>
      </c>
    </row>
    <row r="2155" spans="2:6" x14ac:dyDescent="0.2">
      <c r="B2155"/>
      <c r="C2155"/>
      <c r="D2155"/>
      <c r="E2155"/>
      <c r="F2155" t="s">
        <v>9</v>
      </c>
    </row>
    <row r="2156" spans="2:6" x14ac:dyDescent="0.2">
      <c r="B2156"/>
      <c r="C2156"/>
      <c r="D2156"/>
      <c r="E2156"/>
      <c r="F2156" t="s">
        <v>15</v>
      </c>
    </row>
    <row r="2157" spans="2:6" x14ac:dyDescent="0.2">
      <c r="B2157" t="s">
        <v>225</v>
      </c>
      <c r="C2157" t="s">
        <v>703</v>
      </c>
      <c r="D2157" t="s">
        <v>969</v>
      </c>
      <c r="E2157" t="s">
        <v>1237</v>
      </c>
      <c r="F2157" t="s">
        <v>5</v>
      </c>
    </row>
    <row r="2158" spans="2:6" x14ac:dyDescent="0.2">
      <c r="B2158"/>
      <c r="C2158"/>
      <c r="D2158"/>
      <c r="E2158"/>
      <c r="F2158" t="s">
        <v>29</v>
      </c>
    </row>
    <row r="2159" spans="2:6" x14ac:dyDescent="0.2">
      <c r="B2159"/>
      <c r="C2159"/>
      <c r="D2159"/>
      <c r="E2159"/>
      <c r="F2159" t="s">
        <v>15</v>
      </c>
    </row>
    <row r="2160" spans="2:6" x14ac:dyDescent="0.2">
      <c r="B2160" t="s">
        <v>226</v>
      </c>
      <c r="C2160" t="s">
        <v>704</v>
      </c>
      <c r="D2160" t="s">
        <v>970</v>
      </c>
      <c r="E2160" t="s">
        <v>1175</v>
      </c>
      <c r="F2160" t="s">
        <v>5</v>
      </c>
    </row>
    <row r="2161" spans="2:6" x14ac:dyDescent="0.2">
      <c r="B2161"/>
      <c r="C2161"/>
      <c r="D2161"/>
      <c r="E2161"/>
      <c r="F2161" t="s">
        <v>6</v>
      </c>
    </row>
    <row r="2162" spans="2:6" x14ac:dyDescent="0.2">
      <c r="B2162"/>
      <c r="C2162"/>
      <c r="D2162"/>
      <c r="E2162"/>
      <c r="F2162" t="s">
        <v>7</v>
      </c>
    </row>
    <row r="2163" spans="2:6" x14ac:dyDescent="0.2">
      <c r="B2163"/>
      <c r="C2163"/>
      <c r="D2163"/>
      <c r="E2163"/>
      <c r="F2163" t="s">
        <v>8</v>
      </c>
    </row>
    <row r="2164" spans="2:6" x14ac:dyDescent="0.2">
      <c r="B2164"/>
      <c r="C2164"/>
      <c r="D2164"/>
      <c r="E2164"/>
      <c r="F2164" t="s">
        <v>10</v>
      </c>
    </row>
    <row r="2165" spans="2:6" x14ac:dyDescent="0.2">
      <c r="B2165"/>
      <c r="C2165"/>
      <c r="D2165"/>
      <c r="E2165"/>
      <c r="F2165" t="s">
        <v>12</v>
      </c>
    </row>
    <row r="2166" spans="2:6" x14ac:dyDescent="0.2">
      <c r="B2166"/>
      <c r="C2166"/>
      <c r="D2166"/>
      <c r="E2166"/>
      <c r="F2166" t="s">
        <v>15</v>
      </c>
    </row>
    <row r="2167" spans="2:6" x14ac:dyDescent="0.2">
      <c r="B2167" t="s">
        <v>227</v>
      </c>
      <c r="C2167" t="s">
        <v>705</v>
      </c>
      <c r="D2167" t="s">
        <v>969</v>
      </c>
      <c r="E2167" t="s">
        <v>1160</v>
      </c>
      <c r="F2167" t="s">
        <v>5</v>
      </c>
    </row>
    <row r="2168" spans="2:6" x14ac:dyDescent="0.2">
      <c r="B2168"/>
      <c r="C2168"/>
      <c r="D2168"/>
      <c r="E2168"/>
      <c r="F2168" t="s">
        <v>6</v>
      </c>
    </row>
    <row r="2169" spans="2:6" x14ac:dyDescent="0.2">
      <c r="B2169"/>
      <c r="C2169"/>
      <c r="D2169"/>
      <c r="E2169"/>
      <c r="F2169" t="s">
        <v>7</v>
      </c>
    </row>
    <row r="2170" spans="2:6" x14ac:dyDescent="0.2">
      <c r="B2170"/>
      <c r="C2170"/>
      <c r="D2170"/>
      <c r="E2170"/>
      <c r="F2170" t="s">
        <v>8</v>
      </c>
    </row>
    <row r="2171" spans="2:6" x14ac:dyDescent="0.2">
      <c r="B2171"/>
      <c r="C2171"/>
      <c r="D2171"/>
      <c r="E2171"/>
      <c r="F2171" t="s">
        <v>25</v>
      </c>
    </row>
    <row r="2172" spans="2:6" x14ac:dyDescent="0.2">
      <c r="B2172"/>
      <c r="C2172"/>
      <c r="D2172"/>
      <c r="E2172"/>
      <c r="F2172" t="s">
        <v>9</v>
      </c>
    </row>
    <row r="2173" spans="2:6" x14ac:dyDescent="0.2">
      <c r="B2173"/>
      <c r="C2173"/>
      <c r="D2173"/>
      <c r="E2173"/>
      <c r="F2173" t="s">
        <v>10</v>
      </c>
    </row>
    <row r="2174" spans="2:6" x14ac:dyDescent="0.2">
      <c r="B2174"/>
      <c r="C2174"/>
      <c r="D2174"/>
      <c r="E2174"/>
      <c r="F2174" t="s">
        <v>12</v>
      </c>
    </row>
    <row r="2175" spans="2:6" x14ac:dyDescent="0.2">
      <c r="B2175"/>
      <c r="C2175"/>
      <c r="D2175"/>
      <c r="E2175"/>
      <c r="F2175" t="s">
        <v>29</v>
      </c>
    </row>
    <row r="2176" spans="2:6" x14ac:dyDescent="0.2">
      <c r="B2176"/>
      <c r="C2176"/>
      <c r="D2176"/>
      <c r="E2176"/>
      <c r="F2176" t="s">
        <v>37</v>
      </c>
    </row>
    <row r="2177" spans="2:6" x14ac:dyDescent="0.2">
      <c r="B2177"/>
      <c r="C2177"/>
      <c r="D2177"/>
      <c r="E2177"/>
      <c r="F2177" t="s">
        <v>15</v>
      </c>
    </row>
    <row r="2178" spans="2:6" x14ac:dyDescent="0.2">
      <c r="B2178" t="s">
        <v>1015</v>
      </c>
      <c r="C2178" t="s">
        <v>1016</v>
      </c>
      <c r="D2178" t="s">
        <v>969</v>
      </c>
      <c r="E2178" t="s">
        <v>1126</v>
      </c>
      <c r="F2178" t="s">
        <v>5</v>
      </c>
    </row>
    <row r="2179" spans="2:6" x14ac:dyDescent="0.2">
      <c r="B2179"/>
      <c r="C2179"/>
      <c r="D2179"/>
      <c r="E2179"/>
      <c r="F2179" t="s">
        <v>29</v>
      </c>
    </row>
    <row r="2180" spans="2:6" x14ac:dyDescent="0.2">
      <c r="B2180" t="s">
        <v>228</v>
      </c>
      <c r="C2180" t="s">
        <v>706</v>
      </c>
      <c r="D2180" t="s">
        <v>969</v>
      </c>
      <c r="E2180" t="s">
        <v>1238</v>
      </c>
      <c r="F2180" t="s">
        <v>29</v>
      </c>
    </row>
    <row r="2181" spans="2:6" x14ac:dyDescent="0.2">
      <c r="B2181" t="s">
        <v>1071</v>
      </c>
      <c r="C2181" t="s">
        <v>1073</v>
      </c>
      <c r="D2181" t="s">
        <v>969</v>
      </c>
      <c r="E2181" t="s">
        <v>1239</v>
      </c>
      <c r="F2181" t="s">
        <v>31</v>
      </c>
    </row>
    <row r="2182" spans="2:6" x14ac:dyDescent="0.2">
      <c r="B2182"/>
      <c r="C2182"/>
      <c r="D2182"/>
      <c r="E2182"/>
      <c r="F2182" t="s">
        <v>32</v>
      </c>
    </row>
    <row r="2183" spans="2:6" x14ac:dyDescent="0.2">
      <c r="B2183" t="s">
        <v>229</v>
      </c>
      <c r="C2183" t="s">
        <v>707</v>
      </c>
      <c r="D2183" t="s">
        <v>970</v>
      </c>
      <c r="E2183" t="s">
        <v>1240</v>
      </c>
      <c r="F2183" t="s">
        <v>42</v>
      </c>
    </row>
    <row r="2184" spans="2:6" x14ac:dyDescent="0.2">
      <c r="B2184" t="s">
        <v>230</v>
      </c>
      <c r="C2184" t="s">
        <v>708</v>
      </c>
      <c r="D2184" t="s">
        <v>969</v>
      </c>
      <c r="E2184" t="s">
        <v>1134</v>
      </c>
      <c r="F2184" t="s">
        <v>5</v>
      </c>
    </row>
    <row r="2185" spans="2:6" x14ac:dyDescent="0.2">
      <c r="B2185"/>
      <c r="C2185"/>
      <c r="D2185"/>
      <c r="E2185"/>
      <c r="F2185" t="s">
        <v>10</v>
      </c>
    </row>
    <row r="2186" spans="2:6" x14ac:dyDescent="0.2">
      <c r="B2186"/>
      <c r="C2186"/>
      <c r="D2186"/>
      <c r="E2186"/>
      <c r="F2186" t="s">
        <v>29</v>
      </c>
    </row>
    <row r="2187" spans="2:6" x14ac:dyDescent="0.2">
      <c r="B2187"/>
      <c r="C2187"/>
      <c r="D2187"/>
      <c r="E2187"/>
      <c r="F2187" t="s">
        <v>14</v>
      </c>
    </row>
    <row r="2188" spans="2:6" x14ac:dyDescent="0.2">
      <c r="B2188"/>
      <c r="C2188"/>
      <c r="D2188"/>
      <c r="E2188"/>
      <c r="F2188" t="s">
        <v>15</v>
      </c>
    </row>
    <row r="2189" spans="2:6" x14ac:dyDescent="0.2">
      <c r="B2189" t="s">
        <v>1061</v>
      </c>
      <c r="C2189" t="s">
        <v>1063</v>
      </c>
      <c r="D2189" t="s">
        <v>969</v>
      </c>
      <c r="E2189" t="s">
        <v>1241</v>
      </c>
      <c r="F2189" t="s">
        <v>29</v>
      </c>
    </row>
    <row r="2190" spans="2:6" x14ac:dyDescent="0.2">
      <c r="B2190" t="s">
        <v>534</v>
      </c>
      <c r="C2190" t="s">
        <v>709</v>
      </c>
      <c r="D2190" t="s">
        <v>969</v>
      </c>
      <c r="E2190" t="s">
        <v>1242</v>
      </c>
      <c r="F2190" t="s">
        <v>5</v>
      </c>
    </row>
    <row r="2191" spans="2:6" x14ac:dyDescent="0.2">
      <c r="B2191"/>
      <c r="C2191"/>
      <c r="D2191"/>
      <c r="E2191"/>
      <c r="F2191" t="s">
        <v>27</v>
      </c>
    </row>
    <row r="2192" spans="2:6" x14ac:dyDescent="0.2">
      <c r="B2192"/>
      <c r="C2192"/>
      <c r="D2192"/>
      <c r="E2192"/>
      <c r="F2192" t="s">
        <v>10</v>
      </c>
    </row>
    <row r="2193" spans="2:6" x14ac:dyDescent="0.2">
      <c r="B2193"/>
      <c r="C2193"/>
      <c r="D2193"/>
      <c r="E2193"/>
      <c r="F2193" t="s">
        <v>29</v>
      </c>
    </row>
    <row r="2194" spans="2:6" x14ac:dyDescent="0.2">
      <c r="B2194" t="s">
        <v>231</v>
      </c>
      <c r="C2194" t="s">
        <v>710</v>
      </c>
      <c r="D2194" t="s">
        <v>969</v>
      </c>
      <c r="E2194" t="s">
        <v>1175</v>
      </c>
      <c r="F2194" t="s">
        <v>5</v>
      </c>
    </row>
    <row r="2195" spans="2:6" x14ac:dyDescent="0.2">
      <c r="B2195"/>
      <c r="C2195"/>
      <c r="D2195"/>
      <c r="E2195"/>
      <c r="F2195" t="s">
        <v>12</v>
      </c>
    </row>
    <row r="2196" spans="2:6" x14ac:dyDescent="0.2">
      <c r="B2196"/>
      <c r="C2196"/>
      <c r="D2196"/>
      <c r="E2196"/>
      <c r="F2196" t="s">
        <v>29</v>
      </c>
    </row>
    <row r="2197" spans="2:6" x14ac:dyDescent="0.2">
      <c r="B2197"/>
      <c r="C2197"/>
      <c r="D2197"/>
      <c r="E2197"/>
      <c r="F2197" t="s">
        <v>15</v>
      </c>
    </row>
    <row r="2198" spans="2:6" x14ac:dyDescent="0.2">
      <c r="B2198" t="s">
        <v>232</v>
      </c>
      <c r="C2198" t="s">
        <v>711</v>
      </c>
      <c r="D2198" t="s">
        <v>969</v>
      </c>
      <c r="E2198" t="s">
        <v>1134</v>
      </c>
      <c r="F2198" t="s">
        <v>11</v>
      </c>
    </row>
    <row r="2199" spans="2:6" x14ac:dyDescent="0.2">
      <c r="B2199" t="s">
        <v>233</v>
      </c>
      <c r="C2199" t="s">
        <v>712</v>
      </c>
      <c r="D2199" t="s">
        <v>970</v>
      </c>
      <c r="E2199" t="s">
        <v>965</v>
      </c>
      <c r="F2199" t="s">
        <v>35</v>
      </c>
    </row>
    <row r="2200" spans="2:6" x14ac:dyDescent="0.2">
      <c r="B2200"/>
      <c r="C2200"/>
      <c r="D2200"/>
      <c r="E2200"/>
      <c r="F2200" t="s">
        <v>46</v>
      </c>
    </row>
    <row r="2201" spans="2:6" x14ac:dyDescent="0.2">
      <c r="B2201"/>
      <c r="C2201"/>
      <c r="D2201"/>
      <c r="E2201"/>
      <c r="F2201" t="s">
        <v>107</v>
      </c>
    </row>
    <row r="2202" spans="2:6" x14ac:dyDescent="0.2">
      <c r="B2202"/>
      <c r="C2202"/>
      <c r="D2202"/>
      <c r="E2202"/>
      <c r="F2202" t="s">
        <v>108</v>
      </c>
    </row>
    <row r="2203" spans="2:6" x14ac:dyDescent="0.2">
      <c r="B2203" t="s">
        <v>234</v>
      </c>
      <c r="C2203" t="s">
        <v>713</v>
      </c>
      <c r="D2203" t="s">
        <v>970</v>
      </c>
      <c r="E2203" t="s">
        <v>1168</v>
      </c>
      <c r="F2203" t="s">
        <v>10</v>
      </c>
    </row>
    <row r="2204" spans="2:6" x14ac:dyDescent="0.2">
      <c r="B2204"/>
      <c r="C2204"/>
      <c r="D2204"/>
      <c r="E2204"/>
      <c r="F2204" t="s">
        <v>107</v>
      </c>
    </row>
    <row r="2205" spans="2:6" x14ac:dyDescent="0.2">
      <c r="B2205"/>
      <c r="C2205"/>
      <c r="D2205"/>
      <c r="E2205"/>
      <c r="F2205" t="s">
        <v>108</v>
      </c>
    </row>
    <row r="2206" spans="2:6" x14ac:dyDescent="0.2">
      <c r="B2206" t="s">
        <v>235</v>
      </c>
      <c r="C2206" t="s">
        <v>714</v>
      </c>
      <c r="D2206" t="s">
        <v>969</v>
      </c>
      <c r="E2206" t="s">
        <v>1182</v>
      </c>
      <c r="F2206" t="s">
        <v>47</v>
      </c>
    </row>
    <row r="2207" spans="2:6" x14ac:dyDescent="0.2">
      <c r="B2207"/>
      <c r="C2207"/>
      <c r="D2207"/>
      <c r="E2207"/>
      <c r="F2207" t="s">
        <v>4</v>
      </c>
    </row>
    <row r="2208" spans="2:6" x14ac:dyDescent="0.2">
      <c r="B2208"/>
      <c r="C2208"/>
      <c r="D2208"/>
      <c r="E2208"/>
      <c r="F2208" t="s">
        <v>5</v>
      </c>
    </row>
    <row r="2209" spans="2:6" x14ac:dyDescent="0.2">
      <c r="B2209"/>
      <c r="C2209"/>
      <c r="D2209"/>
      <c r="E2209"/>
      <c r="F2209" t="s">
        <v>6</v>
      </c>
    </row>
    <row r="2210" spans="2:6" x14ac:dyDescent="0.2">
      <c r="B2210"/>
      <c r="C2210"/>
      <c r="D2210"/>
      <c r="E2210"/>
      <c r="F2210" t="s">
        <v>7</v>
      </c>
    </row>
    <row r="2211" spans="2:6" x14ac:dyDescent="0.2">
      <c r="B2211"/>
      <c r="C2211"/>
      <c r="D2211"/>
      <c r="E2211"/>
      <c r="F2211" t="s">
        <v>8</v>
      </c>
    </row>
    <row r="2212" spans="2:6" x14ac:dyDescent="0.2">
      <c r="B2212"/>
      <c r="C2212"/>
      <c r="D2212"/>
      <c r="E2212"/>
      <c r="F2212" t="s">
        <v>25</v>
      </c>
    </row>
    <row r="2213" spans="2:6" x14ac:dyDescent="0.2">
      <c r="B2213"/>
      <c r="C2213"/>
      <c r="D2213"/>
      <c r="E2213"/>
      <c r="F2213" t="s">
        <v>9</v>
      </c>
    </row>
    <row r="2214" spans="2:6" x14ac:dyDescent="0.2">
      <c r="B2214"/>
      <c r="C2214"/>
      <c r="D2214"/>
      <c r="E2214"/>
      <c r="F2214" t="s">
        <v>10</v>
      </c>
    </row>
    <row r="2215" spans="2:6" x14ac:dyDescent="0.2">
      <c r="B2215"/>
      <c r="C2215"/>
      <c r="D2215"/>
      <c r="E2215"/>
      <c r="F2215" t="s">
        <v>12</v>
      </c>
    </row>
    <row r="2216" spans="2:6" x14ac:dyDescent="0.2">
      <c r="B2216"/>
      <c r="C2216"/>
      <c r="D2216"/>
      <c r="E2216"/>
      <c r="F2216" t="s">
        <v>29</v>
      </c>
    </row>
    <row r="2217" spans="2:6" x14ac:dyDescent="0.2">
      <c r="B2217"/>
      <c r="C2217"/>
      <c r="D2217"/>
      <c r="E2217"/>
      <c r="F2217" t="s">
        <v>37</v>
      </c>
    </row>
    <row r="2218" spans="2:6" x14ac:dyDescent="0.2">
      <c r="B2218"/>
      <c r="C2218"/>
      <c r="D2218"/>
      <c r="E2218"/>
      <c r="F2218" t="s">
        <v>13</v>
      </c>
    </row>
    <row r="2219" spans="2:6" x14ac:dyDescent="0.2">
      <c r="B2219"/>
      <c r="C2219"/>
      <c r="D2219"/>
      <c r="E2219"/>
      <c r="F2219" t="s">
        <v>14</v>
      </c>
    </row>
    <row r="2220" spans="2:6" x14ac:dyDescent="0.2">
      <c r="B2220"/>
      <c r="C2220"/>
      <c r="D2220"/>
      <c r="E2220"/>
      <c r="F2220" t="s">
        <v>15</v>
      </c>
    </row>
    <row r="2221" spans="2:6" x14ac:dyDescent="0.2">
      <c r="B2221"/>
      <c r="C2221"/>
      <c r="D2221"/>
      <c r="E2221"/>
      <c r="F2221" t="s">
        <v>31</v>
      </c>
    </row>
    <row r="2222" spans="2:6" x14ac:dyDescent="0.2">
      <c r="B2222"/>
      <c r="C2222"/>
      <c r="D2222"/>
      <c r="E2222"/>
      <c r="F2222" t="s">
        <v>32</v>
      </c>
    </row>
    <row r="2223" spans="2:6" x14ac:dyDescent="0.2">
      <c r="B2223" t="s">
        <v>832</v>
      </c>
      <c r="C2223" t="s">
        <v>834</v>
      </c>
      <c r="D2223" t="s">
        <v>969</v>
      </c>
      <c r="E2223" t="s">
        <v>1243</v>
      </c>
      <c r="F2223" t="s">
        <v>35</v>
      </c>
    </row>
    <row r="2224" spans="2:6" x14ac:dyDescent="0.2">
      <c r="B2224"/>
      <c r="C2224"/>
      <c r="D2224"/>
      <c r="E2224"/>
      <c r="F2224" t="s">
        <v>36</v>
      </c>
    </row>
    <row r="2225" spans="2:6" x14ac:dyDescent="0.2">
      <c r="B2225"/>
      <c r="C2225"/>
      <c r="D2225"/>
      <c r="E2225"/>
      <c r="F2225" t="s">
        <v>42</v>
      </c>
    </row>
    <row r="2226" spans="2:6" x14ac:dyDescent="0.2">
      <c r="B2226" t="s">
        <v>236</v>
      </c>
      <c r="C2226" t="s">
        <v>715</v>
      </c>
      <c r="D2226" t="s">
        <v>969</v>
      </c>
      <c r="E2226" t="s">
        <v>1244</v>
      </c>
      <c r="F2226" t="s">
        <v>5</v>
      </c>
    </row>
    <row r="2227" spans="2:6" x14ac:dyDescent="0.2">
      <c r="B2227"/>
      <c r="C2227"/>
      <c r="D2227"/>
      <c r="E2227"/>
      <c r="F2227" t="s">
        <v>27</v>
      </c>
    </row>
    <row r="2228" spans="2:6" x14ac:dyDescent="0.2">
      <c r="B2228"/>
      <c r="C2228"/>
      <c r="D2228"/>
      <c r="E2228"/>
      <c r="F2228" t="s">
        <v>12</v>
      </c>
    </row>
    <row r="2229" spans="2:6" x14ac:dyDescent="0.2">
      <c r="B2229"/>
      <c r="C2229"/>
      <c r="D2229"/>
      <c r="E2229"/>
      <c r="F2229" t="s">
        <v>13</v>
      </c>
    </row>
    <row r="2230" spans="2:6" x14ac:dyDescent="0.2">
      <c r="B2230"/>
      <c r="C2230"/>
      <c r="D2230"/>
      <c r="E2230"/>
      <c r="F2230" t="s">
        <v>14</v>
      </c>
    </row>
    <row r="2231" spans="2:6" x14ac:dyDescent="0.2">
      <c r="B2231"/>
      <c r="C2231"/>
      <c r="D2231"/>
      <c r="E2231"/>
      <c r="F2231" t="s">
        <v>15</v>
      </c>
    </row>
    <row r="2232" spans="2:6" x14ac:dyDescent="0.2">
      <c r="B2232" t="s">
        <v>237</v>
      </c>
      <c r="C2232" t="s">
        <v>716</v>
      </c>
      <c r="D2232" t="s">
        <v>969</v>
      </c>
      <c r="E2232" t="s">
        <v>1245</v>
      </c>
      <c r="F2232" t="s">
        <v>35</v>
      </c>
    </row>
    <row r="2233" spans="2:6" x14ac:dyDescent="0.2">
      <c r="B2233"/>
      <c r="C2233"/>
      <c r="D2233"/>
      <c r="E2233"/>
      <c r="F2233" t="s">
        <v>124</v>
      </c>
    </row>
    <row r="2234" spans="2:6" x14ac:dyDescent="0.2">
      <c r="B2234"/>
      <c r="C2234"/>
      <c r="D2234"/>
      <c r="E2234"/>
      <c r="F2234" t="s">
        <v>36</v>
      </c>
    </row>
    <row r="2235" spans="2:6" x14ac:dyDescent="0.2">
      <c r="B2235"/>
      <c r="C2235"/>
      <c r="D2235"/>
      <c r="E2235"/>
      <c r="F2235" t="s">
        <v>125</v>
      </c>
    </row>
    <row r="2236" spans="2:6" x14ac:dyDescent="0.2">
      <c r="B2236"/>
      <c r="C2236"/>
      <c r="D2236"/>
      <c r="E2236"/>
      <c r="F2236" t="s">
        <v>42</v>
      </c>
    </row>
    <row r="2237" spans="2:6" x14ac:dyDescent="0.2">
      <c r="B2237"/>
      <c r="C2237"/>
      <c r="D2237"/>
      <c r="E2237"/>
      <c r="F2237" t="s">
        <v>43</v>
      </c>
    </row>
    <row r="2238" spans="2:6" x14ac:dyDescent="0.2">
      <c r="B2238"/>
      <c r="C2238"/>
      <c r="D2238"/>
      <c r="E2238"/>
      <c r="F2238" t="s">
        <v>44</v>
      </c>
    </row>
    <row r="2239" spans="2:6" x14ac:dyDescent="0.2">
      <c r="B2239"/>
      <c r="C2239"/>
      <c r="D2239"/>
      <c r="E2239"/>
      <c r="F2239" t="s">
        <v>4</v>
      </c>
    </row>
    <row r="2240" spans="2:6" x14ac:dyDescent="0.2">
      <c r="B2240"/>
      <c r="C2240"/>
      <c r="D2240"/>
      <c r="E2240"/>
      <c r="F2240" t="s">
        <v>5</v>
      </c>
    </row>
    <row r="2241" spans="2:6" x14ac:dyDescent="0.2">
      <c r="B2241"/>
      <c r="C2241"/>
      <c r="D2241"/>
      <c r="E2241"/>
      <c r="F2241" t="s">
        <v>9</v>
      </c>
    </row>
    <row r="2242" spans="2:6" x14ac:dyDescent="0.2">
      <c r="B2242"/>
      <c r="C2242"/>
      <c r="D2242"/>
      <c r="E2242"/>
      <c r="F2242" t="s">
        <v>27</v>
      </c>
    </row>
    <row r="2243" spans="2:6" x14ac:dyDescent="0.2">
      <c r="B2243"/>
      <c r="C2243"/>
      <c r="D2243"/>
      <c r="E2243"/>
      <c r="F2243" t="s">
        <v>59</v>
      </c>
    </row>
    <row r="2244" spans="2:6" x14ac:dyDescent="0.2">
      <c r="B2244"/>
      <c r="C2244"/>
      <c r="D2244"/>
      <c r="E2244"/>
      <c r="F2244" t="s">
        <v>10</v>
      </c>
    </row>
    <row r="2245" spans="2:6" x14ac:dyDescent="0.2">
      <c r="B2245"/>
      <c r="C2245"/>
      <c r="D2245"/>
      <c r="E2245"/>
      <c r="F2245" t="s">
        <v>21</v>
      </c>
    </row>
    <row r="2246" spans="2:6" x14ac:dyDescent="0.2">
      <c r="B2246"/>
      <c r="C2246"/>
      <c r="D2246"/>
      <c r="E2246"/>
      <c r="F2246" t="s">
        <v>39</v>
      </c>
    </row>
    <row r="2247" spans="2:6" x14ac:dyDescent="0.2">
      <c r="B2247"/>
      <c r="C2247"/>
      <c r="D2247"/>
      <c r="E2247"/>
      <c r="F2247" t="s">
        <v>12</v>
      </c>
    </row>
    <row r="2248" spans="2:6" x14ac:dyDescent="0.2">
      <c r="B2248"/>
      <c r="C2248"/>
      <c r="D2248"/>
      <c r="E2248"/>
      <c r="F2248" t="s">
        <v>13</v>
      </c>
    </row>
    <row r="2249" spans="2:6" x14ac:dyDescent="0.2">
      <c r="B2249"/>
      <c r="C2249"/>
      <c r="D2249"/>
      <c r="E2249"/>
      <c r="F2249" t="s">
        <v>52</v>
      </c>
    </row>
    <row r="2250" spans="2:6" x14ac:dyDescent="0.2">
      <c r="B2250"/>
      <c r="C2250"/>
      <c r="D2250"/>
      <c r="E2250"/>
      <c r="F2250" t="s">
        <v>14</v>
      </c>
    </row>
    <row r="2251" spans="2:6" x14ac:dyDescent="0.2">
      <c r="B2251"/>
      <c r="C2251"/>
      <c r="D2251"/>
      <c r="E2251"/>
      <c r="F2251" t="s">
        <v>31</v>
      </c>
    </row>
    <row r="2252" spans="2:6" x14ac:dyDescent="0.2">
      <c r="B2252"/>
      <c r="C2252"/>
      <c r="D2252"/>
      <c r="E2252"/>
      <c r="F2252" t="s">
        <v>32</v>
      </c>
    </row>
    <row r="2253" spans="2:6" x14ac:dyDescent="0.2">
      <c r="B2253" t="s">
        <v>238</v>
      </c>
      <c r="C2253" t="s">
        <v>717</v>
      </c>
      <c r="D2253" t="s">
        <v>969</v>
      </c>
      <c r="E2253" t="s">
        <v>1246</v>
      </c>
      <c r="F2253" t="s">
        <v>5</v>
      </c>
    </row>
    <row r="2254" spans="2:6" x14ac:dyDescent="0.2">
      <c r="B2254"/>
      <c r="C2254"/>
      <c r="D2254"/>
      <c r="E2254"/>
      <c r="F2254" t="s">
        <v>12</v>
      </c>
    </row>
    <row r="2255" spans="2:6" x14ac:dyDescent="0.2">
      <c r="B2255"/>
      <c r="C2255"/>
      <c r="D2255"/>
      <c r="E2255"/>
      <c r="F2255" t="s">
        <v>29</v>
      </c>
    </row>
    <row r="2256" spans="2:6" x14ac:dyDescent="0.2">
      <c r="B2256"/>
      <c r="C2256"/>
      <c r="D2256"/>
      <c r="E2256"/>
      <c r="F2256" t="s">
        <v>31</v>
      </c>
    </row>
    <row r="2257" spans="2:6" x14ac:dyDescent="0.2">
      <c r="B2257" t="s">
        <v>239</v>
      </c>
      <c r="C2257" t="s">
        <v>718</v>
      </c>
      <c r="D2257" t="s">
        <v>970</v>
      </c>
      <c r="E2257" t="s">
        <v>1133</v>
      </c>
      <c r="F2257" t="s">
        <v>39</v>
      </c>
    </row>
    <row r="2258" spans="2:6" x14ac:dyDescent="0.2">
      <c r="B2258" t="s">
        <v>240</v>
      </c>
      <c r="C2258" t="s">
        <v>719</v>
      </c>
      <c r="D2258" t="s">
        <v>969</v>
      </c>
      <c r="E2258" t="s">
        <v>965</v>
      </c>
      <c r="F2258" t="s">
        <v>43</v>
      </c>
    </row>
    <row r="2259" spans="2:6" x14ac:dyDescent="0.2">
      <c r="B2259"/>
      <c r="C2259"/>
      <c r="D2259"/>
      <c r="E2259"/>
      <c r="F2259" t="s">
        <v>44</v>
      </c>
    </row>
    <row r="2260" spans="2:6" x14ac:dyDescent="0.2">
      <c r="B2260"/>
      <c r="C2260"/>
      <c r="D2260"/>
      <c r="E2260"/>
      <c r="F2260" t="s">
        <v>46</v>
      </c>
    </row>
    <row r="2261" spans="2:6" x14ac:dyDescent="0.2">
      <c r="B2261"/>
      <c r="C2261"/>
      <c r="D2261"/>
      <c r="E2261"/>
      <c r="F2261" t="s">
        <v>47</v>
      </c>
    </row>
    <row r="2262" spans="2:6" x14ac:dyDescent="0.2">
      <c r="B2262"/>
      <c r="C2262"/>
      <c r="D2262"/>
      <c r="E2262"/>
      <c r="F2262" t="s">
        <v>48</v>
      </c>
    </row>
    <row r="2263" spans="2:6" x14ac:dyDescent="0.2">
      <c r="B2263"/>
      <c r="C2263"/>
      <c r="D2263"/>
      <c r="E2263"/>
      <c r="F2263" t="s">
        <v>4</v>
      </c>
    </row>
    <row r="2264" spans="2:6" x14ac:dyDescent="0.2">
      <c r="B2264"/>
      <c r="C2264"/>
      <c r="D2264"/>
      <c r="E2264"/>
      <c r="F2264" t="s">
        <v>5</v>
      </c>
    </row>
    <row r="2265" spans="2:6" x14ac:dyDescent="0.2">
      <c r="B2265"/>
      <c r="C2265"/>
      <c r="D2265"/>
      <c r="E2265"/>
      <c r="F2265" t="s">
        <v>6</v>
      </c>
    </row>
    <row r="2266" spans="2:6" x14ac:dyDescent="0.2">
      <c r="B2266"/>
      <c r="C2266"/>
      <c r="D2266"/>
      <c r="E2266"/>
      <c r="F2266" t="s">
        <v>7</v>
      </c>
    </row>
    <row r="2267" spans="2:6" x14ac:dyDescent="0.2">
      <c r="B2267"/>
      <c r="C2267"/>
      <c r="D2267"/>
      <c r="E2267"/>
      <c r="F2267" t="s">
        <v>8</v>
      </c>
    </row>
    <row r="2268" spans="2:6" x14ac:dyDescent="0.2">
      <c r="B2268"/>
      <c r="C2268"/>
      <c r="D2268"/>
      <c r="E2268"/>
      <c r="F2268" t="s">
        <v>24</v>
      </c>
    </row>
    <row r="2269" spans="2:6" x14ac:dyDescent="0.2">
      <c r="B2269"/>
      <c r="C2269"/>
      <c r="D2269"/>
      <c r="E2269"/>
      <c r="F2269" t="s">
        <v>25</v>
      </c>
    </row>
    <row r="2270" spans="2:6" x14ac:dyDescent="0.2">
      <c r="B2270"/>
      <c r="C2270"/>
      <c r="D2270"/>
      <c r="E2270"/>
      <c r="F2270" t="s">
        <v>9</v>
      </c>
    </row>
    <row r="2271" spans="2:6" x14ac:dyDescent="0.2">
      <c r="B2271"/>
      <c r="C2271"/>
      <c r="D2271"/>
      <c r="E2271"/>
      <c r="F2271" t="s">
        <v>20</v>
      </c>
    </row>
    <row r="2272" spans="2:6" x14ac:dyDescent="0.2">
      <c r="B2272"/>
      <c r="C2272"/>
      <c r="D2272"/>
      <c r="E2272"/>
      <c r="F2272" t="s">
        <v>49</v>
      </c>
    </row>
    <row r="2273" spans="2:6" x14ac:dyDescent="0.2">
      <c r="B2273"/>
      <c r="C2273"/>
      <c r="D2273"/>
      <c r="E2273"/>
      <c r="F2273" t="s">
        <v>27</v>
      </c>
    </row>
    <row r="2274" spans="2:6" x14ac:dyDescent="0.2">
      <c r="B2274"/>
      <c r="C2274"/>
      <c r="D2274"/>
      <c r="E2274"/>
      <c r="F2274" t="s">
        <v>10</v>
      </c>
    </row>
    <row r="2275" spans="2:6" x14ac:dyDescent="0.2">
      <c r="B2275"/>
      <c r="C2275"/>
      <c r="D2275"/>
      <c r="E2275"/>
      <c r="F2275" t="s">
        <v>21</v>
      </c>
    </row>
    <row r="2276" spans="2:6" x14ac:dyDescent="0.2">
      <c r="B2276"/>
      <c r="C2276"/>
      <c r="D2276"/>
      <c r="E2276"/>
      <c r="F2276" t="s">
        <v>22</v>
      </c>
    </row>
    <row r="2277" spans="2:6" x14ac:dyDescent="0.2">
      <c r="B2277"/>
      <c r="C2277"/>
      <c r="D2277"/>
      <c r="E2277"/>
      <c r="F2277" t="s">
        <v>39</v>
      </c>
    </row>
    <row r="2278" spans="2:6" x14ac:dyDescent="0.2">
      <c r="B2278"/>
      <c r="C2278"/>
      <c r="D2278"/>
      <c r="E2278"/>
      <c r="F2278" t="s">
        <v>37</v>
      </c>
    </row>
    <row r="2279" spans="2:6" x14ac:dyDescent="0.2">
      <c r="B2279"/>
      <c r="C2279"/>
      <c r="D2279"/>
      <c r="E2279"/>
      <c r="F2279" t="s">
        <v>13</v>
      </c>
    </row>
    <row r="2280" spans="2:6" x14ac:dyDescent="0.2">
      <c r="B2280"/>
      <c r="C2280"/>
      <c r="D2280"/>
      <c r="E2280"/>
      <c r="F2280" t="s">
        <v>52</v>
      </c>
    </row>
    <row r="2281" spans="2:6" x14ac:dyDescent="0.2">
      <c r="B2281"/>
      <c r="C2281"/>
      <c r="D2281"/>
      <c r="E2281"/>
      <c r="F2281" t="s">
        <v>14</v>
      </c>
    </row>
    <row r="2282" spans="2:6" x14ac:dyDescent="0.2">
      <c r="B2282"/>
      <c r="C2282"/>
      <c r="D2282"/>
      <c r="E2282"/>
      <c r="F2282" t="s">
        <v>15</v>
      </c>
    </row>
    <row r="2283" spans="2:6" x14ac:dyDescent="0.2">
      <c r="B2283"/>
      <c r="C2283"/>
      <c r="D2283"/>
      <c r="E2283"/>
      <c r="F2283" t="s">
        <v>30</v>
      </c>
    </row>
    <row r="2284" spans="2:6" x14ac:dyDescent="0.2">
      <c r="B2284"/>
      <c r="C2284"/>
      <c r="D2284"/>
      <c r="E2284"/>
      <c r="F2284" t="s">
        <v>53</v>
      </c>
    </row>
    <row r="2285" spans="2:6" x14ac:dyDescent="0.2">
      <c r="B2285"/>
      <c r="C2285"/>
      <c r="D2285"/>
      <c r="E2285"/>
      <c r="F2285" t="s">
        <v>31</v>
      </c>
    </row>
    <row r="2286" spans="2:6" x14ac:dyDescent="0.2">
      <c r="B2286"/>
      <c r="C2286"/>
      <c r="D2286"/>
      <c r="E2286"/>
      <c r="F2286" t="s">
        <v>32</v>
      </c>
    </row>
    <row r="2287" spans="2:6" x14ac:dyDescent="0.2">
      <c r="B2287"/>
      <c r="C2287"/>
      <c r="D2287"/>
      <c r="E2287"/>
      <c r="F2287" t="s">
        <v>54</v>
      </c>
    </row>
    <row r="2288" spans="2:6" x14ac:dyDescent="0.2">
      <c r="B2288"/>
      <c r="C2288"/>
      <c r="D2288"/>
      <c r="E2288"/>
      <c r="F2288" t="s">
        <v>38</v>
      </c>
    </row>
    <row r="2289" spans="2:6" x14ac:dyDescent="0.2">
      <c r="B2289"/>
      <c r="C2289"/>
      <c r="D2289"/>
      <c r="E2289"/>
      <c r="F2289" t="s">
        <v>55</v>
      </c>
    </row>
    <row r="2290" spans="2:6" x14ac:dyDescent="0.2">
      <c r="B2290"/>
      <c r="C2290"/>
      <c r="D2290"/>
      <c r="E2290"/>
      <c r="F2290" t="s">
        <v>56</v>
      </c>
    </row>
    <row r="2291" spans="2:6" x14ac:dyDescent="0.2">
      <c r="B2291"/>
      <c r="C2291"/>
      <c r="D2291"/>
      <c r="E2291"/>
      <c r="F2291" t="s">
        <v>33</v>
      </c>
    </row>
    <row r="2292" spans="2:6" x14ac:dyDescent="0.2">
      <c r="B2292"/>
      <c r="C2292"/>
      <c r="D2292"/>
      <c r="E2292"/>
      <c r="F2292" t="s">
        <v>57</v>
      </c>
    </row>
    <row r="2293" spans="2:6" x14ac:dyDescent="0.2">
      <c r="B2293" t="s">
        <v>241</v>
      </c>
      <c r="C2293" t="s">
        <v>912</v>
      </c>
      <c r="D2293" t="s">
        <v>969</v>
      </c>
      <c r="E2293" t="s">
        <v>1129</v>
      </c>
      <c r="F2293" t="s">
        <v>46</v>
      </c>
    </row>
    <row r="2294" spans="2:6" x14ac:dyDescent="0.2">
      <c r="B2294"/>
      <c r="C2294"/>
      <c r="D2294"/>
      <c r="E2294"/>
      <c r="F2294" t="s">
        <v>47</v>
      </c>
    </row>
    <row r="2295" spans="2:6" x14ac:dyDescent="0.2">
      <c r="B2295"/>
      <c r="C2295"/>
      <c r="D2295"/>
      <c r="E2295"/>
      <c r="F2295" t="s">
        <v>107</v>
      </c>
    </row>
    <row r="2296" spans="2:6" x14ac:dyDescent="0.2">
      <c r="B2296"/>
      <c r="C2296"/>
      <c r="D2296"/>
      <c r="E2296"/>
      <c r="F2296" t="s">
        <v>108</v>
      </c>
    </row>
    <row r="2297" spans="2:6" x14ac:dyDescent="0.2">
      <c r="B2297" t="s">
        <v>242</v>
      </c>
      <c r="C2297" t="s">
        <v>895</v>
      </c>
      <c r="D2297" t="s">
        <v>969</v>
      </c>
      <c r="E2297" t="s">
        <v>1138</v>
      </c>
      <c r="F2297" t="s">
        <v>46</v>
      </c>
    </row>
    <row r="2298" spans="2:6" x14ac:dyDescent="0.2">
      <c r="B2298"/>
      <c r="C2298"/>
      <c r="D2298"/>
      <c r="E2298"/>
      <c r="F2298" t="s">
        <v>47</v>
      </c>
    </row>
    <row r="2299" spans="2:6" x14ac:dyDescent="0.2">
      <c r="B2299" t="s">
        <v>243</v>
      </c>
      <c r="C2299" t="s">
        <v>720</v>
      </c>
      <c r="D2299" t="s">
        <v>969</v>
      </c>
      <c r="E2299" t="s">
        <v>1247</v>
      </c>
      <c r="F2299" t="s">
        <v>4</v>
      </c>
    </row>
    <row r="2300" spans="2:6" x14ac:dyDescent="0.2">
      <c r="B2300"/>
      <c r="C2300"/>
      <c r="D2300"/>
      <c r="E2300"/>
      <c r="F2300" t="s">
        <v>5</v>
      </c>
    </row>
    <row r="2301" spans="2:6" x14ac:dyDescent="0.2">
      <c r="B2301"/>
      <c r="C2301"/>
      <c r="D2301"/>
      <c r="E2301"/>
      <c r="F2301" t="s">
        <v>6</v>
      </c>
    </row>
    <row r="2302" spans="2:6" x14ac:dyDescent="0.2">
      <c r="B2302"/>
      <c r="C2302"/>
      <c r="D2302"/>
      <c r="E2302"/>
      <c r="F2302" t="s">
        <v>8</v>
      </c>
    </row>
    <row r="2303" spans="2:6" x14ac:dyDescent="0.2">
      <c r="B2303"/>
      <c r="C2303"/>
      <c r="D2303"/>
      <c r="E2303"/>
      <c r="F2303" t="s">
        <v>24</v>
      </c>
    </row>
    <row r="2304" spans="2:6" x14ac:dyDescent="0.2">
      <c r="B2304"/>
      <c r="C2304"/>
      <c r="D2304"/>
      <c r="E2304"/>
      <c r="F2304" t="s">
        <v>25</v>
      </c>
    </row>
    <row r="2305" spans="2:6" x14ac:dyDescent="0.2">
      <c r="B2305"/>
      <c r="C2305"/>
      <c r="D2305"/>
      <c r="E2305"/>
      <c r="F2305" t="s">
        <v>9</v>
      </c>
    </row>
    <row r="2306" spans="2:6" x14ac:dyDescent="0.2">
      <c r="B2306"/>
      <c r="C2306"/>
      <c r="D2306"/>
      <c r="E2306"/>
      <c r="F2306" t="s">
        <v>27</v>
      </c>
    </row>
    <row r="2307" spans="2:6" x14ac:dyDescent="0.2">
      <c r="B2307"/>
      <c r="C2307"/>
      <c r="D2307"/>
      <c r="E2307"/>
      <c r="F2307" t="s">
        <v>10</v>
      </c>
    </row>
    <row r="2308" spans="2:6" x14ac:dyDescent="0.2">
      <c r="B2308"/>
      <c r="C2308"/>
      <c r="D2308"/>
      <c r="E2308"/>
      <c r="F2308" t="s">
        <v>21</v>
      </c>
    </row>
    <row r="2309" spans="2:6" x14ac:dyDescent="0.2">
      <c r="B2309"/>
      <c r="C2309"/>
      <c r="D2309"/>
      <c r="E2309"/>
      <c r="F2309" t="s">
        <v>11</v>
      </c>
    </row>
    <row r="2310" spans="2:6" x14ac:dyDescent="0.2">
      <c r="B2310"/>
      <c r="C2310"/>
      <c r="D2310"/>
      <c r="E2310"/>
      <c r="F2310" t="s">
        <v>12</v>
      </c>
    </row>
    <row r="2311" spans="2:6" x14ac:dyDescent="0.2">
      <c r="B2311"/>
      <c r="C2311"/>
      <c r="D2311"/>
      <c r="E2311"/>
      <c r="F2311" t="s">
        <v>29</v>
      </c>
    </row>
    <row r="2312" spans="2:6" x14ac:dyDescent="0.2">
      <c r="B2312"/>
      <c r="C2312"/>
      <c r="D2312"/>
      <c r="E2312"/>
      <c r="F2312" t="s">
        <v>37</v>
      </c>
    </row>
    <row r="2313" spans="2:6" x14ac:dyDescent="0.2">
      <c r="B2313"/>
      <c r="C2313"/>
      <c r="D2313"/>
      <c r="E2313"/>
      <c r="F2313" t="s">
        <v>13</v>
      </c>
    </row>
    <row r="2314" spans="2:6" x14ac:dyDescent="0.2">
      <c r="B2314"/>
      <c r="C2314"/>
      <c r="D2314"/>
      <c r="E2314"/>
      <c r="F2314" t="s">
        <v>14</v>
      </c>
    </row>
    <row r="2315" spans="2:6" x14ac:dyDescent="0.2">
      <c r="B2315"/>
      <c r="C2315"/>
      <c r="D2315"/>
      <c r="E2315"/>
      <c r="F2315" t="s">
        <v>15</v>
      </c>
    </row>
    <row r="2316" spans="2:6" x14ac:dyDescent="0.2">
      <c r="B2316"/>
      <c r="C2316"/>
      <c r="D2316"/>
      <c r="E2316"/>
      <c r="F2316" t="s">
        <v>31</v>
      </c>
    </row>
    <row r="2317" spans="2:6" x14ac:dyDescent="0.2">
      <c r="B2317"/>
      <c r="C2317"/>
      <c r="D2317"/>
      <c r="E2317"/>
      <c r="F2317" t="s">
        <v>32</v>
      </c>
    </row>
    <row r="2318" spans="2:6" x14ac:dyDescent="0.2">
      <c r="B2318" t="s">
        <v>244</v>
      </c>
      <c r="C2318" t="s">
        <v>721</v>
      </c>
      <c r="D2318" t="s">
        <v>969</v>
      </c>
      <c r="E2318" t="s">
        <v>1248</v>
      </c>
      <c r="F2318" t="s">
        <v>5</v>
      </c>
    </row>
    <row r="2319" spans="2:6" x14ac:dyDescent="0.2">
      <c r="B2319"/>
      <c r="C2319"/>
      <c r="D2319"/>
      <c r="E2319"/>
      <c r="F2319" t="s">
        <v>27</v>
      </c>
    </row>
    <row r="2320" spans="2:6" x14ac:dyDescent="0.2">
      <c r="B2320"/>
      <c r="C2320"/>
      <c r="D2320"/>
      <c r="E2320"/>
      <c r="F2320" t="s">
        <v>10</v>
      </c>
    </row>
    <row r="2321" spans="2:6" x14ac:dyDescent="0.2">
      <c r="B2321"/>
      <c r="C2321"/>
      <c r="D2321"/>
      <c r="E2321"/>
      <c r="F2321" t="s">
        <v>29</v>
      </c>
    </row>
    <row r="2322" spans="2:6" x14ac:dyDescent="0.2">
      <c r="B2322"/>
      <c r="C2322"/>
      <c r="D2322"/>
      <c r="E2322"/>
      <c r="F2322" t="s">
        <v>14</v>
      </c>
    </row>
    <row r="2323" spans="2:6" x14ac:dyDescent="0.2">
      <c r="B2323" t="s">
        <v>994</v>
      </c>
      <c r="C2323" t="s">
        <v>995</v>
      </c>
      <c r="D2323" t="s">
        <v>969</v>
      </c>
      <c r="E2323" t="s">
        <v>965</v>
      </c>
      <c r="F2323" t="s">
        <v>125</v>
      </c>
    </row>
    <row r="2324" spans="2:6" x14ac:dyDescent="0.2">
      <c r="B2324"/>
      <c r="C2324"/>
      <c r="D2324"/>
      <c r="E2324"/>
      <c r="F2324" t="s">
        <v>4</v>
      </c>
    </row>
    <row r="2325" spans="2:6" x14ac:dyDescent="0.2">
      <c r="B2325"/>
      <c r="C2325"/>
      <c r="D2325"/>
      <c r="E2325"/>
      <c r="F2325" t="s">
        <v>5</v>
      </c>
    </row>
    <row r="2326" spans="2:6" x14ac:dyDescent="0.2">
      <c r="B2326"/>
      <c r="C2326"/>
      <c r="D2326"/>
      <c r="E2326"/>
      <c r="F2326" t="s">
        <v>7</v>
      </c>
    </row>
    <row r="2327" spans="2:6" x14ac:dyDescent="0.2">
      <c r="B2327"/>
      <c r="C2327"/>
      <c r="D2327"/>
      <c r="E2327"/>
      <c r="F2327" t="s">
        <v>8</v>
      </c>
    </row>
    <row r="2328" spans="2:6" x14ac:dyDescent="0.2">
      <c r="B2328"/>
      <c r="C2328"/>
      <c r="D2328"/>
      <c r="E2328"/>
      <c r="F2328" t="s">
        <v>25</v>
      </c>
    </row>
    <row r="2329" spans="2:6" x14ac:dyDescent="0.2">
      <c r="B2329"/>
      <c r="C2329"/>
      <c r="D2329"/>
      <c r="E2329"/>
      <c r="F2329" t="s">
        <v>9</v>
      </c>
    </row>
    <row r="2330" spans="2:6" x14ac:dyDescent="0.2">
      <c r="B2330"/>
      <c r="C2330"/>
      <c r="D2330"/>
      <c r="E2330"/>
      <c r="F2330" t="s">
        <v>49</v>
      </c>
    </row>
    <row r="2331" spans="2:6" x14ac:dyDescent="0.2">
      <c r="B2331"/>
      <c r="C2331"/>
      <c r="D2331"/>
      <c r="E2331"/>
      <c r="F2331" t="s">
        <v>59</v>
      </c>
    </row>
    <row r="2332" spans="2:6" x14ac:dyDescent="0.2">
      <c r="B2332"/>
      <c r="C2332"/>
      <c r="D2332"/>
      <c r="E2332"/>
      <c r="F2332" t="s">
        <v>10</v>
      </c>
    </row>
    <row r="2333" spans="2:6" x14ac:dyDescent="0.2">
      <c r="B2333"/>
      <c r="C2333"/>
      <c r="D2333"/>
      <c r="E2333"/>
      <c r="F2333" t="s">
        <v>21</v>
      </c>
    </row>
    <row r="2334" spans="2:6" x14ac:dyDescent="0.2">
      <c r="B2334"/>
      <c r="C2334"/>
      <c r="D2334"/>
      <c r="E2334"/>
      <c r="F2334" t="s">
        <v>22</v>
      </c>
    </row>
    <row r="2335" spans="2:6" x14ac:dyDescent="0.2">
      <c r="B2335"/>
      <c r="C2335"/>
      <c r="D2335"/>
      <c r="E2335"/>
      <c r="F2335" t="s">
        <v>51</v>
      </c>
    </row>
    <row r="2336" spans="2:6" x14ac:dyDescent="0.2">
      <c r="B2336"/>
      <c r="C2336"/>
      <c r="D2336"/>
      <c r="E2336"/>
      <c r="F2336" t="s">
        <v>12</v>
      </c>
    </row>
    <row r="2337" spans="2:6" x14ac:dyDescent="0.2">
      <c r="B2337"/>
      <c r="C2337"/>
      <c r="D2337"/>
      <c r="E2337"/>
      <c r="F2337" t="s">
        <v>37</v>
      </c>
    </row>
    <row r="2338" spans="2:6" x14ac:dyDescent="0.2">
      <c r="B2338"/>
      <c r="C2338"/>
      <c r="D2338"/>
      <c r="E2338"/>
      <c r="F2338" t="s">
        <v>13</v>
      </c>
    </row>
    <row r="2339" spans="2:6" x14ac:dyDescent="0.2">
      <c r="B2339"/>
      <c r="C2339"/>
      <c r="D2339"/>
      <c r="E2339"/>
      <c r="F2339" t="s">
        <v>14</v>
      </c>
    </row>
    <row r="2340" spans="2:6" x14ac:dyDescent="0.2">
      <c r="B2340"/>
      <c r="C2340"/>
      <c r="D2340"/>
      <c r="E2340"/>
      <c r="F2340" t="s">
        <v>15</v>
      </c>
    </row>
    <row r="2341" spans="2:6" x14ac:dyDescent="0.2">
      <c r="B2341"/>
      <c r="C2341"/>
      <c r="D2341"/>
      <c r="E2341"/>
      <c r="F2341" t="s">
        <v>31</v>
      </c>
    </row>
    <row r="2342" spans="2:6" x14ac:dyDescent="0.2">
      <c r="B2342"/>
      <c r="C2342"/>
      <c r="D2342"/>
      <c r="E2342"/>
      <c r="F2342" t="s">
        <v>32</v>
      </c>
    </row>
    <row r="2343" spans="2:6" x14ac:dyDescent="0.2">
      <c r="B2343"/>
      <c r="C2343"/>
      <c r="D2343"/>
      <c r="E2343"/>
      <c r="F2343" t="s">
        <v>54</v>
      </c>
    </row>
    <row r="2344" spans="2:6" x14ac:dyDescent="0.2">
      <c r="B2344" t="s">
        <v>245</v>
      </c>
      <c r="C2344" t="s">
        <v>722</v>
      </c>
      <c r="D2344" t="s">
        <v>970</v>
      </c>
      <c r="E2344" t="s">
        <v>1249</v>
      </c>
      <c r="F2344" t="s">
        <v>46</v>
      </c>
    </row>
    <row r="2345" spans="2:6" x14ac:dyDescent="0.2">
      <c r="B2345"/>
      <c r="C2345"/>
      <c r="D2345"/>
      <c r="E2345"/>
      <c r="F2345" t="s">
        <v>47</v>
      </c>
    </row>
    <row r="2346" spans="2:6" x14ac:dyDescent="0.2">
      <c r="B2346"/>
      <c r="C2346"/>
      <c r="D2346"/>
      <c r="E2346"/>
      <c r="F2346" t="s">
        <v>48</v>
      </c>
    </row>
    <row r="2347" spans="2:6" x14ac:dyDescent="0.2">
      <c r="B2347"/>
      <c r="C2347"/>
      <c r="D2347"/>
      <c r="E2347"/>
      <c r="F2347" t="s">
        <v>4</v>
      </c>
    </row>
    <row r="2348" spans="2:6" x14ac:dyDescent="0.2">
      <c r="B2348"/>
      <c r="C2348"/>
      <c r="D2348"/>
      <c r="E2348"/>
      <c r="F2348" t="s">
        <v>5</v>
      </c>
    </row>
    <row r="2349" spans="2:6" x14ac:dyDescent="0.2">
      <c r="B2349"/>
      <c r="C2349"/>
      <c r="D2349"/>
      <c r="E2349"/>
      <c r="F2349" t="s">
        <v>6</v>
      </c>
    </row>
    <row r="2350" spans="2:6" x14ac:dyDescent="0.2">
      <c r="B2350"/>
      <c r="C2350"/>
      <c r="D2350"/>
      <c r="E2350"/>
      <c r="F2350" t="s">
        <v>7</v>
      </c>
    </row>
    <row r="2351" spans="2:6" x14ac:dyDescent="0.2">
      <c r="B2351"/>
      <c r="C2351"/>
      <c r="D2351"/>
      <c r="E2351"/>
      <c r="F2351" t="s">
        <v>8</v>
      </c>
    </row>
    <row r="2352" spans="2:6" x14ac:dyDescent="0.2">
      <c r="B2352"/>
      <c r="C2352"/>
      <c r="D2352"/>
      <c r="E2352"/>
      <c r="F2352" t="s">
        <v>9</v>
      </c>
    </row>
    <row r="2353" spans="2:6" x14ac:dyDescent="0.2">
      <c r="B2353"/>
      <c r="C2353"/>
      <c r="D2353"/>
      <c r="E2353"/>
      <c r="F2353" t="s">
        <v>27</v>
      </c>
    </row>
    <row r="2354" spans="2:6" x14ac:dyDescent="0.2">
      <c r="B2354"/>
      <c r="C2354"/>
      <c r="D2354"/>
      <c r="E2354"/>
      <c r="F2354" t="s">
        <v>10</v>
      </c>
    </row>
    <row r="2355" spans="2:6" x14ac:dyDescent="0.2">
      <c r="B2355"/>
      <c r="C2355"/>
      <c r="D2355"/>
      <c r="E2355"/>
      <c r="F2355" t="s">
        <v>107</v>
      </c>
    </row>
    <row r="2356" spans="2:6" x14ac:dyDescent="0.2">
      <c r="B2356"/>
      <c r="C2356"/>
      <c r="D2356"/>
      <c r="E2356"/>
      <c r="F2356" t="s">
        <v>108</v>
      </c>
    </row>
    <row r="2357" spans="2:6" x14ac:dyDescent="0.2">
      <c r="B2357"/>
      <c r="C2357"/>
      <c r="D2357"/>
      <c r="E2357"/>
      <c r="F2357" t="s">
        <v>12</v>
      </c>
    </row>
    <row r="2358" spans="2:6" x14ac:dyDescent="0.2">
      <c r="B2358"/>
      <c r="C2358"/>
      <c r="D2358"/>
      <c r="E2358"/>
      <c r="F2358" t="s">
        <v>29</v>
      </c>
    </row>
    <row r="2359" spans="2:6" x14ac:dyDescent="0.2">
      <c r="B2359"/>
      <c r="C2359"/>
      <c r="D2359"/>
      <c r="E2359"/>
      <c r="F2359" t="s">
        <v>13</v>
      </c>
    </row>
    <row r="2360" spans="2:6" x14ac:dyDescent="0.2">
      <c r="B2360"/>
      <c r="C2360"/>
      <c r="D2360"/>
      <c r="E2360"/>
      <c r="F2360" t="s">
        <v>14</v>
      </c>
    </row>
    <row r="2361" spans="2:6" x14ac:dyDescent="0.2">
      <c r="B2361"/>
      <c r="C2361"/>
      <c r="D2361"/>
      <c r="E2361"/>
      <c r="F2361" t="s">
        <v>15</v>
      </c>
    </row>
    <row r="2362" spans="2:6" x14ac:dyDescent="0.2">
      <c r="B2362" t="s">
        <v>246</v>
      </c>
      <c r="C2362" t="s">
        <v>723</v>
      </c>
      <c r="D2362" t="s">
        <v>969</v>
      </c>
      <c r="E2362" t="s">
        <v>1236</v>
      </c>
      <c r="F2362" t="s">
        <v>4</v>
      </c>
    </row>
    <row r="2363" spans="2:6" x14ac:dyDescent="0.2">
      <c r="B2363"/>
      <c r="C2363"/>
      <c r="D2363"/>
      <c r="E2363"/>
      <c r="F2363" t="s">
        <v>5</v>
      </c>
    </row>
    <row r="2364" spans="2:6" x14ac:dyDescent="0.2">
      <c r="B2364"/>
      <c r="C2364"/>
      <c r="D2364"/>
      <c r="E2364"/>
      <c r="F2364" t="s">
        <v>8</v>
      </c>
    </row>
    <row r="2365" spans="2:6" x14ac:dyDescent="0.2">
      <c r="B2365"/>
      <c r="C2365"/>
      <c r="D2365"/>
      <c r="E2365"/>
      <c r="F2365" t="s">
        <v>24</v>
      </c>
    </row>
    <row r="2366" spans="2:6" x14ac:dyDescent="0.2">
      <c r="B2366"/>
      <c r="C2366"/>
      <c r="D2366"/>
      <c r="E2366"/>
      <c r="F2366" t="s">
        <v>25</v>
      </c>
    </row>
    <row r="2367" spans="2:6" x14ac:dyDescent="0.2">
      <c r="B2367"/>
      <c r="C2367"/>
      <c r="D2367"/>
      <c r="E2367"/>
      <c r="F2367" t="s">
        <v>9</v>
      </c>
    </row>
    <row r="2368" spans="2:6" x14ac:dyDescent="0.2">
      <c r="B2368"/>
      <c r="C2368"/>
      <c r="D2368"/>
      <c r="E2368"/>
      <c r="F2368" t="s">
        <v>26</v>
      </c>
    </row>
    <row r="2369" spans="2:6" x14ac:dyDescent="0.2">
      <c r="B2369"/>
      <c r="C2369"/>
      <c r="D2369"/>
      <c r="E2369"/>
      <c r="F2369" t="s">
        <v>20</v>
      </c>
    </row>
    <row r="2370" spans="2:6" x14ac:dyDescent="0.2">
      <c r="B2370"/>
      <c r="C2370"/>
      <c r="D2370"/>
      <c r="E2370"/>
      <c r="F2370" t="s">
        <v>21</v>
      </c>
    </row>
    <row r="2371" spans="2:6" x14ac:dyDescent="0.2">
      <c r="B2371"/>
      <c r="C2371"/>
      <c r="D2371"/>
      <c r="E2371"/>
      <c r="F2371" t="s">
        <v>22</v>
      </c>
    </row>
    <row r="2372" spans="2:6" x14ac:dyDescent="0.2">
      <c r="B2372"/>
      <c r="C2372"/>
      <c r="D2372"/>
      <c r="E2372"/>
      <c r="F2372" t="s">
        <v>30</v>
      </c>
    </row>
    <row r="2373" spans="2:6" x14ac:dyDescent="0.2">
      <c r="B2373"/>
      <c r="C2373"/>
      <c r="D2373"/>
      <c r="E2373"/>
      <c r="F2373" t="s">
        <v>53</v>
      </c>
    </row>
    <row r="2374" spans="2:6" x14ac:dyDescent="0.2">
      <c r="B2374"/>
      <c r="C2374"/>
      <c r="D2374"/>
      <c r="E2374"/>
      <c r="F2374" t="s">
        <v>31</v>
      </c>
    </row>
    <row r="2375" spans="2:6" x14ac:dyDescent="0.2">
      <c r="B2375"/>
      <c r="C2375"/>
      <c r="D2375"/>
      <c r="E2375"/>
      <c r="F2375" t="s">
        <v>32</v>
      </c>
    </row>
    <row r="2376" spans="2:6" x14ac:dyDescent="0.2">
      <c r="B2376"/>
      <c r="C2376"/>
      <c r="D2376"/>
      <c r="E2376"/>
      <c r="F2376" t="s">
        <v>54</v>
      </c>
    </row>
    <row r="2377" spans="2:6" x14ac:dyDescent="0.2">
      <c r="B2377"/>
      <c r="C2377"/>
      <c r="D2377"/>
      <c r="E2377"/>
      <c r="F2377" t="s">
        <v>38</v>
      </c>
    </row>
    <row r="2378" spans="2:6" x14ac:dyDescent="0.2">
      <c r="B2378"/>
      <c r="C2378"/>
      <c r="D2378"/>
      <c r="E2378"/>
      <c r="F2378" t="s">
        <v>55</v>
      </c>
    </row>
    <row r="2379" spans="2:6" x14ac:dyDescent="0.2">
      <c r="B2379" t="s">
        <v>1074</v>
      </c>
      <c r="C2379" t="s">
        <v>1075</v>
      </c>
      <c r="D2379" t="s">
        <v>969</v>
      </c>
      <c r="E2379" t="s">
        <v>1182</v>
      </c>
      <c r="F2379" t="s">
        <v>5</v>
      </c>
    </row>
    <row r="2380" spans="2:6" x14ac:dyDescent="0.2">
      <c r="B2380"/>
      <c r="C2380"/>
      <c r="D2380"/>
      <c r="E2380"/>
      <c r="F2380" t="s">
        <v>29</v>
      </c>
    </row>
    <row r="2381" spans="2:6" x14ac:dyDescent="0.2">
      <c r="B2381" t="s">
        <v>827</v>
      </c>
      <c r="C2381" t="s">
        <v>1076</v>
      </c>
      <c r="D2381" t="s">
        <v>969</v>
      </c>
      <c r="E2381" t="s">
        <v>1160</v>
      </c>
      <c r="F2381" t="s">
        <v>39</v>
      </c>
    </row>
    <row r="2382" spans="2:6" x14ac:dyDescent="0.2">
      <c r="B2382" t="s">
        <v>512</v>
      </c>
      <c r="C2382" t="s">
        <v>835</v>
      </c>
      <c r="D2382" t="s">
        <v>969</v>
      </c>
      <c r="E2382" t="s">
        <v>1124</v>
      </c>
      <c r="F2382" t="s">
        <v>5</v>
      </c>
    </row>
    <row r="2383" spans="2:6" x14ac:dyDescent="0.2">
      <c r="B2383"/>
      <c r="C2383"/>
      <c r="D2383"/>
      <c r="E2383"/>
      <c r="F2383" t="s">
        <v>27</v>
      </c>
    </row>
    <row r="2384" spans="2:6" x14ac:dyDescent="0.2">
      <c r="B2384"/>
      <c r="C2384"/>
      <c r="D2384"/>
      <c r="E2384"/>
      <c r="F2384" t="s">
        <v>10</v>
      </c>
    </row>
    <row r="2385" spans="2:6" x14ac:dyDescent="0.2">
      <c r="B2385"/>
      <c r="C2385"/>
      <c r="D2385"/>
      <c r="E2385"/>
      <c r="F2385" t="s">
        <v>29</v>
      </c>
    </row>
    <row r="2386" spans="2:6" x14ac:dyDescent="0.2">
      <c r="B2386"/>
      <c r="C2386"/>
      <c r="D2386"/>
      <c r="E2386"/>
      <c r="F2386" t="s">
        <v>14</v>
      </c>
    </row>
    <row r="2387" spans="2:6" x14ac:dyDescent="0.2">
      <c r="B2387" t="s">
        <v>247</v>
      </c>
      <c r="C2387" t="s">
        <v>1085</v>
      </c>
      <c r="D2387" t="s">
        <v>969</v>
      </c>
      <c r="E2387" t="s">
        <v>965</v>
      </c>
      <c r="F2387" t="s">
        <v>45</v>
      </c>
    </row>
    <row r="2388" spans="2:6" x14ac:dyDescent="0.2">
      <c r="B2388"/>
      <c r="C2388"/>
      <c r="D2388"/>
      <c r="E2388"/>
      <c r="F2388" t="s">
        <v>46</v>
      </c>
    </row>
    <row r="2389" spans="2:6" x14ac:dyDescent="0.2">
      <c r="B2389"/>
      <c r="C2389"/>
      <c r="D2389"/>
      <c r="E2389"/>
      <c r="F2389" t="s">
        <v>47</v>
      </c>
    </row>
    <row r="2390" spans="2:6" x14ac:dyDescent="0.2">
      <c r="B2390"/>
      <c r="C2390"/>
      <c r="D2390"/>
      <c r="E2390"/>
      <c r="F2390" t="s">
        <v>4</v>
      </c>
    </row>
    <row r="2391" spans="2:6" x14ac:dyDescent="0.2">
      <c r="B2391"/>
      <c r="C2391"/>
      <c r="D2391"/>
      <c r="E2391"/>
      <c r="F2391" t="s">
        <v>5</v>
      </c>
    </row>
    <row r="2392" spans="2:6" x14ac:dyDescent="0.2">
      <c r="B2392"/>
      <c r="C2392"/>
      <c r="D2392"/>
      <c r="E2392"/>
      <c r="F2392" t="s">
        <v>7</v>
      </c>
    </row>
    <row r="2393" spans="2:6" x14ac:dyDescent="0.2">
      <c r="B2393"/>
      <c r="C2393"/>
      <c r="D2393"/>
      <c r="E2393"/>
      <c r="F2393" t="s">
        <v>8</v>
      </c>
    </row>
    <row r="2394" spans="2:6" x14ac:dyDescent="0.2">
      <c r="B2394"/>
      <c r="C2394"/>
      <c r="D2394"/>
      <c r="E2394"/>
      <c r="F2394" t="s">
        <v>24</v>
      </c>
    </row>
    <row r="2395" spans="2:6" x14ac:dyDescent="0.2">
      <c r="B2395"/>
      <c r="C2395"/>
      <c r="D2395"/>
      <c r="E2395"/>
      <c r="F2395" t="s">
        <v>25</v>
      </c>
    </row>
    <row r="2396" spans="2:6" x14ac:dyDescent="0.2">
      <c r="B2396"/>
      <c r="C2396"/>
      <c r="D2396"/>
      <c r="E2396"/>
      <c r="F2396" t="s">
        <v>9</v>
      </c>
    </row>
    <row r="2397" spans="2:6" x14ac:dyDescent="0.2">
      <c r="B2397"/>
      <c r="C2397"/>
      <c r="D2397"/>
      <c r="E2397"/>
      <c r="F2397" t="s">
        <v>27</v>
      </c>
    </row>
    <row r="2398" spans="2:6" x14ac:dyDescent="0.2">
      <c r="B2398"/>
      <c r="C2398"/>
      <c r="D2398"/>
      <c r="E2398"/>
      <c r="F2398" t="s">
        <v>10</v>
      </c>
    </row>
    <row r="2399" spans="2:6" x14ac:dyDescent="0.2">
      <c r="B2399"/>
      <c r="C2399"/>
      <c r="D2399"/>
      <c r="E2399"/>
      <c r="F2399" t="s">
        <v>51</v>
      </c>
    </row>
    <row r="2400" spans="2:6" x14ac:dyDescent="0.2">
      <c r="B2400"/>
      <c r="C2400"/>
      <c r="D2400"/>
      <c r="E2400"/>
      <c r="F2400" t="s">
        <v>12</v>
      </c>
    </row>
    <row r="2401" spans="2:6" x14ac:dyDescent="0.2">
      <c r="B2401"/>
      <c r="C2401"/>
      <c r="D2401"/>
      <c r="E2401"/>
      <c r="F2401" t="s">
        <v>37</v>
      </c>
    </row>
    <row r="2402" spans="2:6" x14ac:dyDescent="0.2">
      <c r="B2402"/>
      <c r="C2402"/>
      <c r="D2402"/>
      <c r="E2402"/>
      <c r="F2402" t="s">
        <v>13</v>
      </c>
    </row>
    <row r="2403" spans="2:6" x14ac:dyDescent="0.2">
      <c r="B2403"/>
      <c r="C2403"/>
      <c r="D2403"/>
      <c r="E2403"/>
      <c r="F2403" t="s">
        <v>14</v>
      </c>
    </row>
    <row r="2404" spans="2:6" x14ac:dyDescent="0.2">
      <c r="B2404"/>
      <c r="C2404"/>
      <c r="D2404"/>
      <c r="E2404"/>
      <c r="F2404" t="s">
        <v>15</v>
      </c>
    </row>
    <row r="2405" spans="2:6" x14ac:dyDescent="0.2">
      <c r="B2405"/>
      <c r="C2405"/>
      <c r="D2405"/>
      <c r="E2405"/>
      <c r="F2405" t="s">
        <v>30</v>
      </c>
    </row>
    <row r="2406" spans="2:6" x14ac:dyDescent="0.2">
      <c r="B2406"/>
      <c r="C2406"/>
      <c r="D2406"/>
      <c r="E2406"/>
      <c r="F2406" t="s">
        <v>31</v>
      </c>
    </row>
    <row r="2407" spans="2:6" x14ac:dyDescent="0.2">
      <c r="B2407"/>
      <c r="C2407"/>
      <c r="D2407"/>
      <c r="E2407"/>
      <c r="F2407" t="s">
        <v>32</v>
      </c>
    </row>
    <row r="2408" spans="2:6" x14ac:dyDescent="0.2">
      <c r="B2408"/>
      <c r="C2408"/>
      <c r="D2408"/>
      <c r="E2408"/>
      <c r="F2408" t="s">
        <v>38</v>
      </c>
    </row>
    <row r="2409" spans="2:6" x14ac:dyDescent="0.2">
      <c r="B2409"/>
      <c r="C2409"/>
      <c r="D2409"/>
      <c r="E2409"/>
      <c r="F2409" t="s">
        <v>56</v>
      </c>
    </row>
    <row r="2410" spans="2:6" x14ac:dyDescent="0.2">
      <c r="B2410"/>
      <c r="C2410"/>
      <c r="D2410"/>
      <c r="E2410"/>
      <c r="F2410" t="s">
        <v>33</v>
      </c>
    </row>
    <row r="2411" spans="2:6" x14ac:dyDescent="0.2">
      <c r="B2411"/>
      <c r="C2411"/>
      <c r="D2411"/>
      <c r="E2411"/>
      <c r="F2411" t="s">
        <v>57</v>
      </c>
    </row>
    <row r="2412" spans="2:6" x14ac:dyDescent="0.2">
      <c r="B2412" t="s">
        <v>248</v>
      </c>
      <c r="C2412" t="s">
        <v>724</v>
      </c>
      <c r="D2412" t="s">
        <v>969</v>
      </c>
      <c r="E2412" t="s">
        <v>1166</v>
      </c>
      <c r="F2412" t="s">
        <v>5</v>
      </c>
    </row>
    <row r="2413" spans="2:6" x14ac:dyDescent="0.2">
      <c r="B2413"/>
      <c r="C2413"/>
      <c r="D2413"/>
      <c r="E2413"/>
      <c r="F2413" t="s">
        <v>25</v>
      </c>
    </row>
    <row r="2414" spans="2:6" x14ac:dyDescent="0.2">
      <c r="B2414"/>
      <c r="C2414"/>
      <c r="D2414"/>
      <c r="E2414"/>
      <c r="F2414" t="s">
        <v>9</v>
      </c>
    </row>
    <row r="2415" spans="2:6" x14ac:dyDescent="0.2">
      <c r="B2415"/>
      <c r="C2415"/>
      <c r="D2415"/>
      <c r="E2415"/>
      <c r="F2415" t="s">
        <v>27</v>
      </c>
    </row>
    <row r="2416" spans="2:6" x14ac:dyDescent="0.2">
      <c r="B2416"/>
      <c r="C2416"/>
      <c r="D2416"/>
      <c r="E2416"/>
      <c r="F2416" t="s">
        <v>14</v>
      </c>
    </row>
    <row r="2417" spans="2:6" x14ac:dyDescent="0.2">
      <c r="B2417" t="s">
        <v>249</v>
      </c>
      <c r="C2417" t="s">
        <v>1040</v>
      </c>
      <c r="D2417" t="s">
        <v>969</v>
      </c>
      <c r="E2417" t="s">
        <v>1166</v>
      </c>
      <c r="F2417" t="s">
        <v>5</v>
      </c>
    </row>
    <row r="2418" spans="2:6" x14ac:dyDescent="0.2">
      <c r="B2418" t="s">
        <v>250</v>
      </c>
      <c r="C2418" t="s">
        <v>725</v>
      </c>
      <c r="D2418" t="s">
        <v>970</v>
      </c>
      <c r="E2418" t="s">
        <v>965</v>
      </c>
      <c r="F2418" t="s">
        <v>59</v>
      </c>
    </row>
    <row r="2419" spans="2:6" x14ac:dyDescent="0.2">
      <c r="B2419" t="s">
        <v>251</v>
      </c>
      <c r="C2419" t="s">
        <v>726</v>
      </c>
      <c r="D2419" t="s">
        <v>970</v>
      </c>
      <c r="E2419" t="s">
        <v>965</v>
      </c>
      <c r="F2419" t="s">
        <v>39</v>
      </c>
    </row>
    <row r="2420" spans="2:6" x14ac:dyDescent="0.2">
      <c r="B2420" t="s">
        <v>252</v>
      </c>
      <c r="C2420" t="s">
        <v>727</v>
      </c>
      <c r="D2420" t="s">
        <v>970</v>
      </c>
      <c r="E2420" t="s">
        <v>1207</v>
      </c>
      <c r="F2420" t="s">
        <v>46</v>
      </c>
    </row>
    <row r="2421" spans="2:6" x14ac:dyDescent="0.2">
      <c r="B2421"/>
      <c r="C2421"/>
      <c r="D2421"/>
      <c r="E2421"/>
      <c r="F2421" t="s">
        <v>47</v>
      </c>
    </row>
    <row r="2422" spans="2:6" x14ac:dyDescent="0.2">
      <c r="B2422"/>
      <c r="C2422"/>
      <c r="D2422"/>
      <c r="E2422"/>
      <c r="F2422" t="s">
        <v>48</v>
      </c>
    </row>
    <row r="2423" spans="2:6" x14ac:dyDescent="0.2">
      <c r="B2423"/>
      <c r="C2423"/>
      <c r="D2423"/>
      <c r="E2423"/>
      <c r="F2423" t="s">
        <v>10</v>
      </c>
    </row>
    <row r="2424" spans="2:6" x14ac:dyDescent="0.2">
      <c r="B2424"/>
      <c r="C2424"/>
      <c r="D2424"/>
      <c r="E2424"/>
      <c r="F2424" t="s">
        <v>107</v>
      </c>
    </row>
    <row r="2425" spans="2:6" x14ac:dyDescent="0.2">
      <c r="B2425"/>
      <c r="C2425"/>
      <c r="D2425"/>
      <c r="E2425"/>
      <c r="F2425" t="s">
        <v>108</v>
      </c>
    </row>
    <row r="2426" spans="2:6" x14ac:dyDescent="0.2">
      <c r="B2426" t="s">
        <v>1052</v>
      </c>
      <c r="C2426" t="s">
        <v>1054</v>
      </c>
      <c r="D2426" t="s">
        <v>969</v>
      </c>
      <c r="E2426" t="s">
        <v>1250</v>
      </c>
      <c r="F2426" t="s">
        <v>39</v>
      </c>
    </row>
    <row r="2427" spans="2:6" x14ac:dyDescent="0.2">
      <c r="B2427" t="s">
        <v>253</v>
      </c>
      <c r="C2427" t="s">
        <v>728</v>
      </c>
      <c r="D2427" t="s">
        <v>969</v>
      </c>
      <c r="E2427" t="s">
        <v>1251</v>
      </c>
      <c r="F2427" t="s">
        <v>5</v>
      </c>
    </row>
    <row r="2428" spans="2:6" x14ac:dyDescent="0.2">
      <c r="B2428"/>
      <c r="C2428"/>
      <c r="D2428"/>
      <c r="E2428"/>
      <c r="F2428" t="s">
        <v>10</v>
      </c>
    </row>
    <row r="2429" spans="2:6" x14ac:dyDescent="0.2">
      <c r="B2429" t="s">
        <v>522</v>
      </c>
      <c r="C2429" t="s">
        <v>729</v>
      </c>
      <c r="D2429" t="s">
        <v>969</v>
      </c>
      <c r="E2429" t="s">
        <v>1252</v>
      </c>
      <c r="F2429" t="s">
        <v>81</v>
      </c>
    </row>
    <row r="2430" spans="2:6" x14ac:dyDescent="0.2">
      <c r="B2430"/>
      <c r="C2430"/>
      <c r="D2430"/>
      <c r="E2430"/>
      <c r="F2430" t="s">
        <v>63</v>
      </c>
    </row>
    <row r="2431" spans="2:6" x14ac:dyDescent="0.2">
      <c r="B2431" t="s">
        <v>254</v>
      </c>
      <c r="C2431" t="s">
        <v>730</v>
      </c>
      <c r="D2431" t="s">
        <v>969</v>
      </c>
      <c r="E2431" t="s">
        <v>1253</v>
      </c>
      <c r="F2431" t="s">
        <v>4</v>
      </c>
    </row>
    <row r="2432" spans="2:6" x14ac:dyDescent="0.2">
      <c r="B2432"/>
      <c r="C2432"/>
      <c r="D2432"/>
      <c r="E2432"/>
      <c r="F2432" t="s">
        <v>5</v>
      </c>
    </row>
    <row r="2433" spans="2:6" x14ac:dyDescent="0.2">
      <c r="B2433"/>
      <c r="C2433"/>
      <c r="D2433"/>
      <c r="E2433"/>
      <c r="F2433" t="s">
        <v>7</v>
      </c>
    </row>
    <row r="2434" spans="2:6" x14ac:dyDescent="0.2">
      <c r="B2434"/>
      <c r="C2434"/>
      <c r="D2434"/>
      <c r="E2434"/>
      <c r="F2434" t="s">
        <v>8</v>
      </c>
    </row>
    <row r="2435" spans="2:6" x14ac:dyDescent="0.2">
      <c r="B2435"/>
      <c r="C2435"/>
      <c r="D2435"/>
      <c r="E2435"/>
      <c r="F2435" t="s">
        <v>24</v>
      </c>
    </row>
    <row r="2436" spans="2:6" x14ac:dyDescent="0.2">
      <c r="B2436"/>
      <c r="C2436"/>
      <c r="D2436"/>
      <c r="E2436"/>
      <c r="F2436" t="s">
        <v>25</v>
      </c>
    </row>
    <row r="2437" spans="2:6" x14ac:dyDescent="0.2">
      <c r="B2437"/>
      <c r="C2437"/>
      <c r="D2437"/>
      <c r="E2437"/>
      <c r="F2437" t="s">
        <v>9</v>
      </c>
    </row>
    <row r="2438" spans="2:6" x14ac:dyDescent="0.2">
      <c r="B2438"/>
      <c r="C2438"/>
      <c r="D2438"/>
      <c r="E2438"/>
      <c r="F2438" t="s">
        <v>27</v>
      </c>
    </row>
    <row r="2439" spans="2:6" x14ac:dyDescent="0.2">
      <c r="B2439"/>
      <c r="C2439"/>
      <c r="D2439"/>
      <c r="E2439"/>
      <c r="F2439" t="s">
        <v>10</v>
      </c>
    </row>
    <row r="2440" spans="2:6" x14ac:dyDescent="0.2">
      <c r="B2440"/>
      <c r="C2440"/>
      <c r="D2440"/>
      <c r="E2440"/>
      <c r="F2440" t="s">
        <v>29</v>
      </c>
    </row>
    <row r="2441" spans="2:6" x14ac:dyDescent="0.2">
      <c r="B2441"/>
      <c r="C2441"/>
      <c r="D2441"/>
      <c r="E2441"/>
      <c r="F2441" t="s">
        <v>37</v>
      </c>
    </row>
    <row r="2442" spans="2:6" x14ac:dyDescent="0.2">
      <c r="B2442"/>
      <c r="C2442"/>
      <c r="D2442"/>
      <c r="E2442"/>
      <c r="F2442" t="s">
        <v>13</v>
      </c>
    </row>
    <row r="2443" spans="2:6" x14ac:dyDescent="0.2">
      <c r="B2443"/>
      <c r="C2443"/>
      <c r="D2443"/>
      <c r="E2443"/>
      <c r="F2443" t="s">
        <v>14</v>
      </c>
    </row>
    <row r="2444" spans="2:6" x14ac:dyDescent="0.2">
      <c r="B2444"/>
      <c r="C2444"/>
      <c r="D2444"/>
      <c r="E2444"/>
      <c r="F2444" t="s">
        <v>15</v>
      </c>
    </row>
    <row r="2445" spans="2:6" x14ac:dyDescent="0.2">
      <c r="B2445"/>
      <c r="C2445"/>
      <c r="D2445"/>
      <c r="E2445"/>
      <c r="F2445" t="s">
        <v>30</v>
      </c>
    </row>
    <row r="2446" spans="2:6" x14ac:dyDescent="0.2">
      <c r="B2446"/>
      <c r="C2446"/>
      <c r="D2446"/>
      <c r="E2446"/>
      <c r="F2446" t="s">
        <v>31</v>
      </c>
    </row>
    <row r="2447" spans="2:6" x14ac:dyDescent="0.2">
      <c r="B2447"/>
      <c r="C2447"/>
      <c r="D2447"/>
      <c r="E2447"/>
      <c r="F2447" t="s">
        <v>32</v>
      </c>
    </row>
    <row r="2448" spans="2:6" x14ac:dyDescent="0.2">
      <c r="B2448" t="s">
        <v>917</v>
      </c>
      <c r="C2448" t="s">
        <v>924</v>
      </c>
      <c r="D2448" t="s">
        <v>969</v>
      </c>
      <c r="E2448" t="s">
        <v>965</v>
      </c>
      <c r="F2448" t="s">
        <v>11</v>
      </c>
    </row>
    <row r="2449" spans="2:6" x14ac:dyDescent="0.2">
      <c r="B2449" t="s">
        <v>1119</v>
      </c>
      <c r="C2449" t="s">
        <v>1120</v>
      </c>
      <c r="D2449" t="s">
        <v>970</v>
      </c>
      <c r="E2449" t="s">
        <v>1164</v>
      </c>
      <c r="F2449" t="s">
        <v>43</v>
      </c>
    </row>
    <row r="2450" spans="2:6" x14ac:dyDescent="0.2">
      <c r="B2450"/>
      <c r="C2450"/>
      <c r="D2450"/>
      <c r="E2450"/>
      <c r="F2450" t="s">
        <v>9</v>
      </c>
    </row>
    <row r="2451" spans="2:6" x14ac:dyDescent="0.2">
      <c r="B2451"/>
      <c r="C2451"/>
      <c r="D2451"/>
      <c r="E2451"/>
      <c r="F2451" t="s">
        <v>10</v>
      </c>
    </row>
    <row r="2452" spans="2:6" x14ac:dyDescent="0.2">
      <c r="B2452"/>
      <c r="C2452"/>
      <c r="D2452"/>
      <c r="E2452"/>
      <c r="F2452" t="s">
        <v>29</v>
      </c>
    </row>
    <row r="2453" spans="2:6" x14ac:dyDescent="0.2">
      <c r="B2453" t="s">
        <v>840</v>
      </c>
      <c r="C2453" t="s">
        <v>841</v>
      </c>
      <c r="D2453" t="s">
        <v>970</v>
      </c>
      <c r="E2453" t="s">
        <v>965</v>
      </c>
      <c r="F2453" t="s">
        <v>59</v>
      </c>
    </row>
    <row r="2454" spans="2:6" x14ac:dyDescent="0.2">
      <c r="B2454"/>
      <c r="C2454"/>
      <c r="D2454"/>
      <c r="E2454"/>
      <c r="F2454" t="s">
        <v>10</v>
      </c>
    </row>
    <row r="2455" spans="2:6" x14ac:dyDescent="0.2">
      <c r="B2455"/>
      <c r="C2455"/>
      <c r="D2455"/>
      <c r="E2455"/>
      <c r="F2455" t="s">
        <v>51</v>
      </c>
    </row>
    <row r="2456" spans="2:6" x14ac:dyDescent="0.2">
      <c r="B2456" t="s">
        <v>539</v>
      </c>
      <c r="C2456" t="s">
        <v>1000</v>
      </c>
      <c r="D2456" t="s">
        <v>969</v>
      </c>
      <c r="E2456" t="s">
        <v>1254</v>
      </c>
      <c r="F2456" t="s">
        <v>5</v>
      </c>
    </row>
    <row r="2457" spans="2:6" x14ac:dyDescent="0.2">
      <c r="B2457"/>
      <c r="C2457"/>
      <c r="D2457"/>
      <c r="E2457"/>
      <c r="F2457" t="s">
        <v>8</v>
      </c>
    </row>
    <row r="2458" spans="2:6" x14ac:dyDescent="0.2">
      <c r="B2458"/>
      <c r="C2458"/>
      <c r="D2458"/>
      <c r="E2458"/>
      <c r="F2458" t="s">
        <v>9</v>
      </c>
    </row>
    <row r="2459" spans="2:6" x14ac:dyDescent="0.2">
      <c r="B2459"/>
      <c r="C2459"/>
      <c r="D2459"/>
      <c r="E2459"/>
      <c r="F2459" t="s">
        <v>10</v>
      </c>
    </row>
    <row r="2460" spans="2:6" x14ac:dyDescent="0.2">
      <c r="B2460"/>
      <c r="C2460"/>
      <c r="D2460"/>
      <c r="E2460"/>
      <c r="F2460" t="s">
        <v>12</v>
      </c>
    </row>
    <row r="2461" spans="2:6" x14ac:dyDescent="0.2">
      <c r="B2461"/>
      <c r="C2461"/>
      <c r="D2461"/>
      <c r="E2461"/>
      <c r="F2461" t="s">
        <v>29</v>
      </c>
    </row>
    <row r="2462" spans="2:6" x14ac:dyDescent="0.2">
      <c r="B2462"/>
      <c r="C2462"/>
      <c r="D2462"/>
      <c r="E2462"/>
      <c r="F2462" t="s">
        <v>15</v>
      </c>
    </row>
    <row r="2463" spans="2:6" x14ac:dyDescent="0.2">
      <c r="B2463"/>
      <c r="C2463"/>
      <c r="D2463"/>
      <c r="E2463"/>
      <c r="F2463" t="s">
        <v>31</v>
      </c>
    </row>
    <row r="2464" spans="2:6" x14ac:dyDescent="0.2">
      <c r="B2464"/>
      <c r="C2464"/>
      <c r="D2464"/>
      <c r="E2464"/>
      <c r="F2464" t="s">
        <v>32</v>
      </c>
    </row>
    <row r="2465" spans="2:6" x14ac:dyDescent="0.2">
      <c r="B2465" t="s">
        <v>255</v>
      </c>
      <c r="C2465" t="s">
        <v>731</v>
      </c>
      <c r="D2465" t="s">
        <v>969</v>
      </c>
      <c r="E2465" t="s">
        <v>965</v>
      </c>
      <c r="F2465" t="s">
        <v>4</v>
      </c>
    </row>
    <row r="2466" spans="2:6" x14ac:dyDescent="0.2">
      <c r="B2466"/>
      <c r="C2466"/>
      <c r="D2466"/>
      <c r="E2466"/>
      <c r="F2466" t="s">
        <v>5</v>
      </c>
    </row>
    <row r="2467" spans="2:6" x14ac:dyDescent="0.2">
      <c r="B2467"/>
      <c r="C2467"/>
      <c r="D2467"/>
      <c r="E2467"/>
      <c r="F2467" t="s">
        <v>10</v>
      </c>
    </row>
    <row r="2468" spans="2:6" x14ac:dyDescent="0.2">
      <c r="B2468"/>
      <c r="C2468"/>
      <c r="D2468"/>
      <c r="E2468"/>
      <c r="F2468" t="s">
        <v>13</v>
      </c>
    </row>
    <row r="2469" spans="2:6" x14ac:dyDescent="0.2">
      <c r="B2469"/>
      <c r="C2469"/>
      <c r="D2469"/>
      <c r="E2469"/>
      <c r="F2469" t="s">
        <v>14</v>
      </c>
    </row>
    <row r="2470" spans="2:6" x14ac:dyDescent="0.2">
      <c r="B2470"/>
      <c r="C2470"/>
      <c r="D2470"/>
      <c r="E2470"/>
      <c r="F2470" t="s">
        <v>30</v>
      </c>
    </row>
    <row r="2471" spans="2:6" x14ac:dyDescent="0.2">
      <c r="B2471"/>
      <c r="C2471"/>
      <c r="D2471"/>
      <c r="E2471"/>
      <c r="F2471" t="s">
        <v>31</v>
      </c>
    </row>
    <row r="2472" spans="2:6" x14ac:dyDescent="0.2">
      <c r="B2472"/>
      <c r="C2472"/>
      <c r="D2472"/>
      <c r="E2472"/>
      <c r="F2472" t="s">
        <v>32</v>
      </c>
    </row>
    <row r="2473" spans="2:6" x14ac:dyDescent="0.2">
      <c r="B2473"/>
      <c r="C2473"/>
      <c r="D2473"/>
      <c r="E2473"/>
      <c r="F2473" t="s">
        <v>54</v>
      </c>
    </row>
    <row r="2474" spans="2:6" x14ac:dyDescent="0.2">
      <c r="B2474" t="s">
        <v>256</v>
      </c>
      <c r="C2474" t="s">
        <v>732</v>
      </c>
      <c r="D2474" t="s">
        <v>970</v>
      </c>
      <c r="E2474" t="s">
        <v>1255</v>
      </c>
      <c r="F2474" t="s">
        <v>4</v>
      </c>
    </row>
    <row r="2475" spans="2:6" x14ac:dyDescent="0.2">
      <c r="B2475"/>
      <c r="C2475"/>
      <c r="D2475"/>
      <c r="E2475"/>
      <c r="F2475" t="s">
        <v>5</v>
      </c>
    </row>
    <row r="2476" spans="2:6" x14ac:dyDescent="0.2">
      <c r="B2476"/>
      <c r="C2476"/>
      <c r="D2476"/>
      <c r="E2476"/>
      <c r="F2476" t="s">
        <v>25</v>
      </c>
    </row>
    <row r="2477" spans="2:6" x14ac:dyDescent="0.2">
      <c r="B2477"/>
      <c r="C2477"/>
      <c r="D2477"/>
      <c r="E2477"/>
      <c r="F2477" t="s">
        <v>9</v>
      </c>
    </row>
    <row r="2478" spans="2:6" x14ac:dyDescent="0.2">
      <c r="B2478"/>
      <c r="C2478"/>
      <c r="D2478"/>
      <c r="E2478"/>
      <c r="F2478" t="s">
        <v>10</v>
      </c>
    </row>
    <row r="2479" spans="2:6" x14ac:dyDescent="0.2">
      <c r="B2479"/>
      <c r="C2479"/>
      <c r="D2479"/>
      <c r="E2479"/>
      <c r="F2479" t="s">
        <v>37</v>
      </c>
    </row>
    <row r="2480" spans="2:6" x14ac:dyDescent="0.2">
      <c r="B2480"/>
      <c r="C2480"/>
      <c r="D2480"/>
      <c r="E2480"/>
      <c r="F2480" t="s">
        <v>13</v>
      </c>
    </row>
    <row r="2481" spans="2:6" x14ac:dyDescent="0.2">
      <c r="B2481"/>
      <c r="C2481"/>
      <c r="D2481"/>
      <c r="E2481"/>
      <c r="F2481" t="s">
        <v>14</v>
      </c>
    </row>
    <row r="2482" spans="2:6" x14ac:dyDescent="0.2">
      <c r="B2482" t="s">
        <v>1032</v>
      </c>
      <c r="C2482" t="s">
        <v>1034</v>
      </c>
      <c r="D2482" t="s">
        <v>969</v>
      </c>
      <c r="E2482" t="s">
        <v>1256</v>
      </c>
      <c r="F2482" t="s">
        <v>43</v>
      </c>
    </row>
    <row r="2483" spans="2:6" x14ac:dyDescent="0.2">
      <c r="B2483"/>
      <c r="C2483"/>
      <c r="D2483"/>
      <c r="E2483"/>
      <c r="F2483" t="s">
        <v>44</v>
      </c>
    </row>
    <row r="2484" spans="2:6" x14ac:dyDescent="0.2">
      <c r="B2484"/>
      <c r="C2484"/>
      <c r="D2484"/>
      <c r="E2484"/>
      <c r="F2484" t="s">
        <v>4</v>
      </c>
    </row>
    <row r="2485" spans="2:6" x14ac:dyDescent="0.2">
      <c r="B2485"/>
      <c r="C2485"/>
      <c r="D2485"/>
      <c r="E2485"/>
      <c r="F2485" t="s">
        <v>5</v>
      </c>
    </row>
    <row r="2486" spans="2:6" x14ac:dyDescent="0.2">
      <c r="B2486"/>
      <c r="C2486"/>
      <c r="D2486"/>
      <c r="E2486"/>
      <c r="F2486" t="s">
        <v>24</v>
      </c>
    </row>
    <row r="2487" spans="2:6" x14ac:dyDescent="0.2">
      <c r="B2487"/>
      <c r="C2487"/>
      <c r="D2487"/>
      <c r="E2487"/>
      <c r="F2487" t="s">
        <v>25</v>
      </c>
    </row>
    <row r="2488" spans="2:6" x14ac:dyDescent="0.2">
      <c r="B2488"/>
      <c r="C2488"/>
      <c r="D2488"/>
      <c r="E2488"/>
      <c r="F2488" t="s">
        <v>9</v>
      </c>
    </row>
    <row r="2489" spans="2:6" x14ac:dyDescent="0.2">
      <c r="B2489"/>
      <c r="C2489"/>
      <c r="D2489"/>
      <c r="E2489"/>
      <c r="F2489" t="s">
        <v>51</v>
      </c>
    </row>
    <row r="2490" spans="2:6" x14ac:dyDescent="0.2">
      <c r="B2490"/>
      <c r="C2490"/>
      <c r="D2490"/>
      <c r="E2490"/>
      <c r="F2490" t="s">
        <v>39</v>
      </c>
    </row>
    <row r="2491" spans="2:6" x14ac:dyDescent="0.2">
      <c r="B2491"/>
      <c r="C2491"/>
      <c r="D2491"/>
      <c r="E2491"/>
      <c r="F2491" t="s">
        <v>37</v>
      </c>
    </row>
    <row r="2492" spans="2:6" x14ac:dyDescent="0.2">
      <c r="B2492"/>
      <c r="C2492"/>
      <c r="D2492"/>
      <c r="E2492"/>
      <c r="F2492" t="s">
        <v>13</v>
      </c>
    </row>
    <row r="2493" spans="2:6" x14ac:dyDescent="0.2">
      <c r="B2493"/>
      <c r="C2493"/>
      <c r="D2493"/>
      <c r="E2493"/>
      <c r="F2493" t="s">
        <v>14</v>
      </c>
    </row>
    <row r="2494" spans="2:6" x14ac:dyDescent="0.2">
      <c r="B2494" t="s">
        <v>257</v>
      </c>
      <c r="C2494" t="s">
        <v>733</v>
      </c>
      <c r="D2494" t="s">
        <v>969</v>
      </c>
      <c r="E2494" t="s">
        <v>965</v>
      </c>
      <c r="F2494" t="s">
        <v>43</v>
      </c>
    </row>
    <row r="2495" spans="2:6" x14ac:dyDescent="0.2">
      <c r="B2495"/>
      <c r="C2495"/>
      <c r="D2495"/>
      <c r="E2495"/>
      <c r="F2495" t="s">
        <v>44</v>
      </c>
    </row>
    <row r="2496" spans="2:6" x14ac:dyDescent="0.2">
      <c r="B2496"/>
      <c r="C2496"/>
      <c r="D2496"/>
      <c r="E2496"/>
      <c r="F2496" t="s">
        <v>4</v>
      </c>
    </row>
    <row r="2497" spans="2:6" x14ac:dyDescent="0.2">
      <c r="B2497"/>
      <c r="C2497"/>
      <c r="D2497"/>
      <c r="E2497"/>
      <c r="F2497" t="s">
        <v>5</v>
      </c>
    </row>
    <row r="2498" spans="2:6" x14ac:dyDescent="0.2">
      <c r="B2498"/>
      <c r="C2498"/>
      <c r="D2498"/>
      <c r="E2498"/>
      <c r="F2498" t="s">
        <v>6</v>
      </c>
    </row>
    <row r="2499" spans="2:6" x14ac:dyDescent="0.2">
      <c r="B2499"/>
      <c r="C2499"/>
      <c r="D2499"/>
      <c r="E2499"/>
      <c r="F2499" t="s">
        <v>7</v>
      </c>
    </row>
    <row r="2500" spans="2:6" x14ac:dyDescent="0.2">
      <c r="B2500"/>
      <c r="C2500"/>
      <c r="D2500"/>
      <c r="E2500"/>
      <c r="F2500" t="s">
        <v>8</v>
      </c>
    </row>
    <row r="2501" spans="2:6" x14ac:dyDescent="0.2">
      <c r="B2501"/>
      <c r="C2501"/>
      <c r="D2501"/>
      <c r="E2501"/>
      <c r="F2501" t="s">
        <v>24</v>
      </c>
    </row>
    <row r="2502" spans="2:6" x14ac:dyDescent="0.2">
      <c r="B2502"/>
      <c r="C2502"/>
      <c r="D2502"/>
      <c r="E2502"/>
      <c r="F2502" t="s">
        <v>25</v>
      </c>
    </row>
    <row r="2503" spans="2:6" x14ac:dyDescent="0.2">
      <c r="B2503"/>
      <c r="C2503"/>
      <c r="D2503"/>
      <c r="E2503"/>
      <c r="F2503" t="s">
        <v>9</v>
      </c>
    </row>
    <row r="2504" spans="2:6" x14ac:dyDescent="0.2">
      <c r="B2504"/>
      <c r="C2504"/>
      <c r="D2504"/>
      <c r="E2504"/>
      <c r="F2504" t="s">
        <v>27</v>
      </c>
    </row>
    <row r="2505" spans="2:6" x14ac:dyDescent="0.2">
      <c r="B2505"/>
      <c r="C2505"/>
      <c r="D2505"/>
      <c r="E2505"/>
      <c r="F2505" t="s">
        <v>21</v>
      </c>
    </row>
    <row r="2506" spans="2:6" x14ac:dyDescent="0.2">
      <c r="B2506"/>
      <c r="C2506"/>
      <c r="D2506"/>
      <c r="E2506"/>
      <c r="F2506" t="s">
        <v>22</v>
      </c>
    </row>
    <row r="2507" spans="2:6" x14ac:dyDescent="0.2">
      <c r="B2507"/>
      <c r="C2507"/>
      <c r="D2507"/>
      <c r="E2507"/>
      <c r="F2507" t="s">
        <v>39</v>
      </c>
    </row>
    <row r="2508" spans="2:6" x14ac:dyDescent="0.2">
      <c r="B2508"/>
      <c r="C2508"/>
      <c r="D2508"/>
      <c r="E2508"/>
      <c r="F2508" t="s">
        <v>37</v>
      </c>
    </row>
    <row r="2509" spans="2:6" x14ac:dyDescent="0.2">
      <c r="B2509"/>
      <c r="C2509"/>
      <c r="D2509"/>
      <c r="E2509"/>
      <c r="F2509" t="s">
        <v>13</v>
      </c>
    </row>
    <row r="2510" spans="2:6" x14ac:dyDescent="0.2">
      <c r="B2510"/>
      <c r="C2510"/>
      <c r="D2510"/>
      <c r="E2510"/>
      <c r="F2510" t="s">
        <v>52</v>
      </c>
    </row>
    <row r="2511" spans="2:6" x14ac:dyDescent="0.2">
      <c r="B2511"/>
      <c r="C2511"/>
      <c r="D2511"/>
      <c r="E2511"/>
      <c r="F2511" t="s">
        <v>14</v>
      </c>
    </row>
    <row r="2512" spans="2:6" x14ac:dyDescent="0.2">
      <c r="B2512"/>
      <c r="C2512"/>
      <c r="D2512"/>
      <c r="E2512"/>
      <c r="F2512" t="s">
        <v>15</v>
      </c>
    </row>
    <row r="2513" spans="2:6" x14ac:dyDescent="0.2">
      <c r="B2513"/>
      <c r="C2513"/>
      <c r="D2513"/>
      <c r="E2513"/>
      <c r="F2513" t="s">
        <v>30</v>
      </c>
    </row>
    <row r="2514" spans="2:6" x14ac:dyDescent="0.2">
      <c r="B2514"/>
      <c r="C2514"/>
      <c r="D2514"/>
      <c r="E2514"/>
      <c r="F2514" t="s">
        <v>53</v>
      </c>
    </row>
    <row r="2515" spans="2:6" x14ac:dyDescent="0.2">
      <c r="B2515"/>
      <c r="C2515"/>
      <c r="D2515"/>
      <c r="E2515"/>
      <c r="F2515" t="s">
        <v>31</v>
      </c>
    </row>
    <row r="2516" spans="2:6" x14ac:dyDescent="0.2">
      <c r="B2516"/>
      <c r="C2516"/>
      <c r="D2516"/>
      <c r="E2516"/>
      <c r="F2516" t="s">
        <v>32</v>
      </c>
    </row>
    <row r="2517" spans="2:6" x14ac:dyDescent="0.2">
      <c r="B2517"/>
      <c r="C2517"/>
      <c r="D2517"/>
      <c r="E2517"/>
      <c r="F2517" t="s">
        <v>54</v>
      </c>
    </row>
    <row r="2518" spans="2:6" x14ac:dyDescent="0.2">
      <c r="B2518"/>
      <c r="C2518"/>
      <c r="D2518"/>
      <c r="E2518"/>
      <c r="F2518" t="s">
        <v>38</v>
      </c>
    </row>
    <row r="2519" spans="2:6" x14ac:dyDescent="0.2">
      <c r="B2519"/>
      <c r="C2519"/>
      <c r="D2519"/>
      <c r="E2519"/>
      <c r="F2519" t="s">
        <v>55</v>
      </c>
    </row>
    <row r="2520" spans="2:6" x14ac:dyDescent="0.2">
      <c r="B2520"/>
      <c r="C2520"/>
      <c r="D2520"/>
      <c r="E2520"/>
      <c r="F2520" t="s">
        <v>56</v>
      </c>
    </row>
    <row r="2521" spans="2:6" x14ac:dyDescent="0.2">
      <c r="B2521"/>
      <c r="C2521"/>
      <c r="D2521"/>
      <c r="E2521"/>
      <c r="F2521" t="s">
        <v>33</v>
      </c>
    </row>
    <row r="2522" spans="2:6" x14ac:dyDescent="0.2">
      <c r="B2522"/>
      <c r="C2522"/>
      <c r="D2522"/>
      <c r="E2522"/>
      <c r="F2522" t="s">
        <v>57</v>
      </c>
    </row>
    <row r="2523" spans="2:6" x14ac:dyDescent="0.2">
      <c r="B2523" t="s">
        <v>258</v>
      </c>
      <c r="C2523" t="s">
        <v>1077</v>
      </c>
      <c r="D2523" t="s">
        <v>969</v>
      </c>
      <c r="E2523" t="s">
        <v>1124</v>
      </c>
      <c r="F2523" t="s">
        <v>43</v>
      </c>
    </row>
    <row r="2524" spans="2:6" x14ac:dyDescent="0.2">
      <c r="B2524"/>
      <c r="C2524"/>
      <c r="D2524"/>
      <c r="E2524"/>
      <c r="F2524" t="s">
        <v>4</v>
      </c>
    </row>
    <row r="2525" spans="2:6" x14ac:dyDescent="0.2">
      <c r="B2525"/>
      <c r="C2525"/>
      <c r="D2525"/>
      <c r="E2525"/>
      <c r="F2525" t="s">
        <v>5</v>
      </c>
    </row>
    <row r="2526" spans="2:6" x14ac:dyDescent="0.2">
      <c r="B2526"/>
      <c r="C2526"/>
      <c r="D2526"/>
      <c r="E2526"/>
      <c r="F2526" t="s">
        <v>6</v>
      </c>
    </row>
    <row r="2527" spans="2:6" x14ac:dyDescent="0.2">
      <c r="B2527"/>
      <c r="C2527"/>
      <c r="D2527"/>
      <c r="E2527"/>
      <c r="F2527" t="s">
        <v>7</v>
      </c>
    </row>
    <row r="2528" spans="2:6" x14ac:dyDescent="0.2">
      <c r="B2528"/>
      <c r="C2528"/>
      <c r="D2528"/>
      <c r="E2528"/>
      <c r="F2528" t="s">
        <v>8</v>
      </c>
    </row>
    <row r="2529" spans="2:6" x14ac:dyDescent="0.2">
      <c r="B2529"/>
      <c r="C2529"/>
      <c r="D2529"/>
      <c r="E2529"/>
      <c r="F2529" t="s">
        <v>24</v>
      </c>
    </row>
    <row r="2530" spans="2:6" x14ac:dyDescent="0.2">
      <c r="B2530"/>
      <c r="C2530"/>
      <c r="D2530"/>
      <c r="E2530"/>
      <c r="F2530" t="s">
        <v>25</v>
      </c>
    </row>
    <row r="2531" spans="2:6" x14ac:dyDescent="0.2">
      <c r="B2531"/>
      <c r="C2531"/>
      <c r="D2531"/>
      <c r="E2531"/>
      <c r="F2531" t="s">
        <v>9</v>
      </c>
    </row>
    <row r="2532" spans="2:6" x14ac:dyDescent="0.2">
      <c r="B2532"/>
      <c r="C2532"/>
      <c r="D2532"/>
      <c r="E2532"/>
      <c r="F2532" t="s">
        <v>27</v>
      </c>
    </row>
    <row r="2533" spans="2:6" x14ac:dyDescent="0.2">
      <c r="B2533"/>
      <c r="C2533"/>
      <c r="D2533"/>
      <c r="E2533"/>
      <c r="F2533" t="s">
        <v>10</v>
      </c>
    </row>
    <row r="2534" spans="2:6" x14ac:dyDescent="0.2">
      <c r="B2534"/>
      <c r="C2534"/>
      <c r="D2534"/>
      <c r="E2534"/>
      <c r="F2534" t="s">
        <v>51</v>
      </c>
    </row>
    <row r="2535" spans="2:6" x14ac:dyDescent="0.2">
      <c r="B2535"/>
      <c r="C2535"/>
      <c r="D2535"/>
      <c r="E2535"/>
      <c r="F2535" t="s">
        <v>39</v>
      </c>
    </row>
    <row r="2536" spans="2:6" x14ac:dyDescent="0.2">
      <c r="B2536"/>
      <c r="C2536"/>
      <c r="D2536"/>
      <c r="E2536"/>
      <c r="F2536" t="s">
        <v>12</v>
      </c>
    </row>
    <row r="2537" spans="2:6" x14ac:dyDescent="0.2">
      <c r="B2537"/>
      <c r="C2537"/>
      <c r="D2537"/>
      <c r="E2537"/>
      <c r="F2537" t="s">
        <v>28</v>
      </c>
    </row>
    <row r="2538" spans="2:6" x14ac:dyDescent="0.2">
      <c r="B2538"/>
      <c r="C2538"/>
      <c r="D2538"/>
      <c r="E2538"/>
      <c r="F2538" t="s">
        <v>29</v>
      </c>
    </row>
    <row r="2539" spans="2:6" x14ac:dyDescent="0.2">
      <c r="B2539"/>
      <c r="C2539"/>
      <c r="D2539"/>
      <c r="E2539"/>
      <c r="F2539" t="s">
        <v>37</v>
      </c>
    </row>
    <row r="2540" spans="2:6" x14ac:dyDescent="0.2">
      <c r="B2540"/>
      <c r="C2540"/>
      <c r="D2540"/>
      <c r="E2540"/>
      <c r="F2540" t="s">
        <v>13</v>
      </c>
    </row>
    <row r="2541" spans="2:6" x14ac:dyDescent="0.2">
      <c r="B2541"/>
      <c r="C2541"/>
      <c r="D2541"/>
      <c r="E2541"/>
      <c r="F2541" t="s">
        <v>14</v>
      </c>
    </row>
    <row r="2542" spans="2:6" x14ac:dyDescent="0.2">
      <c r="B2542"/>
      <c r="C2542"/>
      <c r="D2542"/>
      <c r="E2542"/>
      <c r="F2542" t="s">
        <v>15</v>
      </c>
    </row>
    <row r="2543" spans="2:6" x14ac:dyDescent="0.2">
      <c r="B2543"/>
      <c r="C2543"/>
      <c r="D2543"/>
      <c r="E2543"/>
      <c r="F2543" t="s">
        <v>30</v>
      </c>
    </row>
    <row r="2544" spans="2:6" x14ac:dyDescent="0.2">
      <c r="B2544"/>
      <c r="C2544"/>
      <c r="D2544"/>
      <c r="E2544"/>
      <c r="F2544" t="s">
        <v>53</v>
      </c>
    </row>
    <row r="2545" spans="2:6" x14ac:dyDescent="0.2">
      <c r="B2545"/>
      <c r="C2545"/>
      <c r="D2545"/>
      <c r="E2545"/>
      <c r="F2545" t="s">
        <v>31</v>
      </c>
    </row>
    <row r="2546" spans="2:6" x14ac:dyDescent="0.2">
      <c r="B2546"/>
      <c r="C2546"/>
      <c r="D2546"/>
      <c r="E2546"/>
      <c r="F2546" t="s">
        <v>32</v>
      </c>
    </row>
    <row r="2547" spans="2:6" x14ac:dyDescent="0.2">
      <c r="B2547"/>
      <c r="C2547"/>
      <c r="D2547"/>
      <c r="E2547"/>
      <c r="F2547" t="s">
        <v>38</v>
      </c>
    </row>
    <row r="2548" spans="2:6" x14ac:dyDescent="0.2">
      <c r="B2548"/>
      <c r="C2548"/>
      <c r="D2548"/>
      <c r="E2548"/>
      <c r="F2548" t="s">
        <v>56</v>
      </c>
    </row>
    <row r="2549" spans="2:6" x14ac:dyDescent="0.2">
      <c r="B2549"/>
      <c r="C2549"/>
      <c r="D2549"/>
      <c r="E2549"/>
      <c r="F2549" t="s">
        <v>33</v>
      </c>
    </row>
    <row r="2550" spans="2:6" x14ac:dyDescent="0.2">
      <c r="B2550"/>
      <c r="C2550"/>
      <c r="D2550"/>
      <c r="E2550"/>
      <c r="F2550" t="s">
        <v>57</v>
      </c>
    </row>
    <row r="2551" spans="2:6" x14ac:dyDescent="0.2">
      <c r="B2551" t="s">
        <v>259</v>
      </c>
      <c r="C2551" t="s">
        <v>734</v>
      </c>
      <c r="D2551" t="s">
        <v>970</v>
      </c>
      <c r="E2551" t="s">
        <v>1171</v>
      </c>
      <c r="F2551" t="s">
        <v>10</v>
      </c>
    </row>
    <row r="2552" spans="2:6" x14ac:dyDescent="0.2">
      <c r="B2552" t="s">
        <v>260</v>
      </c>
      <c r="C2552" t="s">
        <v>959</v>
      </c>
      <c r="D2552" t="s">
        <v>970</v>
      </c>
      <c r="E2552" t="s">
        <v>1139</v>
      </c>
      <c r="F2552" t="s">
        <v>4</v>
      </c>
    </row>
    <row r="2553" spans="2:6" x14ac:dyDescent="0.2">
      <c r="B2553"/>
      <c r="C2553"/>
      <c r="D2553"/>
      <c r="E2553"/>
      <c r="F2553" t="s">
        <v>5</v>
      </c>
    </row>
    <row r="2554" spans="2:6" x14ac:dyDescent="0.2">
      <c r="B2554"/>
      <c r="C2554"/>
      <c r="D2554"/>
      <c r="E2554"/>
      <c r="F2554" t="s">
        <v>8</v>
      </c>
    </row>
    <row r="2555" spans="2:6" x14ac:dyDescent="0.2">
      <c r="B2555"/>
      <c r="C2555"/>
      <c r="D2555"/>
      <c r="E2555"/>
      <c r="F2555" t="s">
        <v>24</v>
      </c>
    </row>
    <row r="2556" spans="2:6" x14ac:dyDescent="0.2">
      <c r="B2556"/>
      <c r="C2556"/>
      <c r="D2556"/>
      <c r="E2556"/>
      <c r="F2556" t="s">
        <v>25</v>
      </c>
    </row>
    <row r="2557" spans="2:6" x14ac:dyDescent="0.2">
      <c r="B2557"/>
      <c r="C2557"/>
      <c r="D2557"/>
      <c r="E2557"/>
      <c r="F2557" t="s">
        <v>9</v>
      </c>
    </row>
    <row r="2558" spans="2:6" x14ac:dyDescent="0.2">
      <c r="B2558"/>
      <c r="C2558"/>
      <c r="D2558"/>
      <c r="E2558"/>
      <c r="F2558" t="s">
        <v>27</v>
      </c>
    </row>
    <row r="2559" spans="2:6" x14ac:dyDescent="0.2">
      <c r="B2559"/>
      <c r="C2559"/>
      <c r="D2559"/>
      <c r="E2559"/>
      <c r="F2559" t="s">
        <v>10</v>
      </c>
    </row>
    <row r="2560" spans="2:6" x14ac:dyDescent="0.2">
      <c r="B2560"/>
      <c r="C2560"/>
      <c r="D2560"/>
      <c r="E2560"/>
      <c r="F2560" t="s">
        <v>39</v>
      </c>
    </row>
    <row r="2561" spans="2:6" x14ac:dyDescent="0.2">
      <c r="B2561"/>
      <c r="C2561"/>
      <c r="D2561"/>
      <c r="E2561"/>
      <c r="F2561" t="s">
        <v>37</v>
      </c>
    </row>
    <row r="2562" spans="2:6" x14ac:dyDescent="0.2">
      <c r="B2562"/>
      <c r="C2562"/>
      <c r="D2562"/>
      <c r="E2562"/>
      <c r="F2562" t="s">
        <v>13</v>
      </c>
    </row>
    <row r="2563" spans="2:6" x14ac:dyDescent="0.2">
      <c r="B2563"/>
      <c r="C2563"/>
      <c r="D2563"/>
      <c r="E2563"/>
      <c r="F2563" t="s">
        <v>14</v>
      </c>
    </row>
    <row r="2564" spans="2:6" x14ac:dyDescent="0.2">
      <c r="B2564"/>
      <c r="C2564"/>
      <c r="D2564"/>
      <c r="E2564"/>
      <c r="F2564" t="s">
        <v>15</v>
      </c>
    </row>
    <row r="2565" spans="2:6" x14ac:dyDescent="0.2">
      <c r="B2565"/>
      <c r="C2565"/>
      <c r="D2565"/>
      <c r="E2565"/>
      <c r="F2565" t="s">
        <v>33</v>
      </c>
    </row>
    <row r="2566" spans="2:6" x14ac:dyDescent="0.2">
      <c r="B2566" t="s">
        <v>261</v>
      </c>
      <c r="C2566" t="s">
        <v>735</v>
      </c>
      <c r="D2566" t="s">
        <v>969</v>
      </c>
      <c r="E2566" t="s">
        <v>1257</v>
      </c>
      <c r="F2566" t="s">
        <v>5</v>
      </c>
    </row>
    <row r="2567" spans="2:6" x14ac:dyDescent="0.2">
      <c r="B2567"/>
      <c r="C2567"/>
      <c r="D2567"/>
      <c r="E2567"/>
      <c r="F2567" t="s">
        <v>10</v>
      </c>
    </row>
    <row r="2568" spans="2:6" x14ac:dyDescent="0.2">
      <c r="B2568"/>
      <c r="C2568"/>
      <c r="D2568"/>
      <c r="E2568"/>
      <c r="F2568" t="s">
        <v>12</v>
      </c>
    </row>
    <row r="2569" spans="2:6" x14ac:dyDescent="0.2">
      <c r="B2569"/>
      <c r="C2569"/>
      <c r="D2569"/>
      <c r="E2569"/>
      <c r="F2569" t="s">
        <v>29</v>
      </c>
    </row>
    <row r="2570" spans="2:6" x14ac:dyDescent="0.2">
      <c r="B2570" t="s">
        <v>262</v>
      </c>
      <c r="C2570" t="s">
        <v>736</v>
      </c>
      <c r="D2570" t="s">
        <v>970</v>
      </c>
      <c r="E2570" t="s">
        <v>965</v>
      </c>
      <c r="F2570" t="s">
        <v>4</v>
      </c>
    </row>
    <row r="2571" spans="2:6" x14ac:dyDescent="0.2">
      <c r="B2571"/>
      <c r="C2571"/>
      <c r="D2571"/>
      <c r="E2571"/>
      <c r="F2571" t="s">
        <v>5</v>
      </c>
    </row>
    <row r="2572" spans="2:6" x14ac:dyDescent="0.2">
      <c r="B2572"/>
      <c r="C2572"/>
      <c r="D2572"/>
      <c r="E2572"/>
      <c r="F2572" t="s">
        <v>9</v>
      </c>
    </row>
    <row r="2573" spans="2:6" x14ac:dyDescent="0.2">
      <c r="B2573"/>
      <c r="C2573"/>
      <c r="D2573"/>
      <c r="E2573"/>
      <c r="F2573" t="s">
        <v>10</v>
      </c>
    </row>
    <row r="2574" spans="2:6" x14ac:dyDescent="0.2">
      <c r="B2574"/>
      <c r="C2574"/>
      <c r="D2574"/>
      <c r="E2574"/>
      <c r="F2574" t="s">
        <v>39</v>
      </c>
    </row>
    <row r="2575" spans="2:6" x14ac:dyDescent="0.2">
      <c r="B2575"/>
      <c r="C2575"/>
      <c r="D2575"/>
      <c r="E2575"/>
      <c r="F2575" t="s">
        <v>14</v>
      </c>
    </row>
    <row r="2576" spans="2:6" x14ac:dyDescent="0.2">
      <c r="B2576"/>
      <c r="C2576"/>
      <c r="D2576"/>
      <c r="E2576"/>
      <c r="F2576" t="s">
        <v>15</v>
      </c>
    </row>
    <row r="2577" spans="2:6" x14ac:dyDescent="0.2">
      <c r="B2577" t="s">
        <v>1041</v>
      </c>
      <c r="C2577" t="s">
        <v>1042</v>
      </c>
      <c r="D2577" t="s">
        <v>970</v>
      </c>
      <c r="E2577" t="s">
        <v>1193</v>
      </c>
      <c r="F2577" t="s">
        <v>70</v>
      </c>
    </row>
    <row r="2578" spans="2:6" x14ac:dyDescent="0.2">
      <c r="B2578"/>
      <c r="C2578"/>
      <c r="D2578"/>
      <c r="E2578"/>
      <c r="F2578" t="s">
        <v>976</v>
      </c>
    </row>
    <row r="2579" spans="2:6" x14ac:dyDescent="0.2">
      <c r="B2579"/>
      <c r="C2579"/>
      <c r="D2579"/>
      <c r="E2579"/>
      <c r="F2579" t="s">
        <v>978</v>
      </c>
    </row>
    <row r="2580" spans="2:6" x14ac:dyDescent="0.2">
      <c r="B2580"/>
      <c r="C2580"/>
      <c r="D2580"/>
      <c r="E2580"/>
      <c r="F2580" t="s">
        <v>1004</v>
      </c>
    </row>
    <row r="2581" spans="2:6" x14ac:dyDescent="0.2">
      <c r="B2581" t="s">
        <v>875</v>
      </c>
      <c r="C2581" t="s">
        <v>876</v>
      </c>
      <c r="D2581" t="s">
        <v>970</v>
      </c>
      <c r="E2581" t="s">
        <v>1232</v>
      </c>
      <c r="F2581" t="s">
        <v>5</v>
      </c>
    </row>
    <row r="2582" spans="2:6" x14ac:dyDescent="0.2">
      <c r="B2582"/>
      <c r="C2582"/>
      <c r="D2582"/>
      <c r="E2582"/>
      <c r="F2582" t="s">
        <v>8</v>
      </c>
    </row>
    <row r="2583" spans="2:6" x14ac:dyDescent="0.2">
      <c r="B2583"/>
      <c r="C2583"/>
      <c r="D2583"/>
      <c r="E2583"/>
      <c r="F2583" t="s">
        <v>25</v>
      </c>
    </row>
    <row r="2584" spans="2:6" x14ac:dyDescent="0.2">
      <c r="B2584"/>
      <c r="C2584"/>
      <c r="D2584"/>
      <c r="E2584"/>
      <c r="F2584" t="s">
        <v>9</v>
      </c>
    </row>
    <row r="2585" spans="2:6" x14ac:dyDescent="0.2">
      <c r="B2585"/>
      <c r="C2585"/>
      <c r="D2585"/>
      <c r="E2585"/>
      <c r="F2585" t="s">
        <v>12</v>
      </c>
    </row>
    <row r="2586" spans="2:6" x14ac:dyDescent="0.2">
      <c r="B2586"/>
      <c r="C2586"/>
      <c r="D2586"/>
      <c r="E2586"/>
      <c r="F2586" t="s">
        <v>31</v>
      </c>
    </row>
    <row r="2587" spans="2:6" x14ac:dyDescent="0.2">
      <c r="B2587"/>
      <c r="C2587"/>
      <c r="D2587"/>
      <c r="E2587"/>
      <c r="F2587" t="s">
        <v>32</v>
      </c>
    </row>
    <row r="2588" spans="2:6" x14ac:dyDescent="0.2">
      <c r="B2588" t="s">
        <v>918</v>
      </c>
      <c r="C2588" t="s">
        <v>925</v>
      </c>
      <c r="D2588" t="s">
        <v>969</v>
      </c>
      <c r="E2588" t="s">
        <v>1258</v>
      </c>
      <c r="F2588" t="s">
        <v>70</v>
      </c>
    </row>
    <row r="2589" spans="2:6" x14ac:dyDescent="0.2">
      <c r="B2589" t="s">
        <v>263</v>
      </c>
      <c r="C2589" t="s">
        <v>737</v>
      </c>
      <c r="D2589" t="s">
        <v>969</v>
      </c>
      <c r="E2589" t="s">
        <v>1259</v>
      </c>
      <c r="F2589" t="s">
        <v>10</v>
      </c>
    </row>
    <row r="2590" spans="2:6" x14ac:dyDescent="0.2">
      <c r="B2590" t="s">
        <v>896</v>
      </c>
      <c r="C2590" t="s">
        <v>612</v>
      </c>
      <c r="D2590" t="s">
        <v>969</v>
      </c>
      <c r="E2590" t="s">
        <v>1260</v>
      </c>
      <c r="F2590" t="s">
        <v>12</v>
      </c>
    </row>
    <row r="2591" spans="2:6" x14ac:dyDescent="0.2">
      <c r="B2591" t="s">
        <v>264</v>
      </c>
      <c r="C2591" t="s">
        <v>738</v>
      </c>
      <c r="D2591" t="s">
        <v>970</v>
      </c>
      <c r="E2591" t="s">
        <v>1261</v>
      </c>
      <c r="F2591" t="s">
        <v>35</v>
      </c>
    </row>
    <row r="2592" spans="2:6" x14ac:dyDescent="0.2">
      <c r="B2592"/>
      <c r="C2592"/>
      <c r="D2592"/>
      <c r="E2592"/>
      <c r="F2592" t="s">
        <v>36</v>
      </c>
    </row>
    <row r="2593" spans="2:6" x14ac:dyDescent="0.2">
      <c r="B2593"/>
      <c r="C2593"/>
      <c r="D2593"/>
      <c r="E2593"/>
      <c r="F2593" t="s">
        <v>4</v>
      </c>
    </row>
    <row r="2594" spans="2:6" x14ac:dyDescent="0.2">
      <c r="B2594"/>
      <c r="C2594"/>
      <c r="D2594"/>
      <c r="E2594"/>
      <c r="F2594" t="s">
        <v>5</v>
      </c>
    </row>
    <row r="2595" spans="2:6" x14ac:dyDescent="0.2">
      <c r="B2595"/>
      <c r="C2595"/>
      <c r="D2595"/>
      <c r="E2595"/>
      <c r="F2595" t="s">
        <v>7</v>
      </c>
    </row>
    <row r="2596" spans="2:6" x14ac:dyDescent="0.2">
      <c r="B2596"/>
      <c r="C2596"/>
      <c r="D2596"/>
      <c r="E2596"/>
      <c r="F2596" t="s">
        <v>8</v>
      </c>
    </row>
    <row r="2597" spans="2:6" x14ac:dyDescent="0.2">
      <c r="B2597"/>
      <c r="C2597"/>
      <c r="D2597"/>
      <c r="E2597"/>
      <c r="F2597" t="s">
        <v>24</v>
      </c>
    </row>
    <row r="2598" spans="2:6" x14ac:dyDescent="0.2">
      <c r="B2598"/>
      <c r="C2598"/>
      <c r="D2598"/>
      <c r="E2598"/>
      <c r="F2598" t="s">
        <v>25</v>
      </c>
    </row>
    <row r="2599" spans="2:6" x14ac:dyDescent="0.2">
      <c r="B2599"/>
      <c r="C2599"/>
      <c r="D2599"/>
      <c r="E2599"/>
      <c r="F2599" t="s">
        <v>9</v>
      </c>
    </row>
    <row r="2600" spans="2:6" x14ac:dyDescent="0.2">
      <c r="B2600"/>
      <c r="C2600"/>
      <c r="D2600"/>
      <c r="E2600"/>
      <c r="F2600" t="s">
        <v>81</v>
      </c>
    </row>
    <row r="2601" spans="2:6" x14ac:dyDescent="0.2">
      <c r="B2601"/>
      <c r="C2601"/>
      <c r="D2601"/>
      <c r="E2601"/>
      <c r="F2601" t="s">
        <v>10</v>
      </c>
    </row>
    <row r="2602" spans="2:6" x14ac:dyDescent="0.2">
      <c r="B2602"/>
      <c r="C2602"/>
      <c r="D2602"/>
      <c r="E2602"/>
      <c r="F2602" t="s">
        <v>21</v>
      </c>
    </row>
    <row r="2603" spans="2:6" x14ac:dyDescent="0.2">
      <c r="B2603"/>
      <c r="C2603"/>
      <c r="D2603"/>
      <c r="E2603"/>
      <c r="F2603" t="s">
        <v>22</v>
      </c>
    </row>
    <row r="2604" spans="2:6" x14ac:dyDescent="0.2">
      <c r="B2604"/>
      <c r="C2604"/>
      <c r="D2604"/>
      <c r="E2604"/>
      <c r="F2604" t="s">
        <v>63</v>
      </c>
    </row>
    <row r="2605" spans="2:6" x14ac:dyDescent="0.2">
      <c r="B2605"/>
      <c r="C2605"/>
      <c r="D2605"/>
      <c r="E2605"/>
      <c r="F2605" t="s">
        <v>12</v>
      </c>
    </row>
    <row r="2606" spans="2:6" x14ac:dyDescent="0.2">
      <c r="B2606"/>
      <c r="C2606"/>
      <c r="D2606"/>
      <c r="E2606"/>
      <c r="F2606" t="s">
        <v>28</v>
      </c>
    </row>
    <row r="2607" spans="2:6" x14ac:dyDescent="0.2">
      <c r="B2607"/>
      <c r="C2607"/>
      <c r="D2607"/>
      <c r="E2607"/>
      <c r="F2607" t="s">
        <v>29</v>
      </c>
    </row>
    <row r="2608" spans="2:6" x14ac:dyDescent="0.2">
      <c r="B2608"/>
      <c r="C2608"/>
      <c r="D2608"/>
      <c r="E2608"/>
      <c r="F2608" t="s">
        <v>13</v>
      </c>
    </row>
    <row r="2609" spans="2:6" x14ac:dyDescent="0.2">
      <c r="B2609"/>
      <c r="C2609"/>
      <c r="D2609"/>
      <c r="E2609"/>
      <c r="F2609" t="s">
        <v>14</v>
      </c>
    </row>
    <row r="2610" spans="2:6" x14ac:dyDescent="0.2">
      <c r="B2610"/>
      <c r="C2610"/>
      <c r="D2610"/>
      <c r="E2610"/>
      <c r="F2610" t="s">
        <v>15</v>
      </c>
    </row>
    <row r="2611" spans="2:6" x14ac:dyDescent="0.2">
      <c r="B2611"/>
      <c r="C2611"/>
      <c r="D2611"/>
      <c r="E2611"/>
      <c r="F2611" t="s">
        <v>31</v>
      </c>
    </row>
    <row r="2612" spans="2:6" x14ac:dyDescent="0.2">
      <c r="B2612"/>
      <c r="C2612"/>
      <c r="D2612"/>
      <c r="E2612"/>
      <c r="F2612" t="s">
        <v>32</v>
      </c>
    </row>
    <row r="2613" spans="2:6" x14ac:dyDescent="0.2">
      <c r="B2613" t="s">
        <v>265</v>
      </c>
      <c r="C2613" t="s">
        <v>739</v>
      </c>
      <c r="D2613" t="s">
        <v>969</v>
      </c>
      <c r="E2613" t="s">
        <v>965</v>
      </c>
      <c r="F2613" t="s">
        <v>35</v>
      </c>
    </row>
    <row r="2614" spans="2:6" x14ac:dyDescent="0.2">
      <c r="B2614"/>
      <c r="C2614"/>
      <c r="D2614"/>
      <c r="E2614"/>
      <c r="F2614" t="s">
        <v>124</v>
      </c>
    </row>
    <row r="2615" spans="2:6" x14ac:dyDescent="0.2">
      <c r="B2615"/>
      <c r="C2615"/>
      <c r="D2615"/>
      <c r="E2615"/>
      <c r="F2615" t="s">
        <v>36</v>
      </c>
    </row>
    <row r="2616" spans="2:6" x14ac:dyDescent="0.2">
      <c r="B2616"/>
      <c r="C2616"/>
      <c r="D2616"/>
      <c r="E2616"/>
      <c r="F2616" t="s">
        <v>125</v>
      </c>
    </row>
    <row r="2617" spans="2:6" x14ac:dyDescent="0.2">
      <c r="B2617"/>
      <c r="C2617"/>
      <c r="D2617"/>
      <c r="E2617"/>
      <c r="F2617" t="s">
        <v>42</v>
      </c>
    </row>
    <row r="2618" spans="2:6" x14ac:dyDescent="0.2">
      <c r="B2618"/>
      <c r="C2618"/>
      <c r="D2618"/>
      <c r="E2618"/>
      <c r="F2618" t="s">
        <v>4</v>
      </c>
    </row>
    <row r="2619" spans="2:6" x14ac:dyDescent="0.2">
      <c r="B2619"/>
      <c r="C2619"/>
      <c r="D2619"/>
      <c r="E2619"/>
      <c r="F2619" t="s">
        <v>5</v>
      </c>
    </row>
    <row r="2620" spans="2:6" x14ac:dyDescent="0.2">
      <c r="B2620"/>
      <c r="C2620"/>
      <c r="D2620"/>
      <c r="E2620"/>
      <c r="F2620" t="s">
        <v>7</v>
      </c>
    </row>
    <row r="2621" spans="2:6" x14ac:dyDescent="0.2">
      <c r="B2621"/>
      <c r="C2621"/>
      <c r="D2621"/>
      <c r="E2621"/>
      <c r="F2621" t="s">
        <v>8</v>
      </c>
    </row>
    <row r="2622" spans="2:6" x14ac:dyDescent="0.2">
      <c r="B2622"/>
      <c r="C2622"/>
      <c r="D2622"/>
      <c r="E2622"/>
      <c r="F2622" t="s">
        <v>24</v>
      </c>
    </row>
    <row r="2623" spans="2:6" x14ac:dyDescent="0.2">
      <c r="B2623"/>
      <c r="C2623"/>
      <c r="D2623"/>
      <c r="E2623"/>
      <c r="F2623" t="s">
        <v>25</v>
      </c>
    </row>
    <row r="2624" spans="2:6" x14ac:dyDescent="0.2">
      <c r="B2624"/>
      <c r="C2624"/>
      <c r="D2624"/>
      <c r="E2624"/>
      <c r="F2624" t="s">
        <v>9</v>
      </c>
    </row>
    <row r="2625" spans="2:6" x14ac:dyDescent="0.2">
      <c r="B2625"/>
      <c r="C2625"/>
      <c r="D2625"/>
      <c r="E2625"/>
      <c r="F2625" t="s">
        <v>59</v>
      </c>
    </row>
    <row r="2626" spans="2:6" x14ac:dyDescent="0.2">
      <c r="B2626"/>
      <c r="C2626"/>
      <c r="D2626"/>
      <c r="E2626"/>
      <c r="F2626" t="s">
        <v>10</v>
      </c>
    </row>
    <row r="2627" spans="2:6" x14ac:dyDescent="0.2">
      <c r="B2627"/>
      <c r="C2627"/>
      <c r="D2627"/>
      <c r="E2627"/>
      <c r="F2627" t="s">
        <v>22</v>
      </c>
    </row>
    <row r="2628" spans="2:6" x14ac:dyDescent="0.2">
      <c r="B2628"/>
      <c r="C2628"/>
      <c r="D2628"/>
      <c r="E2628"/>
      <c r="F2628" t="s">
        <v>39</v>
      </c>
    </row>
    <row r="2629" spans="2:6" x14ac:dyDescent="0.2">
      <c r="B2629"/>
      <c r="C2629"/>
      <c r="D2629"/>
      <c r="E2629"/>
      <c r="F2629" t="s">
        <v>12</v>
      </c>
    </row>
    <row r="2630" spans="2:6" x14ac:dyDescent="0.2">
      <c r="B2630"/>
      <c r="C2630"/>
      <c r="D2630"/>
      <c r="E2630"/>
      <c r="F2630" t="s">
        <v>37</v>
      </c>
    </row>
    <row r="2631" spans="2:6" x14ac:dyDescent="0.2">
      <c r="B2631"/>
      <c r="C2631"/>
      <c r="D2631"/>
      <c r="E2631"/>
      <c r="F2631" t="s">
        <v>13</v>
      </c>
    </row>
    <row r="2632" spans="2:6" x14ac:dyDescent="0.2">
      <c r="B2632"/>
      <c r="C2632"/>
      <c r="D2632"/>
      <c r="E2632"/>
      <c r="F2632" t="s">
        <v>14</v>
      </c>
    </row>
    <row r="2633" spans="2:6" x14ac:dyDescent="0.2">
      <c r="B2633"/>
      <c r="C2633"/>
      <c r="D2633"/>
      <c r="E2633"/>
      <c r="F2633" t="s">
        <v>15</v>
      </c>
    </row>
    <row r="2634" spans="2:6" x14ac:dyDescent="0.2">
      <c r="B2634"/>
      <c r="C2634"/>
      <c r="D2634"/>
      <c r="E2634"/>
      <c r="F2634" t="s">
        <v>30</v>
      </c>
    </row>
    <row r="2635" spans="2:6" x14ac:dyDescent="0.2">
      <c r="B2635"/>
      <c r="C2635"/>
      <c r="D2635"/>
      <c r="E2635"/>
      <c r="F2635" t="s">
        <v>53</v>
      </c>
    </row>
    <row r="2636" spans="2:6" x14ac:dyDescent="0.2">
      <c r="B2636"/>
      <c r="C2636"/>
      <c r="D2636"/>
      <c r="E2636"/>
      <c r="F2636" t="s">
        <v>31</v>
      </c>
    </row>
    <row r="2637" spans="2:6" x14ac:dyDescent="0.2">
      <c r="B2637"/>
      <c r="C2637"/>
      <c r="D2637"/>
      <c r="E2637"/>
      <c r="F2637" t="s">
        <v>32</v>
      </c>
    </row>
    <row r="2638" spans="2:6" x14ac:dyDescent="0.2">
      <c r="B2638"/>
      <c r="C2638"/>
      <c r="D2638"/>
      <c r="E2638"/>
      <c r="F2638" t="s">
        <v>54</v>
      </c>
    </row>
    <row r="2639" spans="2:6" x14ac:dyDescent="0.2">
      <c r="B2639"/>
      <c r="C2639"/>
      <c r="D2639"/>
      <c r="E2639"/>
      <c r="F2639" t="s">
        <v>38</v>
      </c>
    </row>
    <row r="2640" spans="2:6" x14ac:dyDescent="0.2">
      <c r="B2640" t="s">
        <v>266</v>
      </c>
      <c r="C2640" t="s">
        <v>740</v>
      </c>
      <c r="D2640" t="s">
        <v>970</v>
      </c>
      <c r="E2640" t="s">
        <v>965</v>
      </c>
      <c r="F2640" t="s">
        <v>10</v>
      </c>
    </row>
    <row r="2641" spans="2:6" x14ac:dyDescent="0.2">
      <c r="B2641"/>
      <c r="C2641"/>
      <c r="D2641"/>
      <c r="E2641"/>
      <c r="F2641" t="s">
        <v>107</v>
      </c>
    </row>
    <row r="2642" spans="2:6" x14ac:dyDescent="0.2">
      <c r="B2642"/>
      <c r="C2642"/>
      <c r="D2642"/>
      <c r="E2642"/>
      <c r="F2642" t="s">
        <v>108</v>
      </c>
    </row>
    <row r="2643" spans="2:6" x14ac:dyDescent="0.2">
      <c r="B2643" t="s">
        <v>267</v>
      </c>
      <c r="C2643" t="s">
        <v>741</v>
      </c>
      <c r="D2643" t="s">
        <v>970</v>
      </c>
      <c r="E2643" t="s">
        <v>1262</v>
      </c>
      <c r="F2643" t="s">
        <v>10</v>
      </c>
    </row>
    <row r="2644" spans="2:6" x14ac:dyDescent="0.2">
      <c r="B2644"/>
      <c r="C2644"/>
      <c r="D2644"/>
      <c r="E2644"/>
      <c r="F2644" t="s">
        <v>51</v>
      </c>
    </row>
    <row r="2645" spans="2:6" x14ac:dyDescent="0.2">
      <c r="B2645" t="s">
        <v>1017</v>
      </c>
      <c r="C2645" t="s">
        <v>1018</v>
      </c>
      <c r="D2645" t="s">
        <v>970</v>
      </c>
      <c r="E2645" t="s">
        <v>965</v>
      </c>
      <c r="F2645" t="s">
        <v>39</v>
      </c>
    </row>
    <row r="2646" spans="2:6" x14ac:dyDescent="0.2">
      <c r="B2646" t="s">
        <v>268</v>
      </c>
      <c r="C2646" t="s">
        <v>1043</v>
      </c>
      <c r="D2646" t="s">
        <v>970</v>
      </c>
      <c r="E2646" t="s">
        <v>1263</v>
      </c>
      <c r="F2646" t="s">
        <v>5</v>
      </c>
    </row>
    <row r="2647" spans="2:6" x14ac:dyDescent="0.2">
      <c r="B2647"/>
      <c r="C2647"/>
      <c r="D2647"/>
      <c r="E2647"/>
      <c r="F2647" t="s">
        <v>51</v>
      </c>
    </row>
    <row r="2648" spans="2:6" x14ac:dyDescent="0.2">
      <c r="B2648" t="s">
        <v>269</v>
      </c>
      <c r="C2648" t="s">
        <v>742</v>
      </c>
      <c r="D2648" t="s">
        <v>969</v>
      </c>
      <c r="E2648" t="s">
        <v>965</v>
      </c>
      <c r="F2648" t="s">
        <v>43</v>
      </c>
    </row>
    <row r="2649" spans="2:6" x14ac:dyDescent="0.2">
      <c r="B2649"/>
      <c r="C2649"/>
      <c r="D2649"/>
      <c r="E2649"/>
      <c r="F2649" t="s">
        <v>4</v>
      </c>
    </row>
    <row r="2650" spans="2:6" x14ac:dyDescent="0.2">
      <c r="B2650"/>
      <c r="C2650"/>
      <c r="D2650"/>
      <c r="E2650"/>
      <c r="F2650" t="s">
        <v>5</v>
      </c>
    </row>
    <row r="2651" spans="2:6" x14ac:dyDescent="0.2">
      <c r="B2651"/>
      <c r="C2651"/>
      <c r="D2651"/>
      <c r="E2651"/>
      <c r="F2651" t="s">
        <v>24</v>
      </c>
    </row>
    <row r="2652" spans="2:6" x14ac:dyDescent="0.2">
      <c r="B2652"/>
      <c r="C2652"/>
      <c r="D2652"/>
      <c r="E2652"/>
      <c r="F2652" t="s">
        <v>25</v>
      </c>
    </row>
    <row r="2653" spans="2:6" x14ac:dyDescent="0.2">
      <c r="B2653"/>
      <c r="C2653"/>
      <c r="D2653"/>
      <c r="E2653"/>
      <c r="F2653" t="s">
        <v>9</v>
      </c>
    </row>
    <row r="2654" spans="2:6" x14ac:dyDescent="0.2">
      <c r="B2654"/>
      <c r="C2654"/>
      <c r="D2654"/>
      <c r="E2654"/>
      <c r="F2654" t="s">
        <v>27</v>
      </c>
    </row>
    <row r="2655" spans="2:6" x14ac:dyDescent="0.2">
      <c r="B2655"/>
      <c r="C2655"/>
      <c r="D2655"/>
      <c r="E2655"/>
      <c r="F2655" t="s">
        <v>10</v>
      </c>
    </row>
    <row r="2656" spans="2:6" x14ac:dyDescent="0.2">
      <c r="B2656"/>
      <c r="C2656"/>
      <c r="D2656"/>
      <c r="E2656"/>
      <c r="F2656" t="s">
        <v>14</v>
      </c>
    </row>
    <row r="2657" spans="2:6" x14ac:dyDescent="0.2">
      <c r="B2657"/>
      <c r="C2657"/>
      <c r="D2657"/>
      <c r="E2657"/>
      <c r="F2657" t="s">
        <v>31</v>
      </c>
    </row>
    <row r="2658" spans="2:6" x14ac:dyDescent="0.2">
      <c r="B2658"/>
      <c r="C2658"/>
      <c r="D2658"/>
      <c r="E2658"/>
      <c r="F2658" t="s">
        <v>32</v>
      </c>
    </row>
    <row r="2659" spans="2:6" x14ac:dyDescent="0.2">
      <c r="B2659"/>
      <c r="C2659"/>
      <c r="D2659"/>
      <c r="E2659"/>
      <c r="F2659" t="s">
        <v>38</v>
      </c>
    </row>
    <row r="2660" spans="2:6" x14ac:dyDescent="0.2">
      <c r="B2660"/>
      <c r="C2660"/>
      <c r="D2660"/>
      <c r="E2660"/>
      <c r="F2660" t="s">
        <v>56</v>
      </c>
    </row>
    <row r="2661" spans="2:6" x14ac:dyDescent="0.2">
      <c r="B2661"/>
      <c r="C2661"/>
      <c r="D2661"/>
      <c r="E2661"/>
      <c r="F2661" t="s">
        <v>33</v>
      </c>
    </row>
    <row r="2662" spans="2:6" x14ac:dyDescent="0.2">
      <c r="B2662"/>
      <c r="C2662"/>
      <c r="D2662"/>
      <c r="E2662"/>
      <c r="F2662" t="s">
        <v>57</v>
      </c>
    </row>
    <row r="2663" spans="2:6" x14ac:dyDescent="0.2">
      <c r="B2663" t="s">
        <v>270</v>
      </c>
      <c r="C2663" t="s">
        <v>743</v>
      </c>
      <c r="D2663" t="s">
        <v>970</v>
      </c>
      <c r="E2663" t="s">
        <v>1134</v>
      </c>
      <c r="F2663" t="s">
        <v>42</v>
      </c>
    </row>
    <row r="2664" spans="2:6" x14ac:dyDescent="0.2">
      <c r="B2664"/>
      <c r="C2664"/>
      <c r="D2664"/>
      <c r="E2664"/>
      <c r="F2664" t="s">
        <v>43</v>
      </c>
    </row>
    <row r="2665" spans="2:6" x14ac:dyDescent="0.2">
      <c r="B2665"/>
      <c r="C2665"/>
      <c r="D2665"/>
      <c r="E2665"/>
      <c r="F2665" t="s">
        <v>44</v>
      </c>
    </row>
    <row r="2666" spans="2:6" x14ac:dyDescent="0.2">
      <c r="B2666"/>
      <c r="C2666"/>
      <c r="D2666"/>
      <c r="E2666"/>
      <c r="F2666" t="s">
        <v>4</v>
      </c>
    </row>
    <row r="2667" spans="2:6" x14ac:dyDescent="0.2">
      <c r="B2667"/>
      <c r="C2667"/>
      <c r="D2667"/>
      <c r="E2667"/>
      <c r="F2667" t="s">
        <v>5</v>
      </c>
    </row>
    <row r="2668" spans="2:6" x14ac:dyDescent="0.2">
      <c r="B2668"/>
      <c r="C2668"/>
      <c r="D2668"/>
      <c r="E2668"/>
      <c r="F2668" t="s">
        <v>6</v>
      </c>
    </row>
    <row r="2669" spans="2:6" x14ac:dyDescent="0.2">
      <c r="B2669"/>
      <c r="C2669"/>
      <c r="D2669"/>
      <c r="E2669"/>
      <c r="F2669" t="s">
        <v>8</v>
      </c>
    </row>
    <row r="2670" spans="2:6" x14ac:dyDescent="0.2">
      <c r="B2670"/>
      <c r="C2670"/>
      <c r="D2670"/>
      <c r="E2670"/>
      <c r="F2670" t="s">
        <v>24</v>
      </c>
    </row>
    <row r="2671" spans="2:6" x14ac:dyDescent="0.2">
      <c r="B2671"/>
      <c r="C2671"/>
      <c r="D2671"/>
      <c r="E2671"/>
      <c r="F2671" t="s">
        <v>25</v>
      </c>
    </row>
    <row r="2672" spans="2:6" x14ac:dyDescent="0.2">
      <c r="B2672"/>
      <c r="C2672"/>
      <c r="D2672"/>
      <c r="E2672"/>
      <c r="F2672" t="s">
        <v>9</v>
      </c>
    </row>
    <row r="2673" spans="2:6" x14ac:dyDescent="0.2">
      <c r="B2673"/>
      <c r="C2673"/>
      <c r="D2673"/>
      <c r="E2673"/>
      <c r="F2673" t="s">
        <v>27</v>
      </c>
    </row>
    <row r="2674" spans="2:6" x14ac:dyDescent="0.2">
      <c r="B2674"/>
      <c r="C2674"/>
      <c r="D2674"/>
      <c r="E2674"/>
      <c r="F2674" t="s">
        <v>10</v>
      </c>
    </row>
    <row r="2675" spans="2:6" x14ac:dyDescent="0.2">
      <c r="B2675"/>
      <c r="C2675"/>
      <c r="D2675"/>
      <c r="E2675"/>
      <c r="F2675" t="s">
        <v>29</v>
      </c>
    </row>
    <row r="2676" spans="2:6" x14ac:dyDescent="0.2">
      <c r="B2676"/>
      <c r="C2676"/>
      <c r="D2676"/>
      <c r="E2676"/>
      <c r="F2676" t="s">
        <v>37</v>
      </c>
    </row>
    <row r="2677" spans="2:6" x14ac:dyDescent="0.2">
      <c r="B2677"/>
      <c r="C2677"/>
      <c r="D2677"/>
      <c r="E2677"/>
      <c r="F2677" t="s">
        <v>13</v>
      </c>
    </row>
    <row r="2678" spans="2:6" x14ac:dyDescent="0.2">
      <c r="B2678"/>
      <c r="C2678"/>
      <c r="D2678"/>
      <c r="E2678"/>
      <c r="F2678" t="s">
        <v>14</v>
      </c>
    </row>
    <row r="2679" spans="2:6" x14ac:dyDescent="0.2">
      <c r="B2679"/>
      <c r="C2679"/>
      <c r="D2679"/>
      <c r="E2679"/>
      <c r="F2679" t="s">
        <v>15</v>
      </c>
    </row>
    <row r="2680" spans="2:6" x14ac:dyDescent="0.2">
      <c r="B2680"/>
      <c r="C2680"/>
      <c r="D2680"/>
      <c r="E2680"/>
      <c r="F2680" t="s">
        <v>30</v>
      </c>
    </row>
    <row r="2681" spans="2:6" x14ac:dyDescent="0.2">
      <c r="B2681"/>
      <c r="C2681"/>
      <c r="D2681"/>
      <c r="E2681"/>
      <c r="F2681" t="s">
        <v>53</v>
      </c>
    </row>
    <row r="2682" spans="2:6" x14ac:dyDescent="0.2">
      <c r="B2682"/>
      <c r="C2682"/>
      <c r="D2682"/>
      <c r="E2682"/>
      <c r="F2682" t="s">
        <v>31</v>
      </c>
    </row>
    <row r="2683" spans="2:6" x14ac:dyDescent="0.2">
      <c r="B2683"/>
      <c r="C2683"/>
      <c r="D2683"/>
      <c r="E2683"/>
      <c r="F2683" t="s">
        <v>32</v>
      </c>
    </row>
    <row r="2684" spans="2:6" x14ac:dyDescent="0.2">
      <c r="B2684" t="s">
        <v>271</v>
      </c>
      <c r="C2684" t="s">
        <v>744</v>
      </c>
      <c r="D2684" t="s">
        <v>970</v>
      </c>
      <c r="E2684" t="s">
        <v>1165</v>
      </c>
      <c r="F2684" t="s">
        <v>5</v>
      </c>
    </row>
    <row r="2685" spans="2:6" x14ac:dyDescent="0.2">
      <c r="B2685"/>
      <c r="C2685"/>
      <c r="D2685"/>
      <c r="E2685"/>
      <c r="F2685" t="s">
        <v>25</v>
      </c>
    </row>
    <row r="2686" spans="2:6" x14ac:dyDescent="0.2">
      <c r="B2686"/>
      <c r="C2686"/>
      <c r="D2686"/>
      <c r="E2686"/>
      <c r="F2686" t="s">
        <v>10</v>
      </c>
    </row>
    <row r="2687" spans="2:6" x14ac:dyDescent="0.2">
      <c r="B2687" t="s">
        <v>913</v>
      </c>
      <c r="C2687" t="s">
        <v>891</v>
      </c>
      <c r="D2687" t="s">
        <v>969</v>
      </c>
      <c r="E2687" t="s">
        <v>1264</v>
      </c>
      <c r="F2687" t="s">
        <v>51</v>
      </c>
    </row>
    <row r="2688" spans="2:6" x14ac:dyDescent="0.2">
      <c r="B2688"/>
      <c r="C2688"/>
      <c r="D2688"/>
      <c r="E2688"/>
      <c r="F2688" t="s">
        <v>32</v>
      </c>
    </row>
    <row r="2689" spans="2:6" x14ac:dyDescent="0.2">
      <c r="B2689"/>
      <c r="C2689"/>
      <c r="D2689"/>
      <c r="E2689"/>
      <c r="F2689" t="s">
        <v>38</v>
      </c>
    </row>
    <row r="2690" spans="2:6" x14ac:dyDescent="0.2">
      <c r="B2690"/>
      <c r="C2690"/>
      <c r="D2690"/>
      <c r="E2690"/>
      <c r="F2690" t="s">
        <v>33</v>
      </c>
    </row>
    <row r="2691" spans="2:6" x14ac:dyDescent="0.2">
      <c r="B2691"/>
      <c r="C2691"/>
      <c r="D2691"/>
      <c r="E2691"/>
      <c r="F2691" t="s">
        <v>57</v>
      </c>
    </row>
    <row r="2692" spans="2:6" x14ac:dyDescent="0.2">
      <c r="B2692" t="s">
        <v>272</v>
      </c>
      <c r="C2692" t="s">
        <v>745</v>
      </c>
      <c r="D2692" t="s">
        <v>970</v>
      </c>
      <c r="E2692" t="s">
        <v>965</v>
      </c>
      <c r="F2692" t="s">
        <v>10</v>
      </c>
    </row>
    <row r="2693" spans="2:6" x14ac:dyDescent="0.2">
      <c r="B2693" t="s">
        <v>273</v>
      </c>
      <c r="C2693" t="s">
        <v>746</v>
      </c>
      <c r="D2693" t="s">
        <v>969</v>
      </c>
      <c r="E2693" t="s">
        <v>1265</v>
      </c>
      <c r="F2693" t="s">
        <v>29</v>
      </c>
    </row>
    <row r="2694" spans="2:6" x14ac:dyDescent="0.2">
      <c r="B2694" t="s">
        <v>987</v>
      </c>
      <c r="C2694" t="s">
        <v>990</v>
      </c>
      <c r="D2694" t="s">
        <v>969</v>
      </c>
      <c r="E2694" t="s">
        <v>1266</v>
      </c>
      <c r="F2694" t="s">
        <v>70</v>
      </c>
    </row>
    <row r="2695" spans="2:6" x14ac:dyDescent="0.2">
      <c r="B2695" t="s">
        <v>540</v>
      </c>
      <c r="C2695" t="s">
        <v>747</v>
      </c>
      <c r="D2695" t="s">
        <v>969</v>
      </c>
      <c r="E2695" t="s">
        <v>1267</v>
      </c>
      <c r="F2695" t="s">
        <v>70</v>
      </c>
    </row>
    <row r="2696" spans="2:6" x14ac:dyDescent="0.2">
      <c r="B2696" t="s">
        <v>274</v>
      </c>
      <c r="C2696" t="s">
        <v>748</v>
      </c>
      <c r="D2696" t="s">
        <v>969</v>
      </c>
      <c r="E2696" t="s">
        <v>1133</v>
      </c>
      <c r="F2696" t="s">
        <v>5</v>
      </c>
    </row>
    <row r="2697" spans="2:6" x14ac:dyDescent="0.2">
      <c r="B2697"/>
      <c r="C2697"/>
      <c r="D2697"/>
      <c r="E2697"/>
      <c r="F2697" t="s">
        <v>12</v>
      </c>
    </row>
    <row r="2698" spans="2:6" x14ac:dyDescent="0.2">
      <c r="B2698"/>
      <c r="C2698"/>
      <c r="D2698"/>
      <c r="E2698"/>
      <c r="F2698" t="s">
        <v>15</v>
      </c>
    </row>
    <row r="2699" spans="2:6" x14ac:dyDescent="0.2">
      <c r="B2699" t="s">
        <v>275</v>
      </c>
      <c r="C2699" t="s">
        <v>811</v>
      </c>
      <c r="D2699" t="s">
        <v>969</v>
      </c>
      <c r="E2699" t="s">
        <v>1197</v>
      </c>
      <c r="F2699" t="s">
        <v>5</v>
      </c>
    </row>
    <row r="2700" spans="2:6" x14ac:dyDescent="0.2">
      <c r="B2700"/>
      <c r="C2700"/>
      <c r="D2700"/>
      <c r="E2700"/>
      <c r="F2700" t="s">
        <v>25</v>
      </c>
    </row>
    <row r="2701" spans="2:6" x14ac:dyDescent="0.2">
      <c r="B2701"/>
      <c r="C2701"/>
      <c r="D2701"/>
      <c r="E2701"/>
      <c r="F2701" t="s">
        <v>9</v>
      </c>
    </row>
    <row r="2702" spans="2:6" x14ac:dyDescent="0.2">
      <c r="B2702"/>
      <c r="C2702"/>
      <c r="D2702"/>
      <c r="E2702"/>
      <c r="F2702" t="s">
        <v>27</v>
      </c>
    </row>
    <row r="2703" spans="2:6" x14ac:dyDescent="0.2">
      <c r="B2703"/>
      <c r="C2703"/>
      <c r="D2703"/>
      <c r="E2703"/>
      <c r="F2703" t="s">
        <v>10</v>
      </c>
    </row>
    <row r="2704" spans="2:6" x14ac:dyDescent="0.2">
      <c r="B2704"/>
      <c r="C2704"/>
      <c r="D2704"/>
      <c r="E2704"/>
      <c r="F2704" t="s">
        <v>29</v>
      </c>
    </row>
    <row r="2705" spans="2:6" x14ac:dyDescent="0.2">
      <c r="B2705"/>
      <c r="C2705"/>
      <c r="D2705"/>
      <c r="E2705"/>
      <c r="F2705" t="s">
        <v>37</v>
      </c>
    </row>
    <row r="2706" spans="2:6" x14ac:dyDescent="0.2">
      <c r="B2706"/>
      <c r="C2706"/>
      <c r="D2706"/>
      <c r="E2706"/>
      <c r="F2706" t="s">
        <v>13</v>
      </c>
    </row>
    <row r="2707" spans="2:6" x14ac:dyDescent="0.2">
      <c r="B2707"/>
      <c r="C2707"/>
      <c r="D2707"/>
      <c r="E2707"/>
      <c r="F2707" t="s">
        <v>14</v>
      </c>
    </row>
    <row r="2708" spans="2:6" x14ac:dyDescent="0.2">
      <c r="B2708" t="s">
        <v>276</v>
      </c>
      <c r="C2708" t="s">
        <v>749</v>
      </c>
      <c r="D2708" t="s">
        <v>969</v>
      </c>
      <c r="E2708" t="s">
        <v>1268</v>
      </c>
      <c r="F2708" t="s">
        <v>35</v>
      </c>
    </row>
    <row r="2709" spans="2:6" x14ac:dyDescent="0.2">
      <c r="B2709"/>
      <c r="C2709"/>
      <c r="D2709"/>
      <c r="E2709"/>
      <c r="F2709" t="s">
        <v>124</v>
      </c>
    </row>
    <row r="2710" spans="2:6" x14ac:dyDescent="0.2">
      <c r="B2710"/>
      <c r="C2710"/>
      <c r="D2710"/>
      <c r="E2710"/>
      <c r="F2710" t="s">
        <v>36</v>
      </c>
    </row>
    <row r="2711" spans="2:6" x14ac:dyDescent="0.2">
      <c r="B2711"/>
      <c r="C2711"/>
      <c r="D2711"/>
      <c r="E2711"/>
      <c r="F2711" t="s">
        <v>125</v>
      </c>
    </row>
    <row r="2712" spans="2:6" x14ac:dyDescent="0.2">
      <c r="B2712"/>
      <c r="C2712"/>
      <c r="D2712"/>
      <c r="E2712"/>
      <c r="F2712" t="s">
        <v>42</v>
      </c>
    </row>
    <row r="2713" spans="2:6" x14ac:dyDescent="0.2">
      <c r="B2713"/>
      <c r="C2713"/>
      <c r="D2713"/>
      <c r="E2713"/>
      <c r="F2713" t="s">
        <v>43</v>
      </c>
    </row>
    <row r="2714" spans="2:6" x14ac:dyDescent="0.2">
      <c r="B2714"/>
      <c r="C2714"/>
      <c r="D2714"/>
      <c r="E2714"/>
      <c r="F2714" t="s">
        <v>44</v>
      </c>
    </row>
    <row r="2715" spans="2:6" x14ac:dyDescent="0.2">
      <c r="B2715"/>
      <c r="C2715"/>
      <c r="D2715"/>
      <c r="E2715"/>
      <c r="F2715" t="s">
        <v>4</v>
      </c>
    </row>
    <row r="2716" spans="2:6" x14ac:dyDescent="0.2">
      <c r="B2716"/>
      <c r="C2716"/>
      <c r="D2716"/>
      <c r="E2716"/>
      <c r="F2716" t="s">
        <v>5</v>
      </c>
    </row>
    <row r="2717" spans="2:6" x14ac:dyDescent="0.2">
      <c r="B2717"/>
      <c r="C2717"/>
      <c r="D2717"/>
      <c r="E2717"/>
      <c r="F2717" t="s">
        <v>7</v>
      </c>
    </row>
    <row r="2718" spans="2:6" x14ac:dyDescent="0.2">
      <c r="B2718"/>
      <c r="C2718"/>
      <c r="D2718"/>
      <c r="E2718"/>
      <c r="F2718" t="s">
        <v>8</v>
      </c>
    </row>
    <row r="2719" spans="2:6" x14ac:dyDescent="0.2">
      <c r="B2719"/>
      <c r="C2719"/>
      <c r="D2719"/>
      <c r="E2719"/>
      <c r="F2719" t="s">
        <v>24</v>
      </c>
    </row>
    <row r="2720" spans="2:6" x14ac:dyDescent="0.2">
      <c r="B2720"/>
      <c r="C2720"/>
      <c r="D2720"/>
      <c r="E2720"/>
      <c r="F2720" t="s">
        <v>25</v>
      </c>
    </row>
    <row r="2721" spans="2:6" x14ac:dyDescent="0.2">
      <c r="B2721"/>
      <c r="C2721"/>
      <c r="D2721"/>
      <c r="E2721"/>
      <c r="F2721" t="s">
        <v>9</v>
      </c>
    </row>
    <row r="2722" spans="2:6" x14ac:dyDescent="0.2">
      <c r="B2722"/>
      <c r="C2722"/>
      <c r="D2722"/>
      <c r="E2722"/>
      <c r="F2722" t="s">
        <v>20</v>
      </c>
    </row>
    <row r="2723" spans="2:6" x14ac:dyDescent="0.2">
      <c r="B2723"/>
      <c r="C2723"/>
      <c r="D2723"/>
      <c r="E2723"/>
      <c r="F2723" t="s">
        <v>27</v>
      </c>
    </row>
    <row r="2724" spans="2:6" x14ac:dyDescent="0.2">
      <c r="B2724"/>
      <c r="C2724"/>
      <c r="D2724"/>
      <c r="E2724"/>
      <c r="F2724" t="s">
        <v>10</v>
      </c>
    </row>
    <row r="2725" spans="2:6" x14ac:dyDescent="0.2">
      <c r="B2725"/>
      <c r="C2725"/>
      <c r="D2725"/>
      <c r="E2725"/>
      <c r="F2725" t="s">
        <v>21</v>
      </c>
    </row>
    <row r="2726" spans="2:6" x14ac:dyDescent="0.2">
      <c r="B2726"/>
      <c r="C2726"/>
      <c r="D2726"/>
      <c r="E2726"/>
      <c r="F2726" t="s">
        <v>51</v>
      </c>
    </row>
    <row r="2727" spans="2:6" x14ac:dyDescent="0.2">
      <c r="B2727"/>
      <c r="C2727"/>
      <c r="D2727"/>
      <c r="E2727"/>
      <c r="F2727" t="s">
        <v>39</v>
      </c>
    </row>
    <row r="2728" spans="2:6" x14ac:dyDescent="0.2">
      <c r="B2728"/>
      <c r="C2728"/>
      <c r="D2728"/>
      <c r="E2728"/>
      <c r="F2728" t="s">
        <v>12</v>
      </c>
    </row>
    <row r="2729" spans="2:6" x14ac:dyDescent="0.2">
      <c r="B2729"/>
      <c r="C2729"/>
      <c r="D2729"/>
      <c r="E2729"/>
      <c r="F2729" t="s">
        <v>37</v>
      </c>
    </row>
    <row r="2730" spans="2:6" x14ac:dyDescent="0.2">
      <c r="B2730"/>
      <c r="C2730"/>
      <c r="D2730"/>
      <c r="E2730"/>
      <c r="F2730" t="s">
        <v>13</v>
      </c>
    </row>
    <row r="2731" spans="2:6" x14ac:dyDescent="0.2">
      <c r="B2731"/>
      <c r="C2731"/>
      <c r="D2731"/>
      <c r="E2731"/>
      <c r="F2731" t="s">
        <v>52</v>
      </c>
    </row>
    <row r="2732" spans="2:6" x14ac:dyDescent="0.2">
      <c r="B2732"/>
      <c r="C2732"/>
      <c r="D2732"/>
      <c r="E2732"/>
      <c r="F2732" t="s">
        <v>14</v>
      </c>
    </row>
    <row r="2733" spans="2:6" x14ac:dyDescent="0.2">
      <c r="B2733"/>
      <c r="C2733"/>
      <c r="D2733"/>
      <c r="E2733"/>
      <c r="F2733" t="s">
        <v>15</v>
      </c>
    </row>
    <row r="2734" spans="2:6" x14ac:dyDescent="0.2">
      <c r="B2734"/>
      <c r="C2734"/>
      <c r="D2734"/>
      <c r="E2734"/>
      <c r="F2734" t="s">
        <v>30</v>
      </c>
    </row>
    <row r="2735" spans="2:6" x14ac:dyDescent="0.2">
      <c r="B2735"/>
      <c r="C2735"/>
      <c r="D2735"/>
      <c r="E2735"/>
      <c r="F2735" t="s">
        <v>53</v>
      </c>
    </row>
    <row r="2736" spans="2:6" x14ac:dyDescent="0.2">
      <c r="B2736"/>
      <c r="C2736"/>
      <c r="D2736"/>
      <c r="E2736"/>
      <c r="F2736" t="s">
        <v>31</v>
      </c>
    </row>
    <row r="2737" spans="2:6" x14ac:dyDescent="0.2">
      <c r="B2737"/>
      <c r="C2737"/>
      <c r="D2737"/>
      <c r="E2737"/>
      <c r="F2737" t="s">
        <v>32</v>
      </c>
    </row>
    <row r="2738" spans="2:6" x14ac:dyDescent="0.2">
      <c r="B2738"/>
      <c r="C2738"/>
      <c r="D2738"/>
      <c r="E2738"/>
      <c r="F2738" t="s">
        <v>38</v>
      </c>
    </row>
    <row r="2739" spans="2:6" x14ac:dyDescent="0.2">
      <c r="B2739"/>
      <c r="C2739"/>
      <c r="D2739"/>
      <c r="E2739"/>
      <c r="F2739" t="s">
        <v>55</v>
      </c>
    </row>
    <row r="2740" spans="2:6" x14ac:dyDescent="0.2">
      <c r="B2740"/>
      <c r="C2740"/>
      <c r="D2740"/>
      <c r="E2740"/>
      <c r="F2740" t="s">
        <v>1013</v>
      </c>
    </row>
    <row r="2741" spans="2:6" x14ac:dyDescent="0.2">
      <c r="B2741" t="s">
        <v>277</v>
      </c>
      <c r="C2741" t="s">
        <v>750</v>
      </c>
      <c r="D2741" t="s">
        <v>969</v>
      </c>
      <c r="E2741" t="s">
        <v>1137</v>
      </c>
      <c r="F2741" t="s">
        <v>5</v>
      </c>
    </row>
    <row r="2742" spans="2:6" x14ac:dyDescent="0.2">
      <c r="B2742"/>
      <c r="C2742"/>
      <c r="D2742"/>
      <c r="E2742"/>
      <c r="F2742" t="s">
        <v>20</v>
      </c>
    </row>
    <row r="2743" spans="2:6" x14ac:dyDescent="0.2">
      <c r="B2743"/>
      <c r="C2743"/>
      <c r="D2743"/>
      <c r="E2743"/>
      <c r="F2743" t="s">
        <v>22</v>
      </c>
    </row>
    <row r="2744" spans="2:6" x14ac:dyDescent="0.2">
      <c r="B2744" t="s">
        <v>278</v>
      </c>
      <c r="C2744" t="s">
        <v>751</v>
      </c>
      <c r="D2744" t="s">
        <v>970</v>
      </c>
      <c r="E2744" t="s">
        <v>1202</v>
      </c>
      <c r="F2744" t="s">
        <v>46</v>
      </c>
    </row>
    <row r="2745" spans="2:6" x14ac:dyDescent="0.2">
      <c r="B2745"/>
      <c r="C2745"/>
      <c r="D2745"/>
      <c r="E2745"/>
      <c r="F2745" t="s">
        <v>47</v>
      </c>
    </row>
    <row r="2746" spans="2:6" x14ac:dyDescent="0.2">
      <c r="B2746"/>
      <c r="C2746"/>
      <c r="D2746"/>
      <c r="E2746"/>
      <c r="F2746" t="s">
        <v>48</v>
      </c>
    </row>
    <row r="2747" spans="2:6" x14ac:dyDescent="0.2">
      <c r="B2747"/>
      <c r="C2747"/>
      <c r="D2747"/>
      <c r="E2747"/>
      <c r="F2747" t="s">
        <v>107</v>
      </c>
    </row>
    <row r="2748" spans="2:6" x14ac:dyDescent="0.2">
      <c r="B2748"/>
      <c r="C2748"/>
      <c r="D2748"/>
      <c r="E2748"/>
      <c r="F2748" t="s">
        <v>108</v>
      </c>
    </row>
    <row r="2749" spans="2:6" x14ac:dyDescent="0.2">
      <c r="B2749" t="s">
        <v>279</v>
      </c>
      <c r="C2749" t="s">
        <v>842</v>
      </c>
      <c r="D2749" t="s">
        <v>970</v>
      </c>
      <c r="E2749" t="s">
        <v>965</v>
      </c>
      <c r="F2749" t="s">
        <v>4</v>
      </c>
    </row>
    <row r="2750" spans="2:6" x14ac:dyDescent="0.2">
      <c r="B2750"/>
      <c r="C2750"/>
      <c r="D2750"/>
      <c r="E2750"/>
      <c r="F2750" t="s">
        <v>5</v>
      </c>
    </row>
    <row r="2751" spans="2:6" x14ac:dyDescent="0.2">
      <c r="B2751"/>
      <c r="C2751"/>
      <c r="D2751"/>
      <c r="E2751"/>
      <c r="F2751" t="s">
        <v>25</v>
      </c>
    </row>
    <row r="2752" spans="2:6" x14ac:dyDescent="0.2">
      <c r="B2752"/>
      <c r="C2752"/>
      <c r="D2752"/>
      <c r="E2752"/>
      <c r="F2752" t="s">
        <v>9</v>
      </c>
    </row>
    <row r="2753" spans="2:6" x14ac:dyDescent="0.2">
      <c r="B2753"/>
      <c r="C2753"/>
      <c r="D2753"/>
      <c r="E2753"/>
      <c r="F2753" t="s">
        <v>27</v>
      </c>
    </row>
    <row r="2754" spans="2:6" x14ac:dyDescent="0.2">
      <c r="B2754"/>
      <c r="C2754"/>
      <c r="D2754"/>
      <c r="E2754"/>
      <c r="F2754" t="s">
        <v>59</v>
      </c>
    </row>
    <row r="2755" spans="2:6" x14ac:dyDescent="0.2">
      <c r="B2755"/>
      <c r="C2755"/>
      <c r="D2755"/>
      <c r="E2755"/>
      <c r="F2755" t="s">
        <v>11</v>
      </c>
    </row>
    <row r="2756" spans="2:6" x14ac:dyDescent="0.2">
      <c r="B2756"/>
      <c r="C2756"/>
      <c r="D2756"/>
      <c r="E2756"/>
      <c r="F2756" t="s">
        <v>14</v>
      </c>
    </row>
    <row r="2757" spans="2:6" x14ac:dyDescent="0.2">
      <c r="B2757"/>
      <c r="C2757"/>
      <c r="D2757"/>
      <c r="E2757"/>
      <c r="F2757" t="s">
        <v>30</v>
      </c>
    </row>
    <row r="2758" spans="2:6" x14ac:dyDescent="0.2">
      <c r="B2758"/>
      <c r="C2758"/>
      <c r="D2758"/>
      <c r="E2758"/>
      <c r="F2758" t="s">
        <v>31</v>
      </c>
    </row>
    <row r="2759" spans="2:6" x14ac:dyDescent="0.2">
      <c r="B2759"/>
      <c r="C2759"/>
      <c r="D2759"/>
      <c r="E2759"/>
      <c r="F2759" t="s">
        <v>32</v>
      </c>
    </row>
    <row r="2760" spans="2:6" x14ac:dyDescent="0.2">
      <c r="B2760"/>
      <c r="C2760"/>
      <c r="D2760"/>
      <c r="E2760"/>
      <c r="F2760" t="s">
        <v>38</v>
      </c>
    </row>
    <row r="2761" spans="2:6" x14ac:dyDescent="0.2">
      <c r="B2761" t="s">
        <v>1044</v>
      </c>
      <c r="C2761" t="s">
        <v>1045</v>
      </c>
      <c r="D2761" t="s">
        <v>970</v>
      </c>
      <c r="E2761" t="s">
        <v>1163</v>
      </c>
      <c r="F2761" t="s">
        <v>29</v>
      </c>
    </row>
    <row r="2762" spans="2:6" x14ac:dyDescent="0.2">
      <c r="B2762" t="s">
        <v>1104</v>
      </c>
      <c r="C2762" t="s">
        <v>1105</v>
      </c>
      <c r="D2762" t="s">
        <v>969</v>
      </c>
      <c r="E2762" t="s">
        <v>1174</v>
      </c>
      <c r="F2762" t="s">
        <v>1004</v>
      </c>
    </row>
    <row r="2763" spans="2:6" x14ac:dyDescent="0.2">
      <c r="B2763" t="s">
        <v>280</v>
      </c>
      <c r="C2763" t="s">
        <v>865</v>
      </c>
      <c r="D2763" t="s">
        <v>969</v>
      </c>
      <c r="E2763" t="s">
        <v>965</v>
      </c>
      <c r="F2763" t="s">
        <v>5</v>
      </c>
    </row>
    <row r="2764" spans="2:6" x14ac:dyDescent="0.2">
      <c r="B2764"/>
      <c r="C2764"/>
      <c r="D2764"/>
      <c r="E2764"/>
      <c r="F2764" t="s">
        <v>27</v>
      </c>
    </row>
    <row r="2765" spans="2:6" x14ac:dyDescent="0.2">
      <c r="B2765"/>
      <c r="C2765"/>
      <c r="D2765"/>
      <c r="E2765"/>
      <c r="F2765" t="s">
        <v>13</v>
      </c>
    </row>
    <row r="2766" spans="2:6" x14ac:dyDescent="0.2">
      <c r="B2766"/>
      <c r="C2766"/>
      <c r="D2766"/>
      <c r="E2766"/>
      <c r="F2766" t="s">
        <v>52</v>
      </c>
    </row>
    <row r="2767" spans="2:6" x14ac:dyDescent="0.2">
      <c r="B2767"/>
      <c r="C2767"/>
      <c r="D2767"/>
      <c r="E2767"/>
      <c r="F2767" t="s">
        <v>14</v>
      </c>
    </row>
    <row r="2768" spans="2:6" x14ac:dyDescent="0.2">
      <c r="B2768" t="s">
        <v>281</v>
      </c>
      <c r="C2768" t="s">
        <v>1046</v>
      </c>
      <c r="D2768" t="s">
        <v>970</v>
      </c>
      <c r="E2768" t="s">
        <v>1168</v>
      </c>
      <c r="F2768" t="s">
        <v>81</v>
      </c>
    </row>
    <row r="2769" spans="2:6" x14ac:dyDescent="0.2">
      <c r="B2769"/>
      <c r="C2769"/>
      <c r="D2769"/>
      <c r="E2769"/>
      <c r="F2769" t="s">
        <v>63</v>
      </c>
    </row>
    <row r="2770" spans="2:6" x14ac:dyDescent="0.2">
      <c r="B2770"/>
      <c r="C2770"/>
      <c r="D2770"/>
      <c r="E2770"/>
      <c r="F2770" t="s">
        <v>28</v>
      </c>
    </row>
    <row r="2771" spans="2:6" x14ac:dyDescent="0.2">
      <c r="B2771"/>
      <c r="C2771"/>
      <c r="D2771"/>
      <c r="E2771"/>
      <c r="F2771" t="s">
        <v>29</v>
      </c>
    </row>
    <row r="2772" spans="2:6" x14ac:dyDescent="0.2">
      <c r="B2772" t="s">
        <v>960</v>
      </c>
      <c r="C2772" t="s">
        <v>962</v>
      </c>
      <c r="D2772" t="s">
        <v>970</v>
      </c>
      <c r="E2772" t="s">
        <v>1269</v>
      </c>
      <c r="F2772" t="s">
        <v>1004</v>
      </c>
    </row>
    <row r="2773" spans="2:6" x14ac:dyDescent="0.2">
      <c r="B2773" t="s">
        <v>904</v>
      </c>
      <c r="C2773" t="s">
        <v>905</v>
      </c>
      <c r="D2773" t="s">
        <v>969</v>
      </c>
      <c r="E2773" t="s">
        <v>1174</v>
      </c>
      <c r="F2773" t="s">
        <v>59</v>
      </c>
    </row>
    <row r="2774" spans="2:6" x14ac:dyDescent="0.2">
      <c r="B2774" t="s">
        <v>282</v>
      </c>
      <c r="C2774" t="s">
        <v>752</v>
      </c>
      <c r="D2774" t="s">
        <v>969</v>
      </c>
      <c r="E2774" t="s">
        <v>1214</v>
      </c>
      <c r="F2774" t="s">
        <v>45</v>
      </c>
    </row>
    <row r="2775" spans="2:6" x14ac:dyDescent="0.2">
      <c r="B2775"/>
      <c r="C2775"/>
      <c r="D2775"/>
      <c r="E2775"/>
      <c r="F2775" t="s">
        <v>46</v>
      </c>
    </row>
    <row r="2776" spans="2:6" x14ac:dyDescent="0.2">
      <c r="B2776"/>
      <c r="C2776"/>
      <c r="D2776"/>
      <c r="E2776"/>
      <c r="F2776" t="s">
        <v>47</v>
      </c>
    </row>
    <row r="2777" spans="2:6" x14ac:dyDescent="0.2">
      <c r="B2777"/>
      <c r="C2777"/>
      <c r="D2777"/>
      <c r="E2777"/>
      <c r="F2777" t="s">
        <v>48</v>
      </c>
    </row>
    <row r="2778" spans="2:6" x14ac:dyDescent="0.2">
      <c r="B2778"/>
      <c r="C2778"/>
      <c r="D2778"/>
      <c r="E2778"/>
      <c r="F2778" t="s">
        <v>75</v>
      </c>
    </row>
    <row r="2779" spans="2:6" x14ac:dyDescent="0.2">
      <c r="B2779"/>
      <c r="C2779"/>
      <c r="D2779"/>
      <c r="E2779"/>
      <c r="F2779" t="s">
        <v>10</v>
      </c>
    </row>
    <row r="2780" spans="2:6" x14ac:dyDescent="0.2">
      <c r="B2780" t="s">
        <v>531</v>
      </c>
      <c r="C2780" t="s">
        <v>753</v>
      </c>
      <c r="D2780" t="s">
        <v>970</v>
      </c>
      <c r="E2780" t="s">
        <v>965</v>
      </c>
      <c r="F2780" t="s">
        <v>36</v>
      </c>
    </row>
    <row r="2781" spans="2:6" x14ac:dyDescent="0.2">
      <c r="B2781"/>
      <c r="C2781"/>
      <c r="D2781"/>
      <c r="E2781"/>
      <c r="F2781" t="s">
        <v>4</v>
      </c>
    </row>
    <row r="2782" spans="2:6" x14ac:dyDescent="0.2">
      <c r="B2782"/>
      <c r="C2782"/>
      <c r="D2782"/>
      <c r="E2782"/>
      <c r="F2782" t="s">
        <v>5</v>
      </c>
    </row>
    <row r="2783" spans="2:6" x14ac:dyDescent="0.2">
      <c r="B2783"/>
      <c r="C2783"/>
      <c r="D2783"/>
      <c r="E2783"/>
      <c r="F2783" t="s">
        <v>25</v>
      </c>
    </row>
    <row r="2784" spans="2:6" x14ac:dyDescent="0.2">
      <c r="B2784"/>
      <c r="C2784"/>
      <c r="D2784"/>
      <c r="E2784"/>
      <c r="F2784" t="s">
        <v>9</v>
      </c>
    </row>
    <row r="2785" spans="2:6" x14ac:dyDescent="0.2">
      <c r="B2785"/>
      <c r="C2785"/>
      <c r="D2785"/>
      <c r="E2785"/>
      <c r="F2785" t="s">
        <v>27</v>
      </c>
    </row>
    <row r="2786" spans="2:6" x14ac:dyDescent="0.2">
      <c r="B2786"/>
      <c r="C2786"/>
      <c r="D2786"/>
      <c r="E2786"/>
      <c r="F2786" t="s">
        <v>10</v>
      </c>
    </row>
    <row r="2787" spans="2:6" x14ac:dyDescent="0.2">
      <c r="B2787"/>
      <c r="C2787"/>
      <c r="D2787"/>
      <c r="E2787"/>
      <c r="F2787" t="s">
        <v>11</v>
      </c>
    </row>
    <row r="2788" spans="2:6" x14ac:dyDescent="0.2">
      <c r="B2788"/>
      <c r="C2788"/>
      <c r="D2788"/>
      <c r="E2788"/>
      <c r="F2788" t="s">
        <v>14</v>
      </c>
    </row>
    <row r="2789" spans="2:6" x14ac:dyDescent="0.2">
      <c r="B2789"/>
      <c r="C2789"/>
      <c r="D2789"/>
      <c r="E2789"/>
      <c r="F2789" t="s">
        <v>15</v>
      </c>
    </row>
    <row r="2790" spans="2:6" x14ac:dyDescent="0.2">
      <c r="B2790"/>
      <c r="C2790"/>
      <c r="D2790"/>
      <c r="E2790"/>
      <c r="F2790" t="s">
        <v>30</v>
      </c>
    </row>
    <row r="2791" spans="2:6" x14ac:dyDescent="0.2">
      <c r="B2791"/>
      <c r="C2791"/>
      <c r="D2791"/>
      <c r="E2791"/>
      <c r="F2791" t="s">
        <v>31</v>
      </c>
    </row>
    <row r="2792" spans="2:6" x14ac:dyDescent="0.2">
      <c r="B2792"/>
      <c r="C2792"/>
      <c r="D2792"/>
      <c r="E2792"/>
      <c r="F2792" t="s">
        <v>32</v>
      </c>
    </row>
    <row r="2793" spans="2:6" x14ac:dyDescent="0.2">
      <c r="B2793" t="s">
        <v>283</v>
      </c>
      <c r="C2793" t="s">
        <v>754</v>
      </c>
      <c r="D2793" t="s">
        <v>970</v>
      </c>
      <c r="E2793" t="s">
        <v>1124</v>
      </c>
      <c r="F2793" t="s">
        <v>4</v>
      </c>
    </row>
    <row r="2794" spans="2:6" x14ac:dyDescent="0.2">
      <c r="B2794"/>
      <c r="C2794"/>
      <c r="D2794"/>
      <c r="E2794"/>
      <c r="F2794" t="s">
        <v>5</v>
      </c>
    </row>
    <row r="2795" spans="2:6" x14ac:dyDescent="0.2">
      <c r="B2795"/>
      <c r="C2795"/>
      <c r="D2795"/>
      <c r="E2795"/>
      <c r="F2795" t="s">
        <v>25</v>
      </c>
    </row>
    <row r="2796" spans="2:6" x14ac:dyDescent="0.2">
      <c r="B2796"/>
      <c r="C2796"/>
      <c r="D2796"/>
      <c r="E2796"/>
      <c r="F2796" t="s">
        <v>9</v>
      </c>
    </row>
    <row r="2797" spans="2:6" x14ac:dyDescent="0.2">
      <c r="B2797"/>
      <c r="C2797"/>
      <c r="D2797"/>
      <c r="E2797"/>
      <c r="F2797" t="s">
        <v>27</v>
      </c>
    </row>
    <row r="2798" spans="2:6" x14ac:dyDescent="0.2">
      <c r="B2798"/>
      <c r="C2798"/>
      <c r="D2798"/>
      <c r="E2798"/>
      <c r="F2798" t="s">
        <v>10</v>
      </c>
    </row>
    <row r="2799" spans="2:6" x14ac:dyDescent="0.2">
      <c r="B2799"/>
      <c r="C2799"/>
      <c r="D2799"/>
      <c r="E2799"/>
      <c r="F2799" t="s">
        <v>13</v>
      </c>
    </row>
    <row r="2800" spans="2:6" x14ac:dyDescent="0.2">
      <c r="B2800"/>
      <c r="C2800"/>
      <c r="D2800"/>
      <c r="E2800"/>
      <c r="F2800" t="s">
        <v>14</v>
      </c>
    </row>
    <row r="2801" spans="2:6" x14ac:dyDescent="0.2">
      <c r="B2801"/>
      <c r="C2801"/>
      <c r="D2801"/>
      <c r="E2801"/>
      <c r="F2801" t="s">
        <v>15</v>
      </c>
    </row>
    <row r="2802" spans="2:6" x14ac:dyDescent="0.2">
      <c r="B2802"/>
      <c r="C2802"/>
      <c r="D2802"/>
      <c r="E2802"/>
      <c r="F2802" t="s">
        <v>31</v>
      </c>
    </row>
    <row r="2803" spans="2:6" x14ac:dyDescent="0.2">
      <c r="B2803"/>
      <c r="C2803"/>
      <c r="D2803"/>
      <c r="E2803"/>
      <c r="F2803" t="s">
        <v>32</v>
      </c>
    </row>
    <row r="2804" spans="2:6" x14ac:dyDescent="0.2">
      <c r="B2804" t="s">
        <v>284</v>
      </c>
      <c r="C2804" t="s">
        <v>936</v>
      </c>
      <c r="D2804" t="s">
        <v>969</v>
      </c>
      <c r="E2804" t="s">
        <v>965</v>
      </c>
      <c r="F2804" t="s">
        <v>45</v>
      </c>
    </row>
    <row r="2805" spans="2:6" x14ac:dyDescent="0.2">
      <c r="B2805"/>
      <c r="C2805"/>
      <c r="D2805"/>
      <c r="E2805"/>
      <c r="F2805" t="s">
        <v>46</v>
      </c>
    </row>
    <row r="2806" spans="2:6" x14ac:dyDescent="0.2">
      <c r="B2806"/>
      <c r="C2806"/>
      <c r="D2806"/>
      <c r="E2806"/>
      <c r="F2806" t="s">
        <v>47</v>
      </c>
    </row>
    <row r="2807" spans="2:6" x14ac:dyDescent="0.2">
      <c r="B2807"/>
      <c r="C2807"/>
      <c r="D2807"/>
      <c r="E2807"/>
      <c r="F2807" t="s">
        <v>48</v>
      </c>
    </row>
    <row r="2808" spans="2:6" x14ac:dyDescent="0.2">
      <c r="B2808" t="s">
        <v>285</v>
      </c>
      <c r="C2808" t="s">
        <v>755</v>
      </c>
      <c r="D2808" t="s">
        <v>969</v>
      </c>
      <c r="E2808" t="s">
        <v>1270</v>
      </c>
      <c r="F2808" t="s">
        <v>29</v>
      </c>
    </row>
    <row r="2809" spans="2:6" x14ac:dyDescent="0.2">
      <c r="B2809" t="s">
        <v>286</v>
      </c>
      <c r="C2809" t="s">
        <v>756</v>
      </c>
      <c r="D2809" t="s">
        <v>969</v>
      </c>
      <c r="E2809" t="s">
        <v>1271</v>
      </c>
      <c r="F2809" t="s">
        <v>5</v>
      </c>
    </row>
    <row r="2810" spans="2:6" x14ac:dyDescent="0.2">
      <c r="B2810"/>
      <c r="C2810"/>
      <c r="D2810"/>
      <c r="E2810"/>
      <c r="F2810" t="s">
        <v>8</v>
      </c>
    </row>
    <row r="2811" spans="2:6" x14ac:dyDescent="0.2">
      <c r="B2811"/>
      <c r="C2811"/>
      <c r="D2811"/>
      <c r="E2811"/>
      <c r="F2811" t="s">
        <v>25</v>
      </c>
    </row>
    <row r="2812" spans="2:6" x14ac:dyDescent="0.2">
      <c r="B2812"/>
      <c r="C2812"/>
      <c r="D2812"/>
      <c r="E2812"/>
      <c r="F2812" t="s">
        <v>9</v>
      </c>
    </row>
    <row r="2813" spans="2:6" x14ac:dyDescent="0.2">
      <c r="B2813"/>
      <c r="C2813"/>
      <c r="D2813"/>
      <c r="E2813"/>
      <c r="F2813" t="s">
        <v>27</v>
      </c>
    </row>
    <row r="2814" spans="2:6" x14ac:dyDescent="0.2">
      <c r="B2814"/>
      <c r="C2814"/>
      <c r="D2814"/>
      <c r="E2814"/>
      <c r="F2814" t="s">
        <v>10</v>
      </c>
    </row>
    <row r="2815" spans="2:6" x14ac:dyDescent="0.2">
      <c r="B2815"/>
      <c r="C2815"/>
      <c r="D2815"/>
      <c r="E2815"/>
      <c r="F2815" t="s">
        <v>12</v>
      </c>
    </row>
    <row r="2816" spans="2:6" x14ac:dyDescent="0.2">
      <c r="B2816"/>
      <c r="C2816"/>
      <c r="D2816"/>
      <c r="E2816"/>
      <c r="F2816" t="s">
        <v>29</v>
      </c>
    </row>
    <row r="2817" spans="2:6" x14ac:dyDescent="0.2">
      <c r="B2817"/>
      <c r="C2817"/>
      <c r="D2817"/>
      <c r="E2817"/>
      <c r="F2817" t="s">
        <v>14</v>
      </c>
    </row>
    <row r="2818" spans="2:6" x14ac:dyDescent="0.2">
      <c r="B2818"/>
      <c r="C2818"/>
      <c r="D2818"/>
      <c r="E2818"/>
      <c r="F2818" t="s">
        <v>15</v>
      </c>
    </row>
    <row r="2819" spans="2:6" x14ac:dyDescent="0.2">
      <c r="B2819"/>
      <c r="C2819"/>
      <c r="D2819"/>
      <c r="E2819"/>
      <c r="F2819" t="s">
        <v>1004</v>
      </c>
    </row>
    <row r="2820" spans="2:6" x14ac:dyDescent="0.2">
      <c r="B2820" t="s">
        <v>906</v>
      </c>
      <c r="C2820" t="s">
        <v>931</v>
      </c>
      <c r="D2820" t="s">
        <v>970</v>
      </c>
      <c r="E2820" t="s">
        <v>1236</v>
      </c>
      <c r="F2820" t="s">
        <v>29</v>
      </c>
    </row>
    <row r="2821" spans="2:6" x14ac:dyDescent="0.2">
      <c r="B2821" t="s">
        <v>287</v>
      </c>
      <c r="C2821" t="s">
        <v>968</v>
      </c>
      <c r="D2821" t="s">
        <v>969</v>
      </c>
      <c r="E2821" t="s">
        <v>1272</v>
      </c>
      <c r="F2821" t="s">
        <v>5</v>
      </c>
    </row>
    <row r="2822" spans="2:6" x14ac:dyDescent="0.2">
      <c r="B2822"/>
      <c r="C2822"/>
      <c r="D2822"/>
      <c r="E2822"/>
      <c r="F2822" t="s">
        <v>8</v>
      </c>
    </row>
    <row r="2823" spans="2:6" x14ac:dyDescent="0.2">
      <c r="B2823"/>
      <c r="C2823"/>
      <c r="D2823"/>
      <c r="E2823"/>
      <c r="F2823" t="s">
        <v>9</v>
      </c>
    </row>
    <row r="2824" spans="2:6" x14ac:dyDescent="0.2">
      <c r="B2824"/>
      <c r="C2824"/>
      <c r="D2824"/>
      <c r="E2824"/>
      <c r="F2824" t="s">
        <v>27</v>
      </c>
    </row>
    <row r="2825" spans="2:6" x14ac:dyDescent="0.2">
      <c r="B2825"/>
      <c r="C2825"/>
      <c r="D2825"/>
      <c r="E2825"/>
      <c r="F2825" t="s">
        <v>11</v>
      </c>
    </row>
    <row r="2826" spans="2:6" x14ac:dyDescent="0.2">
      <c r="B2826"/>
      <c r="C2826"/>
      <c r="D2826"/>
      <c r="E2826"/>
      <c r="F2826" t="s">
        <v>12</v>
      </c>
    </row>
    <row r="2827" spans="2:6" x14ac:dyDescent="0.2">
      <c r="B2827"/>
      <c r="C2827"/>
      <c r="D2827"/>
      <c r="E2827"/>
      <c r="F2827" t="s">
        <v>29</v>
      </c>
    </row>
    <row r="2828" spans="2:6" x14ac:dyDescent="0.2">
      <c r="B2828"/>
      <c r="C2828"/>
      <c r="D2828"/>
      <c r="E2828"/>
      <c r="F2828" t="s">
        <v>14</v>
      </c>
    </row>
    <row r="2829" spans="2:6" x14ac:dyDescent="0.2">
      <c r="B2829"/>
      <c r="C2829"/>
      <c r="D2829"/>
      <c r="E2829"/>
      <c r="F2829" t="s">
        <v>15</v>
      </c>
    </row>
    <row r="2830" spans="2:6" x14ac:dyDescent="0.2">
      <c r="B2830"/>
      <c r="C2830"/>
      <c r="D2830"/>
      <c r="E2830"/>
      <c r="F2830" t="s">
        <v>31</v>
      </c>
    </row>
    <row r="2831" spans="2:6" x14ac:dyDescent="0.2">
      <c r="B2831" t="s">
        <v>1121</v>
      </c>
      <c r="C2831" t="s">
        <v>1122</v>
      </c>
      <c r="D2831" t="s">
        <v>969</v>
      </c>
      <c r="E2831" t="s">
        <v>1143</v>
      </c>
      <c r="F2831" t="s">
        <v>70</v>
      </c>
    </row>
    <row r="2832" spans="2:6" x14ac:dyDescent="0.2">
      <c r="B2832" t="s">
        <v>523</v>
      </c>
      <c r="C2832" t="s">
        <v>757</v>
      </c>
      <c r="D2832" t="s">
        <v>969</v>
      </c>
      <c r="E2832" t="s">
        <v>1166</v>
      </c>
      <c r="F2832" t="s">
        <v>4</v>
      </c>
    </row>
    <row r="2833" spans="2:6" x14ac:dyDescent="0.2">
      <c r="B2833"/>
      <c r="C2833"/>
      <c r="D2833"/>
      <c r="E2833"/>
      <c r="F2833" t="s">
        <v>5</v>
      </c>
    </row>
    <row r="2834" spans="2:6" x14ac:dyDescent="0.2">
      <c r="B2834"/>
      <c r="C2834"/>
      <c r="D2834"/>
      <c r="E2834"/>
      <c r="F2834" t="s">
        <v>27</v>
      </c>
    </row>
    <row r="2835" spans="2:6" x14ac:dyDescent="0.2">
      <c r="B2835"/>
      <c r="C2835"/>
      <c r="D2835"/>
      <c r="E2835"/>
      <c r="F2835" t="s">
        <v>52</v>
      </c>
    </row>
    <row r="2836" spans="2:6" x14ac:dyDescent="0.2">
      <c r="B2836"/>
      <c r="C2836"/>
      <c r="D2836"/>
      <c r="E2836"/>
      <c r="F2836" t="s">
        <v>14</v>
      </c>
    </row>
    <row r="2837" spans="2:6" x14ac:dyDescent="0.2">
      <c r="B2837" t="s">
        <v>288</v>
      </c>
      <c r="C2837" t="s">
        <v>758</v>
      </c>
      <c r="D2837" t="s">
        <v>969</v>
      </c>
      <c r="E2837" t="s">
        <v>965</v>
      </c>
      <c r="F2837" t="s">
        <v>45</v>
      </c>
    </row>
    <row r="2838" spans="2:6" x14ac:dyDescent="0.2">
      <c r="B2838"/>
      <c r="C2838"/>
      <c r="D2838"/>
      <c r="E2838"/>
      <c r="F2838" t="s">
        <v>46</v>
      </c>
    </row>
    <row r="2839" spans="2:6" x14ac:dyDescent="0.2">
      <c r="B2839"/>
      <c r="C2839"/>
      <c r="D2839"/>
      <c r="E2839"/>
      <c r="F2839" t="s">
        <v>47</v>
      </c>
    </row>
    <row r="2840" spans="2:6" x14ac:dyDescent="0.2">
      <c r="B2840"/>
      <c r="C2840"/>
      <c r="D2840"/>
      <c r="E2840"/>
      <c r="F2840" t="s">
        <v>31</v>
      </c>
    </row>
    <row r="2841" spans="2:6" x14ac:dyDescent="0.2">
      <c r="B2841"/>
      <c r="C2841"/>
      <c r="D2841"/>
      <c r="E2841"/>
      <c r="F2841" t="s">
        <v>32</v>
      </c>
    </row>
    <row r="2842" spans="2:6" x14ac:dyDescent="0.2">
      <c r="B2842"/>
      <c r="C2842"/>
      <c r="D2842"/>
      <c r="E2842"/>
      <c r="F2842" t="s">
        <v>38</v>
      </c>
    </row>
    <row r="2843" spans="2:6" x14ac:dyDescent="0.2">
      <c r="B2843" t="s">
        <v>289</v>
      </c>
      <c r="C2843" t="s">
        <v>759</v>
      </c>
      <c r="D2843" t="s">
        <v>970</v>
      </c>
      <c r="E2843" t="s">
        <v>965</v>
      </c>
      <c r="F2843" t="s">
        <v>4</v>
      </c>
    </row>
    <row r="2844" spans="2:6" x14ac:dyDescent="0.2">
      <c r="B2844"/>
      <c r="C2844"/>
      <c r="D2844"/>
      <c r="E2844"/>
      <c r="F2844" t="s">
        <v>5</v>
      </c>
    </row>
    <row r="2845" spans="2:6" x14ac:dyDescent="0.2">
      <c r="B2845"/>
      <c r="C2845"/>
      <c r="D2845"/>
      <c r="E2845"/>
      <c r="F2845" t="s">
        <v>7</v>
      </c>
    </row>
    <row r="2846" spans="2:6" x14ac:dyDescent="0.2">
      <c r="B2846"/>
      <c r="C2846"/>
      <c r="D2846"/>
      <c r="E2846"/>
      <c r="F2846" t="s">
        <v>8</v>
      </c>
    </row>
    <row r="2847" spans="2:6" x14ac:dyDescent="0.2">
      <c r="B2847"/>
      <c r="C2847"/>
      <c r="D2847"/>
      <c r="E2847"/>
      <c r="F2847" t="s">
        <v>9</v>
      </c>
    </row>
    <row r="2848" spans="2:6" x14ac:dyDescent="0.2">
      <c r="B2848"/>
      <c r="C2848"/>
      <c r="D2848"/>
      <c r="E2848"/>
      <c r="F2848" t="s">
        <v>26</v>
      </c>
    </row>
    <row r="2849" spans="2:6" x14ac:dyDescent="0.2">
      <c r="B2849"/>
      <c r="C2849"/>
      <c r="D2849"/>
      <c r="E2849"/>
      <c r="F2849" t="s">
        <v>20</v>
      </c>
    </row>
    <row r="2850" spans="2:6" x14ac:dyDescent="0.2">
      <c r="B2850"/>
      <c r="C2850"/>
      <c r="D2850"/>
      <c r="E2850"/>
      <c r="F2850" t="s">
        <v>27</v>
      </c>
    </row>
    <row r="2851" spans="2:6" x14ac:dyDescent="0.2">
      <c r="B2851"/>
      <c r="C2851"/>
      <c r="D2851"/>
      <c r="E2851"/>
      <c r="F2851" t="s">
        <v>10</v>
      </c>
    </row>
    <row r="2852" spans="2:6" x14ac:dyDescent="0.2">
      <c r="B2852"/>
      <c r="C2852"/>
      <c r="D2852"/>
      <c r="E2852"/>
      <c r="F2852" t="s">
        <v>21</v>
      </c>
    </row>
    <row r="2853" spans="2:6" x14ac:dyDescent="0.2">
      <c r="B2853"/>
      <c r="C2853"/>
      <c r="D2853"/>
      <c r="E2853"/>
      <c r="F2853" t="s">
        <v>22</v>
      </c>
    </row>
    <row r="2854" spans="2:6" x14ac:dyDescent="0.2">
      <c r="B2854"/>
      <c r="C2854"/>
      <c r="D2854"/>
      <c r="E2854"/>
      <c r="F2854" t="s">
        <v>37</v>
      </c>
    </row>
    <row r="2855" spans="2:6" x14ac:dyDescent="0.2">
      <c r="B2855"/>
      <c r="C2855"/>
      <c r="D2855"/>
      <c r="E2855"/>
      <c r="F2855" t="s">
        <v>13</v>
      </c>
    </row>
    <row r="2856" spans="2:6" x14ac:dyDescent="0.2">
      <c r="B2856"/>
      <c r="C2856"/>
      <c r="D2856"/>
      <c r="E2856"/>
      <c r="F2856" t="s">
        <v>14</v>
      </c>
    </row>
    <row r="2857" spans="2:6" x14ac:dyDescent="0.2">
      <c r="B2857"/>
      <c r="C2857"/>
      <c r="D2857"/>
      <c r="E2857"/>
      <c r="F2857" t="s">
        <v>15</v>
      </c>
    </row>
    <row r="2858" spans="2:6" x14ac:dyDescent="0.2">
      <c r="B2858" t="s">
        <v>980</v>
      </c>
      <c r="C2858" t="s">
        <v>981</v>
      </c>
      <c r="D2858" t="s">
        <v>970</v>
      </c>
      <c r="E2858" t="s">
        <v>965</v>
      </c>
      <c r="F2858" t="s">
        <v>11</v>
      </c>
    </row>
    <row r="2859" spans="2:6" x14ac:dyDescent="0.2">
      <c r="B2859" t="s">
        <v>1106</v>
      </c>
      <c r="C2859" t="s">
        <v>1107</v>
      </c>
      <c r="D2859" t="s">
        <v>969</v>
      </c>
      <c r="E2859" t="s">
        <v>1137</v>
      </c>
      <c r="F2859" t="s">
        <v>10</v>
      </c>
    </row>
    <row r="2860" spans="2:6" x14ac:dyDescent="0.2">
      <c r="B2860" t="s">
        <v>290</v>
      </c>
      <c r="C2860" t="s">
        <v>760</v>
      </c>
      <c r="D2860" t="s">
        <v>969</v>
      </c>
      <c r="E2860" t="s">
        <v>1170</v>
      </c>
      <c r="F2860" t="s">
        <v>5</v>
      </c>
    </row>
    <row r="2861" spans="2:6" x14ac:dyDescent="0.2">
      <c r="B2861"/>
      <c r="C2861"/>
      <c r="D2861"/>
      <c r="E2861"/>
      <c r="F2861" t="s">
        <v>29</v>
      </c>
    </row>
    <row r="2862" spans="2:6" x14ac:dyDescent="0.2">
      <c r="B2862" t="s">
        <v>291</v>
      </c>
      <c r="C2862" t="s">
        <v>1108</v>
      </c>
      <c r="D2862" t="s">
        <v>969</v>
      </c>
      <c r="E2862" t="s">
        <v>965</v>
      </c>
      <c r="F2862" t="s">
        <v>11</v>
      </c>
    </row>
    <row r="2863" spans="2:6" x14ac:dyDescent="0.2">
      <c r="B2863"/>
      <c r="C2863"/>
      <c r="D2863"/>
      <c r="E2863"/>
      <c r="F2863" t="s">
        <v>15</v>
      </c>
    </row>
    <row r="2864" spans="2:6" x14ac:dyDescent="0.2">
      <c r="B2864" t="s">
        <v>292</v>
      </c>
      <c r="C2864" t="s">
        <v>761</v>
      </c>
      <c r="D2864" t="s">
        <v>969</v>
      </c>
      <c r="E2864" t="s">
        <v>1139</v>
      </c>
      <c r="F2864" t="s">
        <v>46</v>
      </c>
    </row>
    <row r="2865" spans="2:6" x14ac:dyDescent="0.2">
      <c r="B2865"/>
      <c r="C2865"/>
      <c r="D2865"/>
      <c r="E2865"/>
      <c r="F2865" t="s">
        <v>47</v>
      </c>
    </row>
    <row r="2866" spans="2:6" x14ac:dyDescent="0.2">
      <c r="B2866"/>
      <c r="C2866"/>
      <c r="D2866"/>
      <c r="E2866"/>
      <c r="F2866" t="s">
        <v>48</v>
      </c>
    </row>
    <row r="2867" spans="2:6" x14ac:dyDescent="0.2">
      <c r="B2867"/>
      <c r="C2867"/>
      <c r="D2867"/>
      <c r="E2867"/>
      <c r="F2867" t="s">
        <v>107</v>
      </c>
    </row>
    <row r="2868" spans="2:6" x14ac:dyDescent="0.2">
      <c r="B2868"/>
      <c r="C2868"/>
      <c r="D2868"/>
      <c r="E2868"/>
      <c r="F2868" t="s">
        <v>108</v>
      </c>
    </row>
    <row r="2869" spans="2:6" x14ac:dyDescent="0.2">
      <c r="B2869" t="s">
        <v>293</v>
      </c>
      <c r="C2869" t="s">
        <v>762</v>
      </c>
      <c r="D2869" t="s">
        <v>969</v>
      </c>
      <c r="E2869" t="s">
        <v>965</v>
      </c>
      <c r="F2869" t="s">
        <v>5</v>
      </c>
    </row>
    <row r="2870" spans="2:6" x14ac:dyDescent="0.2">
      <c r="B2870"/>
      <c r="C2870"/>
      <c r="D2870"/>
      <c r="E2870"/>
      <c r="F2870" t="s">
        <v>8</v>
      </c>
    </row>
    <row r="2871" spans="2:6" x14ac:dyDescent="0.2">
      <c r="B2871"/>
      <c r="C2871"/>
      <c r="D2871"/>
      <c r="E2871"/>
      <c r="F2871" t="s">
        <v>9</v>
      </c>
    </row>
    <row r="2872" spans="2:6" x14ac:dyDescent="0.2">
      <c r="B2872"/>
      <c r="C2872"/>
      <c r="D2872"/>
      <c r="E2872"/>
      <c r="F2872" t="s">
        <v>20</v>
      </c>
    </row>
    <row r="2873" spans="2:6" x14ac:dyDescent="0.2">
      <c r="B2873"/>
      <c r="C2873"/>
      <c r="D2873"/>
      <c r="E2873"/>
      <c r="F2873" t="s">
        <v>27</v>
      </c>
    </row>
    <row r="2874" spans="2:6" x14ac:dyDescent="0.2">
      <c r="B2874"/>
      <c r="C2874"/>
      <c r="D2874"/>
      <c r="E2874"/>
      <c r="F2874" t="s">
        <v>10</v>
      </c>
    </row>
    <row r="2875" spans="2:6" x14ac:dyDescent="0.2">
      <c r="B2875"/>
      <c r="C2875"/>
      <c r="D2875"/>
      <c r="E2875"/>
      <c r="F2875" t="s">
        <v>21</v>
      </c>
    </row>
    <row r="2876" spans="2:6" x14ac:dyDescent="0.2">
      <c r="B2876"/>
      <c r="C2876"/>
      <c r="D2876"/>
      <c r="E2876"/>
      <c r="F2876" t="s">
        <v>12</v>
      </c>
    </row>
    <row r="2877" spans="2:6" x14ac:dyDescent="0.2">
      <c r="B2877"/>
      <c r="C2877"/>
      <c r="D2877"/>
      <c r="E2877"/>
      <c r="F2877" t="s">
        <v>37</v>
      </c>
    </row>
    <row r="2878" spans="2:6" x14ac:dyDescent="0.2">
      <c r="B2878"/>
      <c r="C2878"/>
      <c r="D2878"/>
      <c r="E2878"/>
      <c r="F2878" t="s">
        <v>14</v>
      </c>
    </row>
    <row r="2879" spans="2:6" x14ac:dyDescent="0.2">
      <c r="B2879"/>
      <c r="C2879"/>
      <c r="D2879"/>
      <c r="E2879"/>
      <c r="F2879" t="s">
        <v>15</v>
      </c>
    </row>
    <row r="2880" spans="2:6" x14ac:dyDescent="0.2">
      <c r="B2880" t="s">
        <v>294</v>
      </c>
      <c r="C2880" t="s">
        <v>763</v>
      </c>
      <c r="D2880" t="s">
        <v>969</v>
      </c>
      <c r="E2880" t="s">
        <v>1160</v>
      </c>
      <c r="F2880" t="s">
        <v>5</v>
      </c>
    </row>
    <row r="2881" spans="2:6" x14ac:dyDescent="0.2">
      <c r="B2881"/>
      <c r="C2881"/>
      <c r="D2881"/>
      <c r="E2881"/>
      <c r="F2881" t="s">
        <v>10</v>
      </c>
    </row>
    <row r="2882" spans="2:6" x14ac:dyDescent="0.2">
      <c r="B2882"/>
      <c r="C2882"/>
      <c r="D2882"/>
      <c r="E2882"/>
      <c r="F2882" t="s">
        <v>29</v>
      </c>
    </row>
    <row r="2883" spans="2:6" x14ac:dyDescent="0.2">
      <c r="B2883" t="s">
        <v>295</v>
      </c>
      <c r="C2883" t="s">
        <v>764</v>
      </c>
      <c r="D2883" t="s">
        <v>970</v>
      </c>
      <c r="E2883" t="s">
        <v>965</v>
      </c>
      <c r="F2883" t="s">
        <v>10</v>
      </c>
    </row>
    <row r="2884" spans="2:6" x14ac:dyDescent="0.2">
      <c r="B2884"/>
      <c r="C2884"/>
      <c r="D2884"/>
      <c r="E2884"/>
      <c r="F2884" t="s">
        <v>51</v>
      </c>
    </row>
    <row r="2885" spans="2:6" x14ac:dyDescent="0.2">
      <c r="B2885" t="s">
        <v>296</v>
      </c>
      <c r="C2885" t="s">
        <v>765</v>
      </c>
      <c r="D2885" t="s">
        <v>969</v>
      </c>
      <c r="E2885" t="s">
        <v>1273</v>
      </c>
      <c r="F2885" t="s">
        <v>4</v>
      </c>
    </row>
    <row r="2886" spans="2:6" x14ac:dyDescent="0.2">
      <c r="B2886"/>
      <c r="C2886"/>
      <c r="D2886"/>
      <c r="E2886"/>
      <c r="F2886" t="s">
        <v>26</v>
      </c>
    </row>
    <row r="2887" spans="2:6" x14ac:dyDescent="0.2">
      <c r="B2887"/>
      <c r="C2887"/>
      <c r="D2887"/>
      <c r="E2887"/>
      <c r="F2887" t="s">
        <v>20</v>
      </c>
    </row>
    <row r="2888" spans="2:6" x14ac:dyDescent="0.2">
      <c r="B2888"/>
      <c r="C2888"/>
      <c r="D2888"/>
      <c r="E2888"/>
      <c r="F2888" t="s">
        <v>27</v>
      </c>
    </row>
    <row r="2889" spans="2:6" x14ac:dyDescent="0.2">
      <c r="B2889"/>
      <c r="C2889"/>
      <c r="D2889"/>
      <c r="E2889"/>
      <c r="F2889" t="s">
        <v>21</v>
      </c>
    </row>
    <row r="2890" spans="2:6" x14ac:dyDescent="0.2">
      <c r="B2890"/>
      <c r="C2890"/>
      <c r="D2890"/>
      <c r="E2890"/>
      <c r="F2890" t="s">
        <v>13</v>
      </c>
    </row>
    <row r="2891" spans="2:6" x14ac:dyDescent="0.2">
      <c r="B2891"/>
      <c r="C2891"/>
      <c r="D2891"/>
      <c r="E2891"/>
      <c r="F2891" t="s">
        <v>52</v>
      </c>
    </row>
    <row r="2892" spans="2:6" x14ac:dyDescent="0.2">
      <c r="B2892"/>
      <c r="C2892"/>
      <c r="D2892"/>
      <c r="E2892"/>
      <c r="F2892" t="s">
        <v>14</v>
      </c>
    </row>
    <row r="2893" spans="2:6" x14ac:dyDescent="0.2">
      <c r="B2893"/>
      <c r="C2893"/>
      <c r="D2893"/>
      <c r="E2893"/>
      <c r="F2893" t="s">
        <v>56</v>
      </c>
    </row>
    <row r="2894" spans="2:6" x14ac:dyDescent="0.2">
      <c r="B2894" t="s">
        <v>519</v>
      </c>
      <c r="C2894" t="s">
        <v>1002</v>
      </c>
      <c r="D2894" t="s">
        <v>969</v>
      </c>
      <c r="E2894" t="s">
        <v>965</v>
      </c>
      <c r="F2894" t="s">
        <v>43</v>
      </c>
    </row>
    <row r="2895" spans="2:6" x14ac:dyDescent="0.2">
      <c r="B2895"/>
      <c r="C2895"/>
      <c r="D2895"/>
      <c r="E2895"/>
      <c r="F2895" t="s">
        <v>44</v>
      </c>
    </row>
    <row r="2896" spans="2:6" x14ac:dyDescent="0.2">
      <c r="B2896"/>
      <c r="C2896"/>
      <c r="D2896"/>
      <c r="E2896"/>
      <c r="F2896" t="s">
        <v>4</v>
      </c>
    </row>
    <row r="2897" spans="2:6" x14ac:dyDescent="0.2">
      <c r="B2897"/>
      <c r="C2897"/>
      <c r="D2897"/>
      <c r="E2897"/>
      <c r="F2897" t="s">
        <v>5</v>
      </c>
    </row>
    <row r="2898" spans="2:6" x14ac:dyDescent="0.2">
      <c r="B2898"/>
      <c r="C2898"/>
      <c r="D2898"/>
      <c r="E2898"/>
      <c r="F2898" t="s">
        <v>6</v>
      </c>
    </row>
    <row r="2899" spans="2:6" x14ac:dyDescent="0.2">
      <c r="B2899"/>
      <c r="C2899"/>
      <c r="D2899"/>
      <c r="E2899"/>
      <c r="F2899" t="s">
        <v>24</v>
      </c>
    </row>
    <row r="2900" spans="2:6" x14ac:dyDescent="0.2">
      <c r="B2900"/>
      <c r="C2900"/>
      <c r="D2900"/>
      <c r="E2900"/>
      <c r="F2900" t="s">
        <v>25</v>
      </c>
    </row>
    <row r="2901" spans="2:6" x14ac:dyDescent="0.2">
      <c r="B2901"/>
      <c r="C2901"/>
      <c r="D2901"/>
      <c r="E2901"/>
      <c r="F2901" t="s">
        <v>9</v>
      </c>
    </row>
    <row r="2902" spans="2:6" x14ac:dyDescent="0.2">
      <c r="B2902"/>
      <c r="C2902"/>
      <c r="D2902"/>
      <c r="E2902"/>
      <c r="F2902" t="s">
        <v>26</v>
      </c>
    </row>
    <row r="2903" spans="2:6" x14ac:dyDescent="0.2">
      <c r="B2903"/>
      <c r="C2903"/>
      <c r="D2903"/>
      <c r="E2903"/>
      <c r="F2903" t="s">
        <v>20</v>
      </c>
    </row>
    <row r="2904" spans="2:6" x14ac:dyDescent="0.2">
      <c r="B2904"/>
      <c r="C2904"/>
      <c r="D2904"/>
      <c r="E2904"/>
      <c r="F2904" t="s">
        <v>27</v>
      </c>
    </row>
    <row r="2905" spans="2:6" x14ac:dyDescent="0.2">
      <c r="B2905"/>
      <c r="C2905"/>
      <c r="D2905"/>
      <c r="E2905"/>
      <c r="F2905" t="s">
        <v>10</v>
      </c>
    </row>
    <row r="2906" spans="2:6" x14ac:dyDescent="0.2">
      <c r="B2906"/>
      <c r="C2906"/>
      <c r="D2906"/>
      <c r="E2906"/>
      <c r="F2906" t="s">
        <v>39</v>
      </c>
    </row>
    <row r="2907" spans="2:6" x14ac:dyDescent="0.2">
      <c r="B2907"/>
      <c r="C2907"/>
      <c r="D2907"/>
      <c r="E2907"/>
      <c r="F2907" t="s">
        <v>12</v>
      </c>
    </row>
    <row r="2908" spans="2:6" x14ac:dyDescent="0.2">
      <c r="B2908"/>
      <c r="C2908"/>
      <c r="D2908"/>
      <c r="E2908"/>
      <c r="F2908" t="s">
        <v>37</v>
      </c>
    </row>
    <row r="2909" spans="2:6" x14ac:dyDescent="0.2">
      <c r="B2909"/>
      <c r="C2909"/>
      <c r="D2909"/>
      <c r="E2909"/>
      <c r="F2909" t="s">
        <v>13</v>
      </c>
    </row>
    <row r="2910" spans="2:6" x14ac:dyDescent="0.2">
      <c r="B2910"/>
      <c r="C2910"/>
      <c r="D2910"/>
      <c r="E2910"/>
      <c r="F2910" t="s">
        <v>14</v>
      </c>
    </row>
    <row r="2911" spans="2:6" x14ac:dyDescent="0.2">
      <c r="B2911"/>
      <c r="C2911"/>
      <c r="D2911"/>
      <c r="E2911"/>
      <c r="F2911" t="s">
        <v>15</v>
      </c>
    </row>
    <row r="2912" spans="2:6" x14ac:dyDescent="0.2">
      <c r="B2912"/>
      <c r="C2912"/>
      <c r="D2912"/>
      <c r="E2912"/>
      <c r="F2912" t="s">
        <v>30</v>
      </c>
    </row>
    <row r="2913" spans="2:6" x14ac:dyDescent="0.2">
      <c r="B2913"/>
      <c r="C2913"/>
      <c r="D2913"/>
      <c r="E2913"/>
      <c r="F2913" t="s">
        <v>53</v>
      </c>
    </row>
    <row r="2914" spans="2:6" x14ac:dyDescent="0.2">
      <c r="B2914"/>
      <c r="C2914"/>
      <c r="D2914"/>
      <c r="E2914"/>
      <c r="F2914" t="s">
        <v>31</v>
      </c>
    </row>
    <row r="2915" spans="2:6" x14ac:dyDescent="0.2">
      <c r="B2915"/>
      <c r="C2915"/>
      <c r="D2915"/>
      <c r="E2915"/>
      <c r="F2915" t="s">
        <v>32</v>
      </c>
    </row>
    <row r="2916" spans="2:6" x14ac:dyDescent="0.2">
      <c r="B2916" t="s">
        <v>846</v>
      </c>
      <c r="C2916" t="s">
        <v>847</v>
      </c>
      <c r="D2916" t="s">
        <v>969</v>
      </c>
      <c r="E2916" t="s">
        <v>965</v>
      </c>
      <c r="F2916" t="s">
        <v>59</v>
      </c>
    </row>
    <row r="2917" spans="2:6" x14ac:dyDescent="0.2">
      <c r="B2917" t="s">
        <v>297</v>
      </c>
      <c r="C2917" t="s">
        <v>903</v>
      </c>
      <c r="D2917" t="s">
        <v>969</v>
      </c>
      <c r="E2917" t="s">
        <v>965</v>
      </c>
      <c r="F2917" t="s">
        <v>43</v>
      </c>
    </row>
    <row r="2918" spans="2:6" x14ac:dyDescent="0.2">
      <c r="B2918"/>
      <c r="C2918"/>
      <c r="D2918"/>
      <c r="E2918"/>
      <c r="F2918" t="s">
        <v>44</v>
      </c>
    </row>
    <row r="2919" spans="2:6" x14ac:dyDescent="0.2">
      <c r="B2919"/>
      <c r="C2919"/>
      <c r="D2919"/>
      <c r="E2919"/>
      <c r="F2919" t="s">
        <v>45</v>
      </c>
    </row>
    <row r="2920" spans="2:6" x14ac:dyDescent="0.2">
      <c r="B2920"/>
      <c r="C2920"/>
      <c r="D2920"/>
      <c r="E2920"/>
      <c r="F2920" t="s">
        <v>46</v>
      </c>
    </row>
    <row r="2921" spans="2:6" x14ac:dyDescent="0.2">
      <c r="B2921"/>
      <c r="C2921"/>
      <c r="D2921"/>
      <c r="E2921"/>
      <c r="F2921" t="s">
        <v>47</v>
      </c>
    </row>
    <row r="2922" spans="2:6" x14ac:dyDescent="0.2">
      <c r="B2922"/>
      <c r="C2922"/>
      <c r="D2922"/>
      <c r="E2922"/>
      <c r="F2922" t="s">
        <v>48</v>
      </c>
    </row>
    <row r="2923" spans="2:6" x14ac:dyDescent="0.2">
      <c r="B2923"/>
      <c r="C2923"/>
      <c r="D2923"/>
      <c r="E2923"/>
      <c r="F2923" t="s">
        <v>4</v>
      </c>
    </row>
    <row r="2924" spans="2:6" x14ac:dyDescent="0.2">
      <c r="B2924"/>
      <c r="C2924"/>
      <c r="D2924"/>
      <c r="E2924"/>
      <c r="F2924" t="s">
        <v>5</v>
      </c>
    </row>
    <row r="2925" spans="2:6" x14ac:dyDescent="0.2">
      <c r="B2925"/>
      <c r="C2925"/>
      <c r="D2925"/>
      <c r="E2925"/>
      <c r="F2925" t="s">
        <v>7</v>
      </c>
    </row>
    <row r="2926" spans="2:6" x14ac:dyDescent="0.2">
      <c r="B2926"/>
      <c r="C2926"/>
      <c r="D2926"/>
      <c r="E2926"/>
      <c r="F2926" t="s">
        <v>8</v>
      </c>
    </row>
    <row r="2927" spans="2:6" x14ac:dyDescent="0.2">
      <c r="B2927"/>
      <c r="C2927"/>
      <c r="D2927"/>
      <c r="E2927"/>
      <c r="F2927" t="s">
        <v>24</v>
      </c>
    </row>
    <row r="2928" spans="2:6" x14ac:dyDescent="0.2">
      <c r="B2928"/>
      <c r="C2928"/>
      <c r="D2928"/>
      <c r="E2928"/>
      <c r="F2928" t="s">
        <v>25</v>
      </c>
    </row>
    <row r="2929" spans="2:6" x14ac:dyDescent="0.2">
      <c r="B2929"/>
      <c r="C2929"/>
      <c r="D2929"/>
      <c r="E2929"/>
      <c r="F2929" t="s">
        <v>9</v>
      </c>
    </row>
    <row r="2930" spans="2:6" x14ac:dyDescent="0.2">
      <c r="B2930"/>
      <c r="C2930"/>
      <c r="D2930"/>
      <c r="E2930"/>
      <c r="F2930" t="s">
        <v>49</v>
      </c>
    </row>
    <row r="2931" spans="2:6" x14ac:dyDescent="0.2">
      <c r="B2931"/>
      <c r="C2931"/>
      <c r="D2931"/>
      <c r="E2931"/>
      <c r="F2931" t="s">
        <v>27</v>
      </c>
    </row>
    <row r="2932" spans="2:6" x14ac:dyDescent="0.2">
      <c r="B2932"/>
      <c r="C2932"/>
      <c r="D2932"/>
      <c r="E2932"/>
      <c r="F2932" t="s">
        <v>10</v>
      </c>
    </row>
    <row r="2933" spans="2:6" x14ac:dyDescent="0.2">
      <c r="B2933"/>
      <c r="C2933"/>
      <c r="D2933"/>
      <c r="E2933"/>
      <c r="F2933" t="s">
        <v>21</v>
      </c>
    </row>
    <row r="2934" spans="2:6" x14ac:dyDescent="0.2">
      <c r="B2934"/>
      <c r="C2934"/>
      <c r="D2934"/>
      <c r="E2934"/>
      <c r="F2934" t="s">
        <v>18</v>
      </c>
    </row>
    <row r="2935" spans="2:6" x14ac:dyDescent="0.2">
      <c r="B2935"/>
      <c r="C2935"/>
      <c r="D2935"/>
      <c r="E2935"/>
      <c r="F2935" t="s">
        <v>11</v>
      </c>
    </row>
    <row r="2936" spans="2:6" x14ac:dyDescent="0.2">
      <c r="B2936"/>
      <c r="C2936"/>
      <c r="D2936"/>
      <c r="E2936"/>
      <c r="F2936" t="s">
        <v>22</v>
      </c>
    </row>
    <row r="2937" spans="2:6" x14ac:dyDescent="0.2">
      <c r="B2937"/>
      <c r="C2937"/>
      <c r="D2937"/>
      <c r="E2937"/>
      <c r="F2937" t="s">
        <v>51</v>
      </c>
    </row>
    <row r="2938" spans="2:6" x14ac:dyDescent="0.2">
      <c r="B2938"/>
      <c r="C2938"/>
      <c r="D2938"/>
      <c r="E2938"/>
      <c r="F2938" t="s">
        <v>37</v>
      </c>
    </row>
    <row r="2939" spans="2:6" x14ac:dyDescent="0.2">
      <c r="B2939"/>
      <c r="C2939"/>
      <c r="D2939"/>
      <c r="E2939"/>
      <c r="F2939" t="s">
        <v>13</v>
      </c>
    </row>
    <row r="2940" spans="2:6" x14ac:dyDescent="0.2">
      <c r="B2940"/>
      <c r="C2940"/>
      <c r="D2940"/>
      <c r="E2940"/>
      <c r="F2940" t="s">
        <v>52</v>
      </c>
    </row>
    <row r="2941" spans="2:6" x14ac:dyDescent="0.2">
      <c r="B2941"/>
      <c r="C2941"/>
      <c r="D2941"/>
      <c r="E2941"/>
      <c r="F2941" t="s">
        <v>14</v>
      </c>
    </row>
    <row r="2942" spans="2:6" x14ac:dyDescent="0.2">
      <c r="B2942"/>
      <c r="C2942"/>
      <c r="D2942"/>
      <c r="E2942"/>
      <c r="F2942" t="s">
        <v>15</v>
      </c>
    </row>
    <row r="2943" spans="2:6" x14ac:dyDescent="0.2">
      <c r="B2943"/>
      <c r="C2943"/>
      <c r="D2943"/>
      <c r="E2943"/>
      <c r="F2943" t="s">
        <v>30</v>
      </c>
    </row>
    <row r="2944" spans="2:6" x14ac:dyDescent="0.2">
      <c r="B2944"/>
      <c r="C2944"/>
      <c r="D2944"/>
      <c r="E2944"/>
      <c r="F2944" t="s">
        <v>53</v>
      </c>
    </row>
    <row r="2945" spans="2:6" x14ac:dyDescent="0.2">
      <c r="B2945"/>
      <c r="C2945"/>
      <c r="D2945"/>
      <c r="E2945"/>
      <c r="F2945" t="s">
        <v>31</v>
      </c>
    </row>
    <row r="2946" spans="2:6" x14ac:dyDescent="0.2">
      <c r="B2946"/>
      <c r="C2946"/>
      <c r="D2946"/>
      <c r="E2946"/>
      <c r="F2946" t="s">
        <v>32</v>
      </c>
    </row>
    <row r="2947" spans="2:6" x14ac:dyDescent="0.2">
      <c r="B2947"/>
      <c r="C2947"/>
      <c r="D2947"/>
      <c r="E2947"/>
      <c r="F2947" t="s">
        <v>54</v>
      </c>
    </row>
    <row r="2948" spans="2:6" x14ac:dyDescent="0.2">
      <c r="B2948"/>
      <c r="C2948"/>
      <c r="D2948"/>
      <c r="E2948"/>
      <c r="F2948" t="s">
        <v>38</v>
      </c>
    </row>
    <row r="2949" spans="2:6" x14ac:dyDescent="0.2">
      <c r="B2949"/>
      <c r="C2949"/>
      <c r="D2949"/>
      <c r="E2949"/>
      <c r="F2949" t="s">
        <v>55</v>
      </c>
    </row>
    <row r="2950" spans="2:6" x14ac:dyDescent="0.2">
      <c r="B2950"/>
      <c r="C2950"/>
      <c r="D2950"/>
      <c r="E2950"/>
      <c r="F2950" t="s">
        <v>56</v>
      </c>
    </row>
    <row r="2951" spans="2:6" x14ac:dyDescent="0.2">
      <c r="B2951"/>
      <c r="C2951"/>
      <c r="D2951"/>
      <c r="E2951"/>
      <c r="F2951" t="s">
        <v>33</v>
      </c>
    </row>
    <row r="2952" spans="2:6" x14ac:dyDescent="0.2">
      <c r="B2952" t="s">
        <v>298</v>
      </c>
      <c r="C2952" t="s">
        <v>766</v>
      </c>
      <c r="D2952" t="s">
        <v>969</v>
      </c>
      <c r="E2952" t="s">
        <v>1206</v>
      </c>
      <c r="F2952" t="s">
        <v>107</v>
      </c>
    </row>
    <row r="2953" spans="2:6" x14ac:dyDescent="0.2">
      <c r="B2953"/>
      <c r="C2953"/>
      <c r="D2953"/>
      <c r="E2953"/>
      <c r="F2953" t="s">
        <v>108</v>
      </c>
    </row>
    <row r="2954" spans="2:6" x14ac:dyDescent="0.2">
      <c r="B2954" t="s">
        <v>299</v>
      </c>
      <c r="C2954" t="s">
        <v>767</v>
      </c>
      <c r="D2954" t="s">
        <v>970</v>
      </c>
      <c r="E2954" t="s">
        <v>965</v>
      </c>
      <c r="F2954" t="s">
        <v>4</v>
      </c>
    </row>
    <row r="2955" spans="2:6" x14ac:dyDescent="0.2">
      <c r="B2955"/>
      <c r="C2955"/>
      <c r="D2955"/>
      <c r="E2955"/>
      <c r="F2955" t="s">
        <v>5</v>
      </c>
    </row>
    <row r="2956" spans="2:6" x14ac:dyDescent="0.2">
      <c r="B2956"/>
      <c r="C2956"/>
      <c r="D2956"/>
      <c r="E2956"/>
      <c r="F2956" t="s">
        <v>9</v>
      </c>
    </row>
    <row r="2957" spans="2:6" x14ac:dyDescent="0.2">
      <c r="B2957"/>
      <c r="C2957"/>
      <c r="D2957"/>
      <c r="E2957"/>
      <c r="F2957" t="s">
        <v>26</v>
      </c>
    </row>
    <row r="2958" spans="2:6" x14ac:dyDescent="0.2">
      <c r="B2958"/>
      <c r="C2958"/>
      <c r="D2958"/>
      <c r="E2958"/>
      <c r="F2958" t="s">
        <v>20</v>
      </c>
    </row>
    <row r="2959" spans="2:6" x14ac:dyDescent="0.2">
      <c r="B2959"/>
      <c r="C2959"/>
      <c r="D2959"/>
      <c r="E2959"/>
      <c r="F2959" t="s">
        <v>27</v>
      </c>
    </row>
    <row r="2960" spans="2:6" x14ac:dyDescent="0.2">
      <c r="B2960"/>
      <c r="C2960"/>
      <c r="D2960"/>
      <c r="E2960"/>
      <c r="F2960" t="s">
        <v>10</v>
      </c>
    </row>
    <row r="2961" spans="2:6" x14ac:dyDescent="0.2">
      <c r="B2961"/>
      <c r="C2961"/>
      <c r="D2961"/>
      <c r="E2961"/>
      <c r="F2961" t="s">
        <v>21</v>
      </c>
    </row>
    <row r="2962" spans="2:6" x14ac:dyDescent="0.2">
      <c r="B2962"/>
      <c r="C2962"/>
      <c r="D2962"/>
      <c r="E2962"/>
      <c r="F2962" t="s">
        <v>28</v>
      </c>
    </row>
    <row r="2963" spans="2:6" x14ac:dyDescent="0.2">
      <c r="B2963"/>
      <c r="C2963"/>
      <c r="D2963"/>
      <c r="E2963"/>
      <c r="F2963" t="s">
        <v>29</v>
      </c>
    </row>
    <row r="2964" spans="2:6" x14ac:dyDescent="0.2">
      <c r="B2964"/>
      <c r="C2964"/>
      <c r="D2964"/>
      <c r="E2964"/>
      <c r="F2964" t="s">
        <v>13</v>
      </c>
    </row>
    <row r="2965" spans="2:6" x14ac:dyDescent="0.2">
      <c r="B2965"/>
      <c r="C2965"/>
      <c r="D2965"/>
      <c r="E2965"/>
      <c r="F2965" t="s">
        <v>14</v>
      </c>
    </row>
    <row r="2966" spans="2:6" x14ac:dyDescent="0.2">
      <c r="B2966"/>
      <c r="C2966"/>
      <c r="D2966"/>
      <c r="E2966"/>
      <c r="F2966" t="s">
        <v>15</v>
      </c>
    </row>
    <row r="2967" spans="2:6" x14ac:dyDescent="0.2">
      <c r="B2967"/>
      <c r="C2967"/>
      <c r="D2967"/>
      <c r="E2967"/>
      <c r="F2967" t="s">
        <v>30</v>
      </c>
    </row>
    <row r="2968" spans="2:6" x14ac:dyDescent="0.2">
      <c r="B2968"/>
      <c r="C2968"/>
      <c r="D2968"/>
      <c r="E2968"/>
      <c r="F2968" t="s">
        <v>53</v>
      </c>
    </row>
    <row r="2969" spans="2:6" x14ac:dyDescent="0.2">
      <c r="B2969"/>
      <c r="C2969"/>
      <c r="D2969"/>
      <c r="E2969"/>
      <c r="F2969" t="s">
        <v>31</v>
      </c>
    </row>
    <row r="2970" spans="2:6" x14ac:dyDescent="0.2">
      <c r="B2970"/>
      <c r="C2970"/>
      <c r="D2970"/>
      <c r="E2970"/>
      <c r="F2970" t="s">
        <v>32</v>
      </c>
    </row>
    <row r="2971" spans="2:6" x14ac:dyDescent="0.2">
      <c r="B2971"/>
      <c r="C2971"/>
      <c r="D2971"/>
      <c r="E2971"/>
      <c r="F2971" t="s">
        <v>54</v>
      </c>
    </row>
    <row r="2972" spans="2:6" x14ac:dyDescent="0.2">
      <c r="B2972"/>
      <c r="C2972"/>
      <c r="D2972"/>
      <c r="E2972"/>
      <c r="F2972" t="s">
        <v>38</v>
      </c>
    </row>
    <row r="2973" spans="2:6" x14ac:dyDescent="0.2">
      <c r="B2973" t="s">
        <v>300</v>
      </c>
      <c r="C2973" t="s">
        <v>932</v>
      </c>
      <c r="D2973" t="s">
        <v>969</v>
      </c>
      <c r="E2973" t="s">
        <v>1274</v>
      </c>
      <c r="F2973" t="s">
        <v>4</v>
      </c>
    </row>
    <row r="2974" spans="2:6" x14ac:dyDescent="0.2">
      <c r="B2974"/>
      <c r="C2974"/>
      <c r="D2974"/>
      <c r="E2974"/>
      <c r="F2974" t="s">
        <v>5</v>
      </c>
    </row>
    <row r="2975" spans="2:6" x14ac:dyDescent="0.2">
      <c r="B2975"/>
      <c r="C2975"/>
      <c r="D2975"/>
      <c r="E2975"/>
      <c r="F2975" t="s">
        <v>6</v>
      </c>
    </row>
    <row r="2976" spans="2:6" x14ac:dyDescent="0.2">
      <c r="B2976"/>
      <c r="C2976"/>
      <c r="D2976"/>
      <c r="E2976"/>
      <c r="F2976" t="s">
        <v>7</v>
      </c>
    </row>
    <row r="2977" spans="2:6" x14ac:dyDescent="0.2">
      <c r="B2977"/>
      <c r="C2977"/>
      <c r="D2977"/>
      <c r="E2977"/>
      <c r="F2977" t="s">
        <v>8</v>
      </c>
    </row>
    <row r="2978" spans="2:6" x14ac:dyDescent="0.2">
      <c r="B2978"/>
      <c r="C2978"/>
      <c r="D2978"/>
      <c r="E2978"/>
      <c r="F2978" t="s">
        <v>24</v>
      </c>
    </row>
    <row r="2979" spans="2:6" x14ac:dyDescent="0.2">
      <c r="B2979"/>
      <c r="C2979"/>
      <c r="D2979"/>
      <c r="E2979"/>
      <c r="F2979" t="s">
        <v>25</v>
      </c>
    </row>
    <row r="2980" spans="2:6" x14ac:dyDescent="0.2">
      <c r="B2980"/>
      <c r="C2980"/>
      <c r="D2980"/>
      <c r="E2980"/>
      <c r="F2980" t="s">
        <v>9</v>
      </c>
    </row>
    <row r="2981" spans="2:6" x14ac:dyDescent="0.2">
      <c r="B2981"/>
      <c r="C2981"/>
      <c r="D2981"/>
      <c r="E2981"/>
      <c r="F2981" t="s">
        <v>26</v>
      </c>
    </row>
    <row r="2982" spans="2:6" x14ac:dyDescent="0.2">
      <c r="B2982"/>
      <c r="C2982"/>
      <c r="D2982"/>
      <c r="E2982"/>
      <c r="F2982" t="s">
        <v>20</v>
      </c>
    </row>
    <row r="2983" spans="2:6" x14ac:dyDescent="0.2">
      <c r="B2983"/>
      <c r="C2983"/>
      <c r="D2983"/>
      <c r="E2983"/>
      <c r="F2983" t="s">
        <v>49</v>
      </c>
    </row>
    <row r="2984" spans="2:6" x14ac:dyDescent="0.2">
      <c r="B2984"/>
      <c r="C2984"/>
      <c r="D2984"/>
      <c r="E2984"/>
      <c r="F2984" t="s">
        <v>27</v>
      </c>
    </row>
    <row r="2985" spans="2:6" x14ac:dyDescent="0.2">
      <c r="B2985"/>
      <c r="C2985"/>
      <c r="D2985"/>
      <c r="E2985"/>
      <c r="F2985" t="s">
        <v>10</v>
      </c>
    </row>
    <row r="2986" spans="2:6" x14ac:dyDescent="0.2">
      <c r="B2986"/>
      <c r="C2986"/>
      <c r="D2986"/>
      <c r="E2986"/>
      <c r="F2986" t="s">
        <v>21</v>
      </c>
    </row>
    <row r="2987" spans="2:6" x14ac:dyDescent="0.2">
      <c r="B2987"/>
      <c r="C2987"/>
      <c r="D2987"/>
      <c r="E2987"/>
      <c r="F2987" t="s">
        <v>22</v>
      </c>
    </row>
    <row r="2988" spans="2:6" x14ac:dyDescent="0.2">
      <c r="B2988"/>
      <c r="C2988"/>
      <c r="D2988"/>
      <c r="E2988"/>
      <c r="F2988" t="s">
        <v>39</v>
      </c>
    </row>
    <row r="2989" spans="2:6" x14ac:dyDescent="0.2">
      <c r="B2989"/>
      <c r="C2989"/>
      <c r="D2989"/>
      <c r="E2989"/>
      <c r="F2989" t="s">
        <v>12</v>
      </c>
    </row>
    <row r="2990" spans="2:6" x14ac:dyDescent="0.2">
      <c r="B2990"/>
      <c r="C2990"/>
      <c r="D2990"/>
      <c r="E2990"/>
      <c r="F2990" t="s">
        <v>37</v>
      </c>
    </row>
    <row r="2991" spans="2:6" x14ac:dyDescent="0.2">
      <c r="B2991"/>
      <c r="C2991"/>
      <c r="D2991"/>
      <c r="E2991"/>
      <c r="F2991" t="s">
        <v>13</v>
      </c>
    </row>
    <row r="2992" spans="2:6" x14ac:dyDescent="0.2">
      <c r="B2992"/>
      <c r="C2992"/>
      <c r="D2992"/>
      <c r="E2992"/>
      <c r="F2992" t="s">
        <v>14</v>
      </c>
    </row>
    <row r="2993" spans="2:6" x14ac:dyDescent="0.2">
      <c r="B2993"/>
      <c r="C2993"/>
      <c r="D2993"/>
      <c r="E2993"/>
      <c r="F2993" t="s">
        <v>15</v>
      </c>
    </row>
    <row r="2994" spans="2:6" x14ac:dyDescent="0.2">
      <c r="B2994"/>
      <c r="C2994"/>
      <c r="D2994"/>
      <c r="E2994"/>
      <c r="F2994" t="s">
        <v>30</v>
      </c>
    </row>
    <row r="2995" spans="2:6" x14ac:dyDescent="0.2">
      <c r="B2995"/>
      <c r="C2995"/>
      <c r="D2995"/>
      <c r="E2995"/>
      <c r="F2995" t="s">
        <v>53</v>
      </c>
    </row>
    <row r="2996" spans="2:6" x14ac:dyDescent="0.2">
      <c r="B2996"/>
      <c r="C2996"/>
      <c r="D2996"/>
      <c r="E2996"/>
      <c r="F2996" t="s">
        <v>31</v>
      </c>
    </row>
    <row r="2997" spans="2:6" x14ac:dyDescent="0.2">
      <c r="B2997"/>
      <c r="C2997"/>
      <c r="D2997"/>
      <c r="E2997"/>
      <c r="F2997" t="s">
        <v>32</v>
      </c>
    </row>
    <row r="2998" spans="2:6" x14ac:dyDescent="0.2">
      <c r="B2998" t="s">
        <v>1047</v>
      </c>
      <c r="C2998" t="s">
        <v>1048</v>
      </c>
      <c r="D2998" t="s">
        <v>970</v>
      </c>
      <c r="E2998" t="s">
        <v>1185</v>
      </c>
      <c r="F2998" t="s">
        <v>48</v>
      </c>
    </row>
    <row r="2999" spans="2:6" x14ac:dyDescent="0.2">
      <c r="B2999" t="s">
        <v>301</v>
      </c>
      <c r="C2999" t="s">
        <v>768</v>
      </c>
      <c r="D2999" t="s">
        <v>969</v>
      </c>
      <c r="E2999" t="s">
        <v>1275</v>
      </c>
      <c r="F2999" t="s">
        <v>70</v>
      </c>
    </row>
    <row r="3000" spans="2:6" x14ac:dyDescent="0.2">
      <c r="B3000" t="s">
        <v>302</v>
      </c>
      <c r="C3000" t="s">
        <v>769</v>
      </c>
      <c r="D3000" t="s">
        <v>969</v>
      </c>
      <c r="E3000" t="s">
        <v>965</v>
      </c>
      <c r="F3000" t="s">
        <v>59</v>
      </c>
    </row>
    <row r="3001" spans="2:6" x14ac:dyDescent="0.2">
      <c r="B3001" t="s">
        <v>303</v>
      </c>
      <c r="C3001" t="s">
        <v>854</v>
      </c>
      <c r="D3001" t="s">
        <v>969</v>
      </c>
      <c r="E3001" t="s">
        <v>965</v>
      </c>
      <c r="F3001" t="s">
        <v>35</v>
      </c>
    </row>
    <row r="3002" spans="2:6" x14ac:dyDescent="0.2">
      <c r="B3002"/>
      <c r="C3002"/>
      <c r="D3002"/>
      <c r="E3002"/>
      <c r="F3002" t="s">
        <v>43</v>
      </c>
    </row>
    <row r="3003" spans="2:6" x14ac:dyDescent="0.2">
      <c r="B3003"/>
      <c r="C3003"/>
      <c r="D3003"/>
      <c r="E3003"/>
      <c r="F3003" t="s">
        <v>44</v>
      </c>
    </row>
    <row r="3004" spans="2:6" x14ac:dyDescent="0.2">
      <c r="B3004"/>
      <c r="C3004"/>
      <c r="D3004"/>
      <c r="E3004"/>
      <c r="F3004" t="s">
        <v>46</v>
      </c>
    </row>
    <row r="3005" spans="2:6" x14ac:dyDescent="0.2">
      <c r="B3005"/>
      <c r="C3005"/>
      <c r="D3005"/>
      <c r="E3005"/>
      <c r="F3005" t="s">
        <v>47</v>
      </c>
    </row>
    <row r="3006" spans="2:6" x14ac:dyDescent="0.2">
      <c r="B3006"/>
      <c r="C3006"/>
      <c r="D3006"/>
      <c r="E3006"/>
      <c r="F3006" t="s">
        <v>4</v>
      </c>
    </row>
    <row r="3007" spans="2:6" x14ac:dyDescent="0.2">
      <c r="B3007"/>
      <c r="C3007"/>
      <c r="D3007"/>
      <c r="E3007"/>
      <c r="F3007" t="s">
        <v>5</v>
      </c>
    </row>
    <row r="3008" spans="2:6" x14ac:dyDescent="0.2">
      <c r="B3008"/>
      <c r="C3008"/>
      <c r="D3008"/>
      <c r="E3008"/>
      <c r="F3008" t="s">
        <v>7</v>
      </c>
    </row>
    <row r="3009" spans="2:6" x14ac:dyDescent="0.2">
      <c r="B3009"/>
      <c r="C3009"/>
      <c r="D3009"/>
      <c r="E3009"/>
      <c r="F3009" t="s">
        <v>8</v>
      </c>
    </row>
    <row r="3010" spans="2:6" x14ac:dyDescent="0.2">
      <c r="B3010"/>
      <c r="C3010"/>
      <c r="D3010"/>
      <c r="E3010"/>
      <c r="F3010" t="s">
        <v>24</v>
      </c>
    </row>
    <row r="3011" spans="2:6" x14ac:dyDescent="0.2">
      <c r="B3011"/>
      <c r="C3011"/>
      <c r="D3011"/>
      <c r="E3011"/>
      <c r="F3011" t="s">
        <v>25</v>
      </c>
    </row>
    <row r="3012" spans="2:6" x14ac:dyDescent="0.2">
      <c r="B3012"/>
      <c r="C3012"/>
      <c r="D3012"/>
      <c r="E3012"/>
      <c r="F3012" t="s">
        <v>9</v>
      </c>
    </row>
    <row r="3013" spans="2:6" x14ac:dyDescent="0.2">
      <c r="B3013"/>
      <c r="C3013"/>
      <c r="D3013"/>
      <c r="E3013"/>
      <c r="F3013" t="s">
        <v>27</v>
      </c>
    </row>
    <row r="3014" spans="2:6" x14ac:dyDescent="0.2">
      <c r="B3014"/>
      <c r="C3014"/>
      <c r="D3014"/>
      <c r="E3014"/>
      <c r="F3014" t="s">
        <v>10</v>
      </c>
    </row>
    <row r="3015" spans="2:6" x14ac:dyDescent="0.2">
      <c r="B3015"/>
      <c r="C3015"/>
      <c r="D3015"/>
      <c r="E3015"/>
      <c r="F3015" t="s">
        <v>21</v>
      </c>
    </row>
    <row r="3016" spans="2:6" x14ac:dyDescent="0.2">
      <c r="B3016"/>
      <c r="C3016"/>
      <c r="D3016"/>
      <c r="E3016"/>
      <c r="F3016" t="s">
        <v>11</v>
      </c>
    </row>
    <row r="3017" spans="2:6" x14ac:dyDescent="0.2">
      <c r="B3017"/>
      <c r="C3017"/>
      <c r="D3017"/>
      <c r="E3017"/>
      <c r="F3017" t="s">
        <v>22</v>
      </c>
    </row>
    <row r="3018" spans="2:6" x14ac:dyDescent="0.2">
      <c r="B3018"/>
      <c r="C3018"/>
      <c r="D3018"/>
      <c r="E3018"/>
      <c r="F3018" t="s">
        <v>51</v>
      </c>
    </row>
    <row r="3019" spans="2:6" x14ac:dyDescent="0.2">
      <c r="B3019"/>
      <c r="C3019"/>
      <c r="D3019"/>
      <c r="E3019"/>
      <c r="F3019" t="s">
        <v>37</v>
      </c>
    </row>
    <row r="3020" spans="2:6" x14ac:dyDescent="0.2">
      <c r="B3020"/>
      <c r="C3020"/>
      <c r="D3020"/>
      <c r="E3020"/>
      <c r="F3020" t="s">
        <v>13</v>
      </c>
    </row>
    <row r="3021" spans="2:6" x14ac:dyDescent="0.2">
      <c r="B3021"/>
      <c r="C3021"/>
      <c r="D3021"/>
      <c r="E3021"/>
      <c r="F3021" t="s">
        <v>14</v>
      </c>
    </row>
    <row r="3022" spans="2:6" x14ac:dyDescent="0.2">
      <c r="B3022"/>
      <c r="C3022"/>
      <c r="D3022"/>
      <c r="E3022"/>
      <c r="F3022" t="s">
        <v>15</v>
      </c>
    </row>
    <row r="3023" spans="2:6" x14ac:dyDescent="0.2">
      <c r="B3023"/>
      <c r="C3023"/>
      <c r="D3023"/>
      <c r="E3023"/>
      <c r="F3023" t="s">
        <v>30</v>
      </c>
    </row>
    <row r="3024" spans="2:6" x14ac:dyDescent="0.2">
      <c r="B3024"/>
      <c r="C3024"/>
      <c r="D3024"/>
      <c r="E3024"/>
      <c r="F3024" t="s">
        <v>53</v>
      </c>
    </row>
    <row r="3025" spans="2:6" x14ac:dyDescent="0.2">
      <c r="B3025"/>
      <c r="C3025"/>
      <c r="D3025"/>
      <c r="E3025"/>
      <c r="F3025" t="s">
        <v>31</v>
      </c>
    </row>
    <row r="3026" spans="2:6" x14ac:dyDescent="0.2">
      <c r="B3026"/>
      <c r="C3026"/>
      <c r="D3026"/>
      <c r="E3026"/>
      <c r="F3026" t="s">
        <v>32</v>
      </c>
    </row>
    <row r="3027" spans="2:6" x14ac:dyDescent="0.2">
      <c r="B3027"/>
      <c r="C3027"/>
      <c r="D3027"/>
      <c r="E3027"/>
      <c r="F3027" t="s">
        <v>54</v>
      </c>
    </row>
    <row r="3028" spans="2:6" x14ac:dyDescent="0.2">
      <c r="B3028"/>
      <c r="C3028"/>
      <c r="D3028"/>
      <c r="E3028"/>
      <c r="F3028" t="s">
        <v>38</v>
      </c>
    </row>
    <row r="3029" spans="2:6" x14ac:dyDescent="0.2">
      <c r="B3029"/>
      <c r="C3029"/>
      <c r="D3029"/>
      <c r="E3029"/>
      <c r="F3029" t="s">
        <v>55</v>
      </c>
    </row>
    <row r="3030" spans="2:6" x14ac:dyDescent="0.2">
      <c r="B3030"/>
      <c r="C3030"/>
      <c r="D3030"/>
      <c r="E3030"/>
      <c r="F3030" t="s">
        <v>56</v>
      </c>
    </row>
    <row r="3031" spans="2:6" x14ac:dyDescent="0.2">
      <c r="B3031"/>
      <c r="C3031"/>
      <c r="D3031"/>
      <c r="E3031"/>
      <c r="F3031" t="s">
        <v>33</v>
      </c>
    </row>
    <row r="3032" spans="2:6" x14ac:dyDescent="0.2">
      <c r="B3032"/>
      <c r="C3032"/>
      <c r="D3032"/>
      <c r="E3032"/>
      <c r="F3032" t="s">
        <v>57</v>
      </c>
    </row>
    <row r="3033" spans="2:6" x14ac:dyDescent="0.2">
      <c r="B3033" t="s">
        <v>304</v>
      </c>
      <c r="C3033" t="s">
        <v>770</v>
      </c>
      <c r="D3033" t="s">
        <v>969</v>
      </c>
      <c r="E3033" t="s">
        <v>1163</v>
      </c>
      <c r="F3033" t="s">
        <v>81</v>
      </c>
    </row>
    <row r="3034" spans="2:6" x14ac:dyDescent="0.2">
      <c r="B3034"/>
      <c r="C3034"/>
      <c r="D3034"/>
      <c r="E3034"/>
      <c r="F3034" t="s">
        <v>63</v>
      </c>
    </row>
    <row r="3035" spans="2:6" x14ac:dyDescent="0.2">
      <c r="B3035"/>
      <c r="C3035"/>
      <c r="D3035"/>
      <c r="E3035"/>
      <c r="F3035" t="s">
        <v>28</v>
      </c>
    </row>
    <row r="3036" spans="2:6" x14ac:dyDescent="0.2">
      <c r="B3036"/>
      <c r="C3036"/>
      <c r="D3036"/>
      <c r="E3036"/>
      <c r="F3036" t="s">
        <v>29</v>
      </c>
    </row>
    <row r="3037" spans="2:6" x14ac:dyDescent="0.2">
      <c r="B3037" t="s">
        <v>305</v>
      </c>
      <c r="C3037" t="s">
        <v>771</v>
      </c>
      <c r="D3037" t="s">
        <v>970</v>
      </c>
      <c r="E3037" t="s">
        <v>1174</v>
      </c>
      <c r="F3037" t="s">
        <v>5</v>
      </c>
    </row>
    <row r="3038" spans="2:6" x14ac:dyDescent="0.2">
      <c r="B3038"/>
      <c r="C3038"/>
      <c r="D3038"/>
      <c r="E3038"/>
      <c r="F3038" t="s">
        <v>10</v>
      </c>
    </row>
    <row r="3039" spans="2:6" x14ac:dyDescent="0.2">
      <c r="B3039"/>
      <c r="C3039"/>
      <c r="D3039"/>
      <c r="E3039"/>
      <c r="F3039" t="s">
        <v>51</v>
      </c>
    </row>
    <row r="3040" spans="2:6" x14ac:dyDescent="0.2">
      <c r="B3040"/>
      <c r="C3040"/>
      <c r="D3040"/>
      <c r="E3040"/>
      <c r="F3040" t="s">
        <v>15</v>
      </c>
    </row>
    <row r="3041" spans="2:6" x14ac:dyDescent="0.2">
      <c r="B3041" t="s">
        <v>1003</v>
      </c>
      <c r="C3041" t="s">
        <v>1006</v>
      </c>
      <c r="D3041" t="s">
        <v>970</v>
      </c>
      <c r="E3041" t="s">
        <v>1276</v>
      </c>
      <c r="F3041" t="s">
        <v>1004</v>
      </c>
    </row>
    <row r="3042" spans="2:6" x14ac:dyDescent="0.2">
      <c r="B3042" t="s">
        <v>820</v>
      </c>
      <c r="C3042" t="s">
        <v>821</v>
      </c>
      <c r="D3042" t="s">
        <v>970</v>
      </c>
      <c r="E3042" t="s">
        <v>965</v>
      </c>
      <c r="F3042" t="s">
        <v>10</v>
      </c>
    </row>
    <row r="3043" spans="2:6" x14ac:dyDescent="0.2">
      <c r="B3043"/>
      <c r="C3043"/>
      <c r="D3043"/>
      <c r="E3043"/>
      <c r="F3043" t="s">
        <v>51</v>
      </c>
    </row>
    <row r="3044" spans="2:6" x14ac:dyDescent="0.2">
      <c r="B3044" t="s">
        <v>306</v>
      </c>
      <c r="C3044" t="s">
        <v>772</v>
      </c>
      <c r="D3044" t="s">
        <v>970</v>
      </c>
      <c r="E3044" t="s">
        <v>1277</v>
      </c>
      <c r="F3044" t="s">
        <v>5</v>
      </c>
    </row>
    <row r="3045" spans="2:6" x14ac:dyDescent="0.2">
      <c r="B3045" t="s">
        <v>307</v>
      </c>
      <c r="C3045" t="s">
        <v>773</v>
      </c>
      <c r="D3045" t="s">
        <v>969</v>
      </c>
      <c r="E3045" t="s">
        <v>1278</v>
      </c>
      <c r="F3045" t="s">
        <v>28</v>
      </c>
    </row>
    <row r="3046" spans="2:6" x14ac:dyDescent="0.2">
      <c r="B3046" t="s">
        <v>308</v>
      </c>
      <c r="C3046" t="s">
        <v>774</v>
      </c>
      <c r="D3046" t="s">
        <v>970</v>
      </c>
      <c r="E3046" t="s">
        <v>965</v>
      </c>
      <c r="F3046" t="s">
        <v>28</v>
      </c>
    </row>
    <row r="3047" spans="2:6" x14ac:dyDescent="0.2">
      <c r="B3047" t="s">
        <v>309</v>
      </c>
      <c r="C3047" t="s">
        <v>775</v>
      </c>
      <c r="D3047" t="s">
        <v>970</v>
      </c>
      <c r="E3047" t="s">
        <v>1137</v>
      </c>
      <c r="F3047" t="s">
        <v>5</v>
      </c>
    </row>
    <row r="3048" spans="2:6" x14ac:dyDescent="0.2">
      <c r="B3048"/>
      <c r="C3048"/>
      <c r="D3048"/>
      <c r="E3048"/>
      <c r="F3048" t="s">
        <v>10</v>
      </c>
    </row>
    <row r="3049" spans="2:6" x14ac:dyDescent="0.2">
      <c r="B3049"/>
      <c r="C3049"/>
      <c r="D3049"/>
      <c r="E3049"/>
      <c r="F3049" t="s">
        <v>29</v>
      </c>
    </row>
    <row r="3050" spans="2:6" x14ac:dyDescent="0.2">
      <c r="B3050" t="s">
        <v>310</v>
      </c>
      <c r="C3050" t="s">
        <v>776</v>
      </c>
      <c r="D3050" t="s">
        <v>969</v>
      </c>
      <c r="E3050" t="s">
        <v>965</v>
      </c>
      <c r="F3050" t="s">
        <v>4</v>
      </c>
    </row>
    <row r="3051" spans="2:6" x14ac:dyDescent="0.2">
      <c r="B3051"/>
      <c r="C3051"/>
      <c r="D3051"/>
      <c r="E3051"/>
      <c r="F3051" t="s">
        <v>5</v>
      </c>
    </row>
    <row r="3052" spans="2:6" x14ac:dyDescent="0.2">
      <c r="B3052"/>
      <c r="C3052"/>
      <c r="D3052"/>
      <c r="E3052"/>
      <c r="F3052" t="s">
        <v>7</v>
      </c>
    </row>
    <row r="3053" spans="2:6" x14ac:dyDescent="0.2">
      <c r="B3053"/>
      <c r="C3053"/>
      <c r="D3053"/>
      <c r="E3053"/>
      <c r="F3053" t="s">
        <v>8</v>
      </c>
    </row>
    <row r="3054" spans="2:6" x14ac:dyDescent="0.2">
      <c r="B3054"/>
      <c r="C3054"/>
      <c r="D3054"/>
      <c r="E3054"/>
      <c r="F3054" t="s">
        <v>24</v>
      </c>
    </row>
    <row r="3055" spans="2:6" x14ac:dyDescent="0.2">
      <c r="B3055"/>
      <c r="C3055"/>
      <c r="D3055"/>
      <c r="E3055"/>
      <c r="F3055" t="s">
        <v>25</v>
      </c>
    </row>
    <row r="3056" spans="2:6" x14ac:dyDescent="0.2">
      <c r="B3056"/>
      <c r="C3056"/>
      <c r="D3056"/>
      <c r="E3056"/>
      <c r="F3056" t="s">
        <v>9</v>
      </c>
    </row>
    <row r="3057" spans="2:6" x14ac:dyDescent="0.2">
      <c r="B3057"/>
      <c r="C3057"/>
      <c r="D3057"/>
      <c r="E3057"/>
      <c r="F3057" t="s">
        <v>27</v>
      </c>
    </row>
    <row r="3058" spans="2:6" x14ac:dyDescent="0.2">
      <c r="B3058"/>
      <c r="C3058"/>
      <c r="D3058"/>
      <c r="E3058"/>
      <c r="F3058" t="s">
        <v>10</v>
      </c>
    </row>
    <row r="3059" spans="2:6" x14ac:dyDescent="0.2">
      <c r="B3059"/>
      <c r="C3059"/>
      <c r="D3059"/>
      <c r="E3059"/>
      <c r="F3059" t="s">
        <v>21</v>
      </c>
    </row>
    <row r="3060" spans="2:6" x14ac:dyDescent="0.2">
      <c r="B3060"/>
      <c r="C3060"/>
      <c r="D3060"/>
      <c r="E3060"/>
      <c r="F3060" t="s">
        <v>11</v>
      </c>
    </row>
    <row r="3061" spans="2:6" x14ac:dyDescent="0.2">
      <c r="B3061"/>
      <c r="C3061"/>
      <c r="D3061"/>
      <c r="E3061"/>
      <c r="F3061" t="s">
        <v>12</v>
      </c>
    </row>
    <row r="3062" spans="2:6" x14ac:dyDescent="0.2">
      <c r="B3062"/>
      <c r="C3062"/>
      <c r="D3062"/>
      <c r="E3062"/>
      <c r="F3062" t="s">
        <v>29</v>
      </c>
    </row>
    <row r="3063" spans="2:6" x14ac:dyDescent="0.2">
      <c r="B3063"/>
      <c r="C3063"/>
      <c r="D3063"/>
      <c r="E3063"/>
      <c r="F3063" t="s">
        <v>37</v>
      </c>
    </row>
    <row r="3064" spans="2:6" x14ac:dyDescent="0.2">
      <c r="B3064"/>
      <c r="C3064"/>
      <c r="D3064"/>
      <c r="E3064"/>
      <c r="F3064" t="s">
        <v>13</v>
      </c>
    </row>
    <row r="3065" spans="2:6" x14ac:dyDescent="0.2">
      <c r="B3065"/>
      <c r="C3065"/>
      <c r="D3065"/>
      <c r="E3065"/>
      <c r="F3065" t="s">
        <v>52</v>
      </c>
    </row>
    <row r="3066" spans="2:6" x14ac:dyDescent="0.2">
      <c r="B3066"/>
      <c r="C3066"/>
      <c r="D3066"/>
      <c r="E3066"/>
      <c r="F3066" t="s">
        <v>14</v>
      </c>
    </row>
    <row r="3067" spans="2:6" x14ac:dyDescent="0.2">
      <c r="B3067"/>
      <c r="C3067"/>
      <c r="D3067"/>
      <c r="E3067"/>
      <c r="F3067" t="s">
        <v>15</v>
      </c>
    </row>
    <row r="3068" spans="2:6" x14ac:dyDescent="0.2">
      <c r="B3068"/>
      <c r="C3068"/>
      <c r="D3068"/>
      <c r="E3068"/>
      <c r="F3068" t="s">
        <v>30</v>
      </c>
    </row>
    <row r="3069" spans="2:6" x14ac:dyDescent="0.2">
      <c r="B3069"/>
      <c r="C3069"/>
      <c r="D3069"/>
      <c r="E3069"/>
      <c r="F3069" t="s">
        <v>31</v>
      </c>
    </row>
    <row r="3070" spans="2:6" x14ac:dyDescent="0.2">
      <c r="B3070"/>
      <c r="C3070"/>
      <c r="D3070"/>
      <c r="E3070"/>
      <c r="F3070" t="s">
        <v>32</v>
      </c>
    </row>
    <row r="3071" spans="2:6" x14ac:dyDescent="0.2">
      <c r="B3071" t="s">
        <v>311</v>
      </c>
      <c r="C3071" t="s">
        <v>777</v>
      </c>
      <c r="D3071" t="s">
        <v>969</v>
      </c>
      <c r="E3071" t="s">
        <v>1279</v>
      </c>
      <c r="F3071" t="s">
        <v>43</v>
      </c>
    </row>
    <row r="3072" spans="2:6" x14ac:dyDescent="0.2">
      <c r="B3072"/>
      <c r="C3072"/>
      <c r="D3072"/>
      <c r="E3072"/>
      <c r="F3072" t="s">
        <v>45</v>
      </c>
    </row>
    <row r="3073" spans="2:6" x14ac:dyDescent="0.2">
      <c r="B3073"/>
      <c r="C3073"/>
      <c r="D3073"/>
      <c r="E3073"/>
      <c r="F3073" t="s">
        <v>46</v>
      </c>
    </row>
    <row r="3074" spans="2:6" x14ac:dyDescent="0.2">
      <c r="B3074"/>
      <c r="C3074"/>
      <c r="D3074"/>
      <c r="E3074"/>
      <c r="F3074" t="s">
        <v>47</v>
      </c>
    </row>
    <row r="3075" spans="2:6" x14ac:dyDescent="0.2">
      <c r="B3075"/>
      <c r="C3075"/>
      <c r="D3075"/>
      <c r="E3075"/>
      <c r="F3075" t="s">
        <v>48</v>
      </c>
    </row>
    <row r="3076" spans="2:6" x14ac:dyDescent="0.2">
      <c r="B3076"/>
      <c r="C3076"/>
      <c r="D3076"/>
      <c r="E3076"/>
      <c r="F3076" t="s">
        <v>75</v>
      </c>
    </row>
    <row r="3077" spans="2:6" x14ac:dyDescent="0.2">
      <c r="B3077"/>
      <c r="C3077"/>
      <c r="D3077"/>
      <c r="E3077"/>
      <c r="F3077" t="s">
        <v>50</v>
      </c>
    </row>
    <row r="3078" spans="2:6" x14ac:dyDescent="0.2">
      <c r="B3078"/>
      <c r="C3078"/>
      <c r="D3078"/>
      <c r="E3078"/>
      <c r="F3078" t="s">
        <v>18</v>
      </c>
    </row>
    <row r="3079" spans="2:6" x14ac:dyDescent="0.2">
      <c r="B3079" t="s">
        <v>312</v>
      </c>
      <c r="C3079" t="s">
        <v>778</v>
      </c>
      <c r="D3079" t="s">
        <v>969</v>
      </c>
      <c r="E3079" t="s">
        <v>1280</v>
      </c>
      <c r="F3079" t="s">
        <v>11</v>
      </c>
    </row>
    <row r="3080" spans="2:6" x14ac:dyDescent="0.2">
      <c r="B3080" t="s">
        <v>313</v>
      </c>
      <c r="C3080" t="s">
        <v>779</v>
      </c>
      <c r="D3080" t="s">
        <v>969</v>
      </c>
      <c r="E3080" t="s">
        <v>1281</v>
      </c>
      <c r="F3080" t="s">
        <v>46</v>
      </c>
    </row>
    <row r="3081" spans="2:6" x14ac:dyDescent="0.2">
      <c r="B3081"/>
      <c r="C3081"/>
      <c r="D3081"/>
      <c r="E3081"/>
      <c r="F3081" t="s">
        <v>47</v>
      </c>
    </row>
    <row r="3082" spans="2:6" x14ac:dyDescent="0.2">
      <c r="B3082" t="s">
        <v>314</v>
      </c>
      <c r="C3082" t="s">
        <v>780</v>
      </c>
      <c r="D3082" t="s">
        <v>970</v>
      </c>
      <c r="E3082" t="s">
        <v>1282</v>
      </c>
      <c r="F3082" t="s">
        <v>42</v>
      </c>
    </row>
    <row r="3083" spans="2:6" x14ac:dyDescent="0.2">
      <c r="B3083" t="s">
        <v>315</v>
      </c>
      <c r="C3083" t="s">
        <v>781</v>
      </c>
      <c r="D3083" t="s">
        <v>970</v>
      </c>
      <c r="E3083" t="s">
        <v>1137</v>
      </c>
      <c r="F3083" t="s">
        <v>4</v>
      </c>
    </row>
    <row r="3084" spans="2:6" x14ac:dyDescent="0.2">
      <c r="B3084"/>
      <c r="C3084"/>
      <c r="D3084"/>
      <c r="E3084"/>
      <c r="F3084" t="s">
        <v>5</v>
      </c>
    </row>
    <row r="3085" spans="2:6" x14ac:dyDescent="0.2">
      <c r="B3085"/>
      <c r="C3085"/>
      <c r="D3085"/>
      <c r="E3085"/>
      <c r="F3085" t="s">
        <v>25</v>
      </c>
    </row>
    <row r="3086" spans="2:6" x14ac:dyDescent="0.2">
      <c r="B3086"/>
      <c r="C3086"/>
      <c r="D3086"/>
      <c r="E3086"/>
      <c r="F3086" t="s">
        <v>9</v>
      </c>
    </row>
    <row r="3087" spans="2:6" x14ac:dyDescent="0.2">
      <c r="B3087"/>
      <c r="C3087"/>
      <c r="D3087"/>
      <c r="E3087"/>
      <c r="F3087" t="s">
        <v>49</v>
      </c>
    </row>
    <row r="3088" spans="2:6" x14ac:dyDescent="0.2">
      <c r="B3088"/>
      <c r="C3088"/>
      <c r="D3088"/>
      <c r="E3088"/>
      <c r="F3088" t="s">
        <v>59</v>
      </c>
    </row>
    <row r="3089" spans="2:6" x14ac:dyDescent="0.2">
      <c r="B3089"/>
      <c r="C3089"/>
      <c r="D3089"/>
      <c r="E3089"/>
      <c r="F3089" t="s">
        <v>10</v>
      </c>
    </row>
    <row r="3090" spans="2:6" x14ac:dyDescent="0.2">
      <c r="B3090"/>
      <c r="C3090"/>
      <c r="D3090"/>
      <c r="E3090"/>
      <c r="F3090" t="s">
        <v>21</v>
      </c>
    </row>
    <row r="3091" spans="2:6" x14ac:dyDescent="0.2">
      <c r="B3091"/>
      <c r="C3091"/>
      <c r="D3091"/>
      <c r="E3091"/>
      <c r="F3091" t="s">
        <v>22</v>
      </c>
    </row>
    <row r="3092" spans="2:6" x14ac:dyDescent="0.2">
      <c r="B3092"/>
      <c r="C3092"/>
      <c r="D3092"/>
      <c r="E3092"/>
      <c r="F3092" t="s">
        <v>12</v>
      </c>
    </row>
    <row r="3093" spans="2:6" x14ac:dyDescent="0.2">
      <c r="B3093"/>
      <c r="C3093"/>
      <c r="D3093"/>
      <c r="E3093"/>
      <c r="F3093" t="s">
        <v>14</v>
      </c>
    </row>
    <row r="3094" spans="2:6" x14ac:dyDescent="0.2">
      <c r="B3094"/>
      <c r="C3094"/>
      <c r="D3094"/>
      <c r="E3094"/>
      <c r="F3094" t="s">
        <v>15</v>
      </c>
    </row>
    <row r="3095" spans="2:6" x14ac:dyDescent="0.2">
      <c r="B3095"/>
      <c r="C3095"/>
      <c r="D3095"/>
      <c r="E3095"/>
      <c r="F3095" t="s">
        <v>31</v>
      </c>
    </row>
    <row r="3096" spans="2:6" x14ac:dyDescent="0.2">
      <c r="B3096"/>
      <c r="C3096"/>
      <c r="D3096"/>
      <c r="E3096"/>
      <c r="F3096" t="s">
        <v>33</v>
      </c>
    </row>
    <row r="3097" spans="2:6" x14ac:dyDescent="0.2">
      <c r="B3097" t="s">
        <v>316</v>
      </c>
      <c r="C3097" t="s">
        <v>782</v>
      </c>
      <c r="D3097" t="s">
        <v>969</v>
      </c>
      <c r="E3097" t="s">
        <v>965</v>
      </c>
      <c r="F3097" t="s">
        <v>11</v>
      </c>
    </row>
    <row r="3098" spans="2:6" x14ac:dyDescent="0.2">
      <c r="B3098" t="s">
        <v>812</v>
      </c>
      <c r="C3098" t="s">
        <v>783</v>
      </c>
      <c r="D3098" t="s">
        <v>970</v>
      </c>
      <c r="E3098" t="s">
        <v>965</v>
      </c>
      <c r="F3098" t="s">
        <v>35</v>
      </c>
    </row>
    <row r="3099" spans="2:6" x14ac:dyDescent="0.2">
      <c r="B3099"/>
      <c r="C3099"/>
      <c r="D3099"/>
      <c r="E3099"/>
      <c r="F3099" t="s">
        <v>4</v>
      </c>
    </row>
    <row r="3100" spans="2:6" x14ac:dyDescent="0.2">
      <c r="B3100"/>
      <c r="C3100"/>
      <c r="D3100"/>
      <c r="E3100"/>
      <c r="F3100" t="s">
        <v>5</v>
      </c>
    </row>
    <row r="3101" spans="2:6" x14ac:dyDescent="0.2">
      <c r="B3101"/>
      <c r="C3101"/>
      <c r="D3101"/>
      <c r="E3101"/>
      <c r="F3101" t="s">
        <v>25</v>
      </c>
    </row>
    <row r="3102" spans="2:6" x14ac:dyDescent="0.2">
      <c r="B3102"/>
      <c r="C3102"/>
      <c r="D3102"/>
      <c r="E3102"/>
      <c r="F3102" t="s">
        <v>9</v>
      </c>
    </row>
    <row r="3103" spans="2:6" x14ac:dyDescent="0.2">
      <c r="B3103"/>
      <c r="C3103"/>
      <c r="D3103"/>
      <c r="E3103"/>
      <c r="F3103" t="s">
        <v>27</v>
      </c>
    </row>
    <row r="3104" spans="2:6" x14ac:dyDescent="0.2">
      <c r="B3104"/>
      <c r="C3104"/>
      <c r="D3104"/>
      <c r="E3104"/>
      <c r="F3104" t="s">
        <v>10</v>
      </c>
    </row>
    <row r="3105" spans="2:6" x14ac:dyDescent="0.2">
      <c r="B3105"/>
      <c r="C3105"/>
      <c r="D3105"/>
      <c r="E3105"/>
      <c r="F3105" t="s">
        <v>51</v>
      </c>
    </row>
    <row r="3106" spans="2:6" x14ac:dyDescent="0.2">
      <c r="B3106"/>
      <c r="C3106"/>
      <c r="D3106"/>
      <c r="E3106"/>
      <c r="F3106" t="s">
        <v>12</v>
      </c>
    </row>
    <row r="3107" spans="2:6" x14ac:dyDescent="0.2">
      <c r="B3107"/>
      <c r="C3107"/>
      <c r="D3107"/>
      <c r="E3107"/>
      <c r="F3107" t="s">
        <v>28</v>
      </c>
    </row>
    <row r="3108" spans="2:6" x14ac:dyDescent="0.2">
      <c r="B3108"/>
      <c r="C3108"/>
      <c r="D3108"/>
      <c r="E3108"/>
      <c r="F3108" t="s">
        <v>29</v>
      </c>
    </row>
    <row r="3109" spans="2:6" x14ac:dyDescent="0.2">
      <c r="B3109"/>
      <c r="C3109"/>
      <c r="D3109"/>
      <c r="E3109"/>
      <c r="F3109" t="s">
        <v>14</v>
      </c>
    </row>
    <row r="3110" spans="2:6" x14ac:dyDescent="0.2">
      <c r="B3110"/>
      <c r="C3110"/>
      <c r="D3110"/>
      <c r="E3110"/>
      <c r="F3110" t="s">
        <v>15</v>
      </c>
    </row>
    <row r="3111" spans="2:6" x14ac:dyDescent="0.2">
      <c r="B3111"/>
      <c r="C3111"/>
      <c r="D3111"/>
      <c r="E3111"/>
      <c r="F3111" t="s">
        <v>30</v>
      </c>
    </row>
    <row r="3112" spans="2:6" x14ac:dyDescent="0.2">
      <c r="B3112"/>
      <c r="C3112"/>
      <c r="D3112"/>
      <c r="E3112"/>
      <c r="F3112" t="s">
        <v>31</v>
      </c>
    </row>
    <row r="3113" spans="2:6" x14ac:dyDescent="0.2">
      <c r="B3113"/>
      <c r="C3113"/>
      <c r="D3113"/>
      <c r="E3113"/>
      <c r="F3113" t="s">
        <v>32</v>
      </c>
    </row>
    <row r="3114" spans="2:6" x14ac:dyDescent="0.2">
      <c r="B3114"/>
      <c r="C3114"/>
      <c r="D3114"/>
      <c r="E3114"/>
      <c r="F3114" t="s">
        <v>38</v>
      </c>
    </row>
    <row r="3115" spans="2:6" x14ac:dyDescent="0.2">
      <c r="B3115"/>
      <c r="C3115"/>
      <c r="D3115"/>
      <c r="E3115"/>
      <c r="F3115" t="s">
        <v>57</v>
      </c>
    </row>
    <row r="3116" spans="2:6" x14ac:dyDescent="0.2">
      <c r="B3116" t="s">
        <v>1019</v>
      </c>
      <c r="C3116" t="s">
        <v>1021</v>
      </c>
      <c r="D3116" t="s">
        <v>969</v>
      </c>
      <c r="E3116" t="s">
        <v>1277</v>
      </c>
      <c r="F3116" t="s">
        <v>5</v>
      </c>
    </row>
    <row r="3117" spans="2:6" x14ac:dyDescent="0.2">
      <c r="B3117"/>
      <c r="C3117"/>
      <c r="D3117"/>
      <c r="E3117"/>
      <c r="F3117" t="s">
        <v>29</v>
      </c>
    </row>
    <row r="3118" spans="2:6" x14ac:dyDescent="0.2">
      <c r="B3118"/>
      <c r="C3118"/>
      <c r="D3118"/>
      <c r="E3118"/>
      <c r="F3118" t="s">
        <v>15</v>
      </c>
    </row>
    <row r="3119" spans="2:6" x14ac:dyDescent="0.2">
      <c r="B3119" t="s">
        <v>897</v>
      </c>
      <c r="C3119" t="s">
        <v>898</v>
      </c>
      <c r="D3119" t="s">
        <v>969</v>
      </c>
      <c r="E3119" t="s">
        <v>1189</v>
      </c>
      <c r="F3119" t="s">
        <v>70</v>
      </c>
    </row>
    <row r="3120" spans="2:6" x14ac:dyDescent="0.2">
      <c r="B3120" t="s">
        <v>317</v>
      </c>
      <c r="C3120" t="s">
        <v>784</v>
      </c>
      <c r="D3120" t="s">
        <v>969</v>
      </c>
      <c r="E3120" t="s">
        <v>1195</v>
      </c>
      <c r="F3120" t="s">
        <v>4</v>
      </c>
    </row>
    <row r="3121" spans="2:6" x14ac:dyDescent="0.2">
      <c r="B3121"/>
      <c r="C3121"/>
      <c r="D3121"/>
      <c r="E3121"/>
      <c r="F3121" t="s">
        <v>5</v>
      </c>
    </row>
    <row r="3122" spans="2:6" x14ac:dyDescent="0.2">
      <c r="B3122"/>
      <c r="C3122"/>
      <c r="D3122"/>
      <c r="E3122"/>
      <c r="F3122" t="s">
        <v>7</v>
      </c>
    </row>
    <row r="3123" spans="2:6" x14ac:dyDescent="0.2">
      <c r="B3123"/>
      <c r="C3123"/>
      <c r="D3123"/>
      <c r="E3123"/>
      <c r="F3123" t="s">
        <v>8</v>
      </c>
    </row>
    <row r="3124" spans="2:6" x14ac:dyDescent="0.2">
      <c r="B3124"/>
      <c r="C3124"/>
      <c r="D3124"/>
      <c r="E3124"/>
      <c r="F3124" t="s">
        <v>24</v>
      </c>
    </row>
    <row r="3125" spans="2:6" x14ac:dyDescent="0.2">
      <c r="B3125"/>
      <c r="C3125"/>
      <c r="D3125"/>
      <c r="E3125"/>
      <c r="F3125" t="s">
        <v>25</v>
      </c>
    </row>
    <row r="3126" spans="2:6" x14ac:dyDescent="0.2">
      <c r="B3126"/>
      <c r="C3126"/>
      <c r="D3126"/>
      <c r="E3126"/>
      <c r="F3126" t="s">
        <v>9</v>
      </c>
    </row>
    <row r="3127" spans="2:6" x14ac:dyDescent="0.2">
      <c r="B3127"/>
      <c r="C3127"/>
      <c r="D3127"/>
      <c r="E3127"/>
      <c r="F3127" t="s">
        <v>27</v>
      </c>
    </row>
    <row r="3128" spans="2:6" x14ac:dyDescent="0.2">
      <c r="B3128"/>
      <c r="C3128"/>
      <c r="D3128"/>
      <c r="E3128"/>
      <c r="F3128" t="s">
        <v>10</v>
      </c>
    </row>
    <row r="3129" spans="2:6" x14ac:dyDescent="0.2">
      <c r="B3129"/>
      <c r="C3129"/>
      <c r="D3129"/>
      <c r="E3129"/>
      <c r="F3129" t="s">
        <v>12</v>
      </c>
    </row>
    <row r="3130" spans="2:6" x14ac:dyDescent="0.2">
      <c r="B3130"/>
      <c r="C3130"/>
      <c r="D3130"/>
      <c r="E3130"/>
      <c r="F3130" t="s">
        <v>29</v>
      </c>
    </row>
    <row r="3131" spans="2:6" x14ac:dyDescent="0.2">
      <c r="B3131"/>
      <c r="C3131"/>
      <c r="D3131"/>
      <c r="E3131"/>
      <c r="F3131" t="s">
        <v>37</v>
      </c>
    </row>
    <row r="3132" spans="2:6" x14ac:dyDescent="0.2">
      <c r="B3132"/>
      <c r="C3132"/>
      <c r="D3132"/>
      <c r="E3132"/>
      <c r="F3132" t="s">
        <v>13</v>
      </c>
    </row>
    <row r="3133" spans="2:6" x14ac:dyDescent="0.2">
      <c r="B3133"/>
      <c r="C3133"/>
      <c r="D3133"/>
      <c r="E3133"/>
      <c r="F3133" t="s">
        <v>14</v>
      </c>
    </row>
    <row r="3134" spans="2:6" x14ac:dyDescent="0.2">
      <c r="B3134"/>
      <c r="C3134"/>
      <c r="D3134"/>
      <c r="E3134"/>
      <c r="F3134" t="s">
        <v>15</v>
      </c>
    </row>
    <row r="3135" spans="2:6" x14ac:dyDescent="0.2">
      <c r="B3135" t="s">
        <v>318</v>
      </c>
      <c r="C3135" t="s">
        <v>785</v>
      </c>
      <c r="D3135" t="s">
        <v>970</v>
      </c>
      <c r="E3135" t="s">
        <v>1192</v>
      </c>
      <c r="F3135" t="s">
        <v>5</v>
      </c>
    </row>
    <row r="3136" spans="2:6" x14ac:dyDescent="0.2">
      <c r="B3136"/>
      <c r="C3136"/>
      <c r="D3136"/>
      <c r="E3136"/>
      <c r="F3136" t="s">
        <v>10</v>
      </c>
    </row>
    <row r="3137" spans="2:6" x14ac:dyDescent="0.2">
      <c r="B3137" t="s">
        <v>319</v>
      </c>
      <c r="C3137" t="s">
        <v>786</v>
      </c>
      <c r="D3137" t="s">
        <v>969</v>
      </c>
      <c r="E3137" t="s">
        <v>1160</v>
      </c>
      <c r="F3137" t="s">
        <v>29</v>
      </c>
    </row>
    <row r="3138" spans="2:6" x14ac:dyDescent="0.2">
      <c r="B3138" t="s">
        <v>320</v>
      </c>
      <c r="C3138" t="s">
        <v>787</v>
      </c>
      <c r="D3138" t="s">
        <v>969</v>
      </c>
      <c r="E3138" t="s">
        <v>1283</v>
      </c>
      <c r="F3138" t="s">
        <v>4</v>
      </c>
    </row>
    <row r="3139" spans="2:6" x14ac:dyDescent="0.2">
      <c r="B3139"/>
      <c r="C3139"/>
      <c r="D3139"/>
      <c r="E3139"/>
      <c r="F3139" t="s">
        <v>5</v>
      </c>
    </row>
    <row r="3140" spans="2:6" x14ac:dyDescent="0.2">
      <c r="B3140"/>
      <c r="C3140"/>
      <c r="D3140"/>
      <c r="E3140"/>
      <c r="F3140" t="s">
        <v>6</v>
      </c>
    </row>
    <row r="3141" spans="2:6" x14ac:dyDescent="0.2">
      <c r="B3141"/>
      <c r="C3141"/>
      <c r="D3141"/>
      <c r="E3141"/>
      <c r="F3141" t="s">
        <v>7</v>
      </c>
    </row>
    <row r="3142" spans="2:6" x14ac:dyDescent="0.2">
      <c r="B3142"/>
      <c r="C3142"/>
      <c r="D3142"/>
      <c r="E3142"/>
      <c r="F3142" t="s">
        <v>8</v>
      </c>
    </row>
    <row r="3143" spans="2:6" x14ac:dyDescent="0.2">
      <c r="B3143"/>
      <c r="C3143"/>
      <c r="D3143"/>
      <c r="E3143"/>
      <c r="F3143" t="s">
        <v>24</v>
      </c>
    </row>
    <row r="3144" spans="2:6" x14ac:dyDescent="0.2">
      <c r="B3144"/>
      <c r="C3144"/>
      <c r="D3144"/>
      <c r="E3144"/>
      <c r="F3144" t="s">
        <v>25</v>
      </c>
    </row>
    <row r="3145" spans="2:6" x14ac:dyDescent="0.2">
      <c r="B3145"/>
      <c r="C3145"/>
      <c r="D3145"/>
      <c r="E3145"/>
      <c r="F3145" t="s">
        <v>9</v>
      </c>
    </row>
    <row r="3146" spans="2:6" x14ac:dyDescent="0.2">
      <c r="B3146"/>
      <c r="C3146"/>
      <c r="D3146"/>
      <c r="E3146"/>
      <c r="F3146" t="s">
        <v>27</v>
      </c>
    </row>
    <row r="3147" spans="2:6" x14ac:dyDescent="0.2">
      <c r="B3147"/>
      <c r="C3147"/>
      <c r="D3147"/>
      <c r="E3147"/>
      <c r="F3147" t="s">
        <v>81</v>
      </c>
    </row>
    <row r="3148" spans="2:6" x14ac:dyDescent="0.2">
      <c r="B3148"/>
      <c r="C3148"/>
      <c r="D3148"/>
      <c r="E3148"/>
      <c r="F3148" t="s">
        <v>10</v>
      </c>
    </row>
    <row r="3149" spans="2:6" x14ac:dyDescent="0.2">
      <c r="B3149"/>
      <c r="C3149"/>
      <c r="D3149"/>
      <c r="E3149"/>
      <c r="F3149" t="s">
        <v>22</v>
      </c>
    </row>
    <row r="3150" spans="2:6" x14ac:dyDescent="0.2">
      <c r="B3150"/>
      <c r="C3150"/>
      <c r="D3150"/>
      <c r="E3150"/>
      <c r="F3150" t="s">
        <v>63</v>
      </c>
    </row>
    <row r="3151" spans="2:6" x14ac:dyDescent="0.2">
      <c r="B3151"/>
      <c r="C3151"/>
      <c r="D3151"/>
      <c r="E3151"/>
      <c r="F3151" t="s">
        <v>12</v>
      </c>
    </row>
    <row r="3152" spans="2:6" x14ac:dyDescent="0.2">
      <c r="B3152"/>
      <c r="C3152"/>
      <c r="D3152"/>
      <c r="E3152"/>
      <c r="F3152" t="s">
        <v>29</v>
      </c>
    </row>
    <row r="3153" spans="2:6" x14ac:dyDescent="0.2">
      <c r="B3153"/>
      <c r="C3153"/>
      <c r="D3153"/>
      <c r="E3153"/>
      <c r="F3153" t="s">
        <v>37</v>
      </c>
    </row>
    <row r="3154" spans="2:6" x14ac:dyDescent="0.2">
      <c r="B3154"/>
      <c r="C3154"/>
      <c r="D3154"/>
      <c r="E3154"/>
      <c r="F3154" t="s">
        <v>13</v>
      </c>
    </row>
    <row r="3155" spans="2:6" x14ac:dyDescent="0.2">
      <c r="B3155"/>
      <c r="C3155"/>
      <c r="D3155"/>
      <c r="E3155"/>
      <c r="F3155" t="s">
        <v>14</v>
      </c>
    </row>
    <row r="3156" spans="2:6" x14ac:dyDescent="0.2">
      <c r="B3156"/>
      <c r="C3156"/>
      <c r="D3156"/>
      <c r="E3156"/>
      <c r="F3156" t="s">
        <v>15</v>
      </c>
    </row>
    <row r="3157" spans="2:6" x14ac:dyDescent="0.2">
      <c r="B3157"/>
      <c r="C3157"/>
      <c r="D3157"/>
      <c r="E3157"/>
      <c r="F3157" t="s">
        <v>30</v>
      </c>
    </row>
    <row r="3158" spans="2:6" x14ac:dyDescent="0.2">
      <c r="B3158"/>
      <c r="C3158"/>
      <c r="D3158"/>
      <c r="E3158"/>
      <c r="F3158" t="s">
        <v>31</v>
      </c>
    </row>
    <row r="3159" spans="2:6" x14ac:dyDescent="0.2">
      <c r="B3159"/>
      <c r="C3159"/>
      <c r="D3159"/>
      <c r="E3159"/>
      <c r="F3159" t="s">
        <v>32</v>
      </c>
    </row>
    <row r="3160" spans="2:6" x14ac:dyDescent="0.2">
      <c r="B3160"/>
      <c r="C3160"/>
      <c r="D3160"/>
      <c r="E3160"/>
      <c r="F3160" t="s">
        <v>38</v>
      </c>
    </row>
    <row r="3161" spans="2:6" x14ac:dyDescent="0.2">
      <c r="B3161"/>
      <c r="C3161"/>
      <c r="D3161"/>
      <c r="E3161"/>
      <c r="F3161" t="s">
        <v>1013</v>
      </c>
    </row>
    <row r="3162" spans="2:6" x14ac:dyDescent="0.2">
      <c r="B3162" t="s">
        <v>321</v>
      </c>
      <c r="C3162" t="s">
        <v>788</v>
      </c>
      <c r="D3162" t="s">
        <v>969</v>
      </c>
      <c r="E3162" t="s">
        <v>1131</v>
      </c>
      <c r="F3162" t="s">
        <v>4</v>
      </c>
    </row>
    <row r="3163" spans="2:6" x14ac:dyDescent="0.2">
      <c r="B3163"/>
      <c r="C3163"/>
      <c r="D3163"/>
      <c r="E3163"/>
      <c r="F3163" t="s">
        <v>5</v>
      </c>
    </row>
    <row r="3164" spans="2:6" x14ac:dyDescent="0.2">
      <c r="B3164"/>
      <c r="C3164"/>
      <c r="D3164"/>
      <c r="E3164"/>
      <c r="F3164" t="s">
        <v>8</v>
      </c>
    </row>
    <row r="3165" spans="2:6" x14ac:dyDescent="0.2">
      <c r="B3165"/>
      <c r="C3165"/>
      <c r="D3165"/>
      <c r="E3165"/>
      <c r="F3165" t="s">
        <v>15</v>
      </c>
    </row>
    <row r="3166" spans="2:6" x14ac:dyDescent="0.2">
      <c r="B3166"/>
      <c r="C3166"/>
      <c r="D3166"/>
      <c r="E3166"/>
      <c r="F3166" t="s">
        <v>31</v>
      </c>
    </row>
    <row r="3167" spans="2:6" x14ac:dyDescent="0.2">
      <c r="B3167"/>
      <c r="C3167"/>
      <c r="D3167"/>
      <c r="E3167"/>
      <c r="F3167" t="s">
        <v>32</v>
      </c>
    </row>
    <row r="3168" spans="2:6" x14ac:dyDescent="0.2">
      <c r="B3168"/>
      <c r="C3168"/>
      <c r="D3168"/>
      <c r="E3168"/>
      <c r="F3168" t="s">
        <v>38</v>
      </c>
    </row>
    <row r="3169" spans="2:6" x14ac:dyDescent="0.2">
      <c r="B3169"/>
      <c r="C3169"/>
      <c r="D3169"/>
      <c r="E3169"/>
      <c r="F3169" t="s">
        <v>33</v>
      </c>
    </row>
    <row r="3170" spans="2:6" x14ac:dyDescent="0.2">
      <c r="B3170" t="s">
        <v>1022</v>
      </c>
      <c r="C3170" t="s">
        <v>1024</v>
      </c>
      <c r="D3170" t="s">
        <v>969</v>
      </c>
      <c r="E3170" t="s">
        <v>1284</v>
      </c>
      <c r="F3170" t="s">
        <v>5</v>
      </c>
    </row>
    <row r="3171" spans="2:6" x14ac:dyDescent="0.2">
      <c r="B3171"/>
      <c r="C3171"/>
      <c r="D3171"/>
      <c r="E3171"/>
      <c r="F3171" t="s">
        <v>37</v>
      </c>
    </row>
    <row r="3172" spans="2:6" x14ac:dyDescent="0.2">
      <c r="B3172"/>
      <c r="C3172"/>
      <c r="D3172"/>
      <c r="E3172"/>
      <c r="F3172" t="s">
        <v>13</v>
      </c>
    </row>
    <row r="3173" spans="2:6" x14ac:dyDescent="0.2">
      <c r="B3173"/>
      <c r="C3173"/>
      <c r="D3173"/>
      <c r="E3173"/>
      <c r="F3173" t="s">
        <v>14</v>
      </c>
    </row>
    <row r="3174" spans="2:6" x14ac:dyDescent="0.2">
      <c r="B3174" t="s">
        <v>322</v>
      </c>
      <c r="C3174" t="s">
        <v>864</v>
      </c>
      <c r="D3174" t="s">
        <v>970</v>
      </c>
      <c r="E3174" t="s">
        <v>965</v>
      </c>
      <c r="F3174" t="s">
        <v>5</v>
      </c>
    </row>
    <row r="3175" spans="2:6" x14ac:dyDescent="0.2">
      <c r="B3175"/>
      <c r="C3175"/>
      <c r="D3175"/>
      <c r="E3175"/>
      <c r="F3175" t="s">
        <v>10</v>
      </c>
    </row>
    <row r="3176" spans="2:6" x14ac:dyDescent="0.2">
      <c r="B3176" t="s">
        <v>323</v>
      </c>
      <c r="C3176" t="s">
        <v>789</v>
      </c>
      <c r="D3176" t="s">
        <v>970</v>
      </c>
      <c r="E3176" t="s">
        <v>1124</v>
      </c>
      <c r="F3176" t="s">
        <v>5</v>
      </c>
    </row>
    <row r="3177" spans="2:6" x14ac:dyDescent="0.2">
      <c r="B3177"/>
      <c r="C3177"/>
      <c r="D3177"/>
      <c r="E3177"/>
      <c r="F3177" t="s">
        <v>9</v>
      </c>
    </row>
    <row r="3178" spans="2:6" x14ac:dyDescent="0.2">
      <c r="B3178"/>
      <c r="C3178"/>
      <c r="D3178"/>
      <c r="E3178"/>
      <c r="F3178" t="s">
        <v>10</v>
      </c>
    </row>
    <row r="3179" spans="2:6" x14ac:dyDescent="0.2">
      <c r="B3179" t="s">
        <v>836</v>
      </c>
      <c r="C3179" t="s">
        <v>790</v>
      </c>
      <c r="D3179" t="s">
        <v>969</v>
      </c>
      <c r="E3179" t="s">
        <v>965</v>
      </c>
      <c r="F3179" t="s">
        <v>4</v>
      </c>
    </row>
    <row r="3180" spans="2:6" x14ac:dyDescent="0.2">
      <c r="B3180"/>
      <c r="C3180"/>
      <c r="D3180"/>
      <c r="E3180"/>
      <c r="F3180" t="s">
        <v>5</v>
      </c>
    </row>
    <row r="3181" spans="2:6" x14ac:dyDescent="0.2">
      <c r="B3181"/>
      <c r="C3181"/>
      <c r="D3181"/>
      <c r="E3181"/>
      <c r="F3181" t="s">
        <v>8</v>
      </c>
    </row>
    <row r="3182" spans="2:6" x14ac:dyDescent="0.2">
      <c r="B3182"/>
      <c r="C3182"/>
      <c r="D3182"/>
      <c r="E3182"/>
      <c r="F3182" t="s">
        <v>25</v>
      </c>
    </row>
    <row r="3183" spans="2:6" x14ac:dyDescent="0.2">
      <c r="B3183"/>
      <c r="C3183"/>
      <c r="D3183"/>
      <c r="E3183"/>
      <c r="F3183" t="s">
        <v>9</v>
      </c>
    </row>
    <row r="3184" spans="2:6" x14ac:dyDescent="0.2">
      <c r="B3184"/>
      <c r="C3184"/>
      <c r="D3184"/>
      <c r="E3184"/>
      <c r="F3184" t="s">
        <v>26</v>
      </c>
    </row>
    <row r="3185" spans="2:6" x14ac:dyDescent="0.2">
      <c r="B3185"/>
      <c r="C3185"/>
      <c r="D3185"/>
      <c r="E3185"/>
      <c r="F3185" t="s">
        <v>20</v>
      </c>
    </row>
    <row r="3186" spans="2:6" x14ac:dyDescent="0.2">
      <c r="B3186"/>
      <c r="C3186"/>
      <c r="D3186"/>
      <c r="E3186"/>
      <c r="F3186" t="s">
        <v>27</v>
      </c>
    </row>
    <row r="3187" spans="2:6" x14ac:dyDescent="0.2">
      <c r="B3187"/>
      <c r="C3187"/>
      <c r="D3187"/>
      <c r="E3187"/>
      <c r="F3187" t="s">
        <v>10</v>
      </c>
    </row>
    <row r="3188" spans="2:6" x14ac:dyDescent="0.2">
      <c r="B3188"/>
      <c r="C3188"/>
      <c r="D3188"/>
      <c r="E3188"/>
      <c r="F3188" t="s">
        <v>21</v>
      </c>
    </row>
    <row r="3189" spans="2:6" x14ac:dyDescent="0.2">
      <c r="B3189"/>
      <c r="C3189"/>
      <c r="D3189"/>
      <c r="E3189"/>
      <c r="F3189" t="s">
        <v>37</v>
      </c>
    </row>
    <row r="3190" spans="2:6" x14ac:dyDescent="0.2">
      <c r="B3190"/>
      <c r="C3190"/>
      <c r="D3190"/>
      <c r="E3190"/>
      <c r="F3190" t="s">
        <v>13</v>
      </c>
    </row>
    <row r="3191" spans="2:6" x14ac:dyDescent="0.2">
      <c r="B3191"/>
      <c r="C3191"/>
      <c r="D3191"/>
      <c r="E3191"/>
      <c r="F3191" t="s">
        <v>52</v>
      </c>
    </row>
    <row r="3192" spans="2:6" x14ac:dyDescent="0.2">
      <c r="B3192"/>
      <c r="C3192"/>
      <c r="D3192"/>
      <c r="E3192"/>
      <c r="F3192" t="s">
        <v>14</v>
      </c>
    </row>
    <row r="3193" spans="2:6" x14ac:dyDescent="0.2">
      <c r="B3193"/>
      <c r="C3193"/>
      <c r="D3193"/>
      <c r="E3193"/>
      <c r="F3193" t="s">
        <v>15</v>
      </c>
    </row>
    <row r="3194" spans="2:6" x14ac:dyDescent="0.2">
      <c r="B3194"/>
      <c r="C3194"/>
      <c r="D3194"/>
      <c r="E3194"/>
      <c r="F3194" t="s">
        <v>31</v>
      </c>
    </row>
    <row r="3195" spans="2:6" x14ac:dyDescent="0.2">
      <c r="B3195"/>
      <c r="C3195"/>
      <c r="D3195"/>
      <c r="E3195"/>
      <c r="F3195" t="s">
        <v>32</v>
      </c>
    </row>
    <row r="3196" spans="2:6" x14ac:dyDescent="0.2">
      <c r="B3196"/>
      <c r="C3196"/>
      <c r="D3196"/>
      <c r="E3196"/>
      <c r="F3196" t="s">
        <v>38</v>
      </c>
    </row>
    <row r="3197" spans="2:6" x14ac:dyDescent="0.2">
      <c r="B3197"/>
      <c r="C3197"/>
      <c r="D3197"/>
      <c r="E3197"/>
      <c r="F3197" t="s">
        <v>56</v>
      </c>
    </row>
    <row r="3198" spans="2:6" x14ac:dyDescent="0.2">
      <c r="B3198" t="s">
        <v>324</v>
      </c>
      <c r="C3198" t="s">
        <v>937</v>
      </c>
      <c r="D3198" t="s">
        <v>969</v>
      </c>
      <c r="E3198" t="s">
        <v>1137</v>
      </c>
      <c r="F3198" t="s">
        <v>43</v>
      </c>
    </row>
    <row r="3199" spans="2:6" x14ac:dyDescent="0.2">
      <c r="B3199"/>
      <c r="C3199"/>
      <c r="D3199"/>
      <c r="E3199"/>
      <c r="F3199" t="s">
        <v>44</v>
      </c>
    </row>
    <row r="3200" spans="2:6" x14ac:dyDescent="0.2">
      <c r="B3200"/>
      <c r="C3200"/>
      <c r="D3200"/>
      <c r="E3200"/>
      <c r="F3200" t="s">
        <v>4</v>
      </c>
    </row>
    <row r="3201" spans="2:6" x14ac:dyDescent="0.2">
      <c r="B3201"/>
      <c r="C3201"/>
      <c r="D3201"/>
      <c r="E3201"/>
      <c r="F3201" t="s">
        <v>5</v>
      </c>
    </row>
    <row r="3202" spans="2:6" x14ac:dyDescent="0.2">
      <c r="B3202"/>
      <c r="C3202"/>
      <c r="D3202"/>
      <c r="E3202"/>
      <c r="F3202" t="s">
        <v>6</v>
      </c>
    </row>
    <row r="3203" spans="2:6" x14ac:dyDescent="0.2">
      <c r="B3203"/>
      <c r="C3203"/>
      <c r="D3203"/>
      <c r="E3203"/>
      <c r="F3203" t="s">
        <v>7</v>
      </c>
    </row>
    <row r="3204" spans="2:6" x14ac:dyDescent="0.2">
      <c r="B3204"/>
      <c r="C3204"/>
      <c r="D3204"/>
      <c r="E3204"/>
      <c r="F3204" t="s">
        <v>8</v>
      </c>
    </row>
    <row r="3205" spans="2:6" x14ac:dyDescent="0.2">
      <c r="B3205"/>
      <c r="C3205"/>
      <c r="D3205"/>
      <c r="E3205"/>
      <c r="F3205" t="s">
        <v>24</v>
      </c>
    </row>
    <row r="3206" spans="2:6" x14ac:dyDescent="0.2">
      <c r="B3206"/>
      <c r="C3206"/>
      <c r="D3206"/>
      <c r="E3206"/>
      <c r="F3206" t="s">
        <v>25</v>
      </c>
    </row>
    <row r="3207" spans="2:6" x14ac:dyDescent="0.2">
      <c r="B3207"/>
      <c r="C3207"/>
      <c r="D3207"/>
      <c r="E3207"/>
      <c r="F3207" t="s">
        <v>9</v>
      </c>
    </row>
    <row r="3208" spans="2:6" x14ac:dyDescent="0.2">
      <c r="B3208"/>
      <c r="C3208"/>
      <c r="D3208"/>
      <c r="E3208"/>
      <c r="F3208" t="s">
        <v>20</v>
      </c>
    </row>
    <row r="3209" spans="2:6" x14ac:dyDescent="0.2">
      <c r="B3209"/>
      <c r="C3209"/>
      <c r="D3209"/>
      <c r="E3209"/>
      <c r="F3209" t="s">
        <v>27</v>
      </c>
    </row>
    <row r="3210" spans="2:6" x14ac:dyDescent="0.2">
      <c r="B3210"/>
      <c r="C3210"/>
      <c r="D3210"/>
      <c r="E3210"/>
      <c r="F3210" t="s">
        <v>59</v>
      </c>
    </row>
    <row r="3211" spans="2:6" x14ac:dyDescent="0.2">
      <c r="B3211"/>
      <c r="C3211"/>
      <c r="D3211"/>
      <c r="E3211"/>
      <c r="F3211" t="s">
        <v>10</v>
      </c>
    </row>
    <row r="3212" spans="2:6" x14ac:dyDescent="0.2">
      <c r="B3212"/>
      <c r="C3212"/>
      <c r="D3212"/>
      <c r="E3212"/>
      <c r="F3212" t="s">
        <v>21</v>
      </c>
    </row>
    <row r="3213" spans="2:6" x14ac:dyDescent="0.2">
      <c r="B3213"/>
      <c r="C3213"/>
      <c r="D3213"/>
      <c r="E3213"/>
      <c r="F3213" t="s">
        <v>11</v>
      </c>
    </row>
    <row r="3214" spans="2:6" x14ac:dyDescent="0.2">
      <c r="B3214"/>
      <c r="C3214"/>
      <c r="D3214"/>
      <c r="E3214"/>
      <c r="F3214" t="s">
        <v>22</v>
      </c>
    </row>
    <row r="3215" spans="2:6" x14ac:dyDescent="0.2">
      <c r="B3215"/>
      <c r="C3215"/>
      <c r="D3215"/>
      <c r="E3215"/>
      <c r="F3215" t="s">
        <v>51</v>
      </c>
    </row>
    <row r="3216" spans="2:6" x14ac:dyDescent="0.2">
      <c r="B3216"/>
      <c r="C3216"/>
      <c r="D3216"/>
      <c r="E3216"/>
      <c r="F3216" t="s">
        <v>39</v>
      </c>
    </row>
    <row r="3217" spans="2:6" x14ac:dyDescent="0.2">
      <c r="B3217"/>
      <c r="C3217"/>
      <c r="D3217"/>
      <c r="E3217"/>
      <c r="F3217" t="s">
        <v>29</v>
      </c>
    </row>
    <row r="3218" spans="2:6" x14ac:dyDescent="0.2">
      <c r="B3218"/>
      <c r="C3218"/>
      <c r="D3218"/>
      <c r="E3218"/>
      <c r="F3218" t="s">
        <v>37</v>
      </c>
    </row>
    <row r="3219" spans="2:6" x14ac:dyDescent="0.2">
      <c r="B3219"/>
      <c r="C3219"/>
      <c r="D3219"/>
      <c r="E3219"/>
      <c r="F3219" t="s">
        <v>13</v>
      </c>
    </row>
    <row r="3220" spans="2:6" x14ac:dyDescent="0.2">
      <c r="B3220"/>
      <c r="C3220"/>
      <c r="D3220"/>
      <c r="E3220"/>
      <c r="F3220" t="s">
        <v>52</v>
      </c>
    </row>
    <row r="3221" spans="2:6" x14ac:dyDescent="0.2">
      <c r="B3221"/>
      <c r="C3221"/>
      <c r="D3221"/>
      <c r="E3221"/>
      <c r="F3221" t="s">
        <v>14</v>
      </c>
    </row>
    <row r="3222" spans="2:6" x14ac:dyDescent="0.2">
      <c r="B3222"/>
      <c r="C3222"/>
      <c r="D3222"/>
      <c r="E3222"/>
      <c r="F3222" t="s">
        <v>15</v>
      </c>
    </row>
    <row r="3223" spans="2:6" x14ac:dyDescent="0.2">
      <c r="B3223"/>
      <c r="C3223"/>
      <c r="D3223"/>
      <c r="E3223"/>
      <c r="F3223" t="s">
        <v>30</v>
      </c>
    </row>
    <row r="3224" spans="2:6" x14ac:dyDescent="0.2">
      <c r="B3224"/>
      <c r="C3224"/>
      <c r="D3224"/>
      <c r="E3224"/>
      <c r="F3224" t="s">
        <v>53</v>
      </c>
    </row>
    <row r="3225" spans="2:6" x14ac:dyDescent="0.2">
      <c r="B3225"/>
      <c r="C3225"/>
      <c r="D3225"/>
      <c r="E3225"/>
      <c r="F3225" t="s">
        <v>31</v>
      </c>
    </row>
    <row r="3226" spans="2:6" x14ac:dyDescent="0.2">
      <c r="B3226"/>
      <c r="C3226"/>
      <c r="D3226"/>
      <c r="E3226"/>
      <c r="F3226" t="s">
        <v>32</v>
      </c>
    </row>
    <row r="3227" spans="2:6" x14ac:dyDescent="0.2">
      <c r="B3227"/>
      <c r="C3227"/>
      <c r="D3227"/>
      <c r="E3227"/>
      <c r="F3227" t="s">
        <v>54</v>
      </c>
    </row>
    <row r="3228" spans="2:6" x14ac:dyDescent="0.2">
      <c r="B3228"/>
      <c r="C3228"/>
      <c r="D3228"/>
      <c r="E3228"/>
      <c r="F3228" t="s">
        <v>38</v>
      </c>
    </row>
    <row r="3229" spans="2:6" x14ac:dyDescent="0.2">
      <c r="B3229"/>
      <c r="C3229"/>
      <c r="D3229"/>
      <c r="E3229"/>
      <c r="F3229" t="s">
        <v>55</v>
      </c>
    </row>
    <row r="3230" spans="2:6" x14ac:dyDescent="0.2">
      <c r="B3230"/>
      <c r="C3230"/>
      <c r="D3230"/>
      <c r="E3230"/>
      <c r="F3230" t="s">
        <v>56</v>
      </c>
    </row>
    <row r="3231" spans="2:6" x14ac:dyDescent="0.2">
      <c r="B3231"/>
      <c r="C3231"/>
      <c r="D3231"/>
      <c r="E3231"/>
      <c r="F3231" t="s">
        <v>33</v>
      </c>
    </row>
    <row r="3232" spans="2:6" x14ac:dyDescent="0.2">
      <c r="B3232"/>
      <c r="C3232"/>
      <c r="D3232"/>
      <c r="E3232"/>
      <c r="F3232" t="s">
        <v>57</v>
      </c>
    </row>
    <row r="3233" spans="2:6" x14ac:dyDescent="0.2">
      <c r="B3233" t="s">
        <v>325</v>
      </c>
      <c r="C3233" t="s">
        <v>791</v>
      </c>
      <c r="D3233" t="s">
        <v>970</v>
      </c>
      <c r="E3233" t="s">
        <v>1212</v>
      </c>
      <c r="F3233" t="s">
        <v>4</v>
      </c>
    </row>
    <row r="3234" spans="2:6" x14ac:dyDescent="0.2">
      <c r="B3234"/>
      <c r="C3234"/>
      <c r="D3234"/>
      <c r="E3234"/>
      <c r="F3234" t="s">
        <v>5</v>
      </c>
    </row>
    <row r="3235" spans="2:6" x14ac:dyDescent="0.2">
      <c r="B3235"/>
      <c r="C3235"/>
      <c r="D3235"/>
      <c r="E3235"/>
      <c r="F3235" t="s">
        <v>7</v>
      </c>
    </row>
    <row r="3236" spans="2:6" x14ac:dyDescent="0.2">
      <c r="B3236"/>
      <c r="C3236"/>
      <c r="D3236"/>
      <c r="E3236"/>
      <c r="F3236" t="s">
        <v>8</v>
      </c>
    </row>
    <row r="3237" spans="2:6" x14ac:dyDescent="0.2">
      <c r="B3237"/>
      <c r="C3237"/>
      <c r="D3237"/>
      <c r="E3237"/>
      <c r="F3237" t="s">
        <v>25</v>
      </c>
    </row>
    <row r="3238" spans="2:6" x14ac:dyDescent="0.2">
      <c r="B3238"/>
      <c r="C3238"/>
      <c r="D3238"/>
      <c r="E3238"/>
      <c r="F3238" t="s">
        <v>9</v>
      </c>
    </row>
    <row r="3239" spans="2:6" x14ac:dyDescent="0.2">
      <c r="B3239"/>
      <c r="C3239"/>
      <c r="D3239"/>
      <c r="E3239"/>
      <c r="F3239" t="s">
        <v>27</v>
      </c>
    </row>
    <row r="3240" spans="2:6" x14ac:dyDescent="0.2">
      <c r="B3240"/>
      <c r="C3240"/>
      <c r="D3240"/>
      <c r="E3240"/>
      <c r="F3240" t="s">
        <v>12</v>
      </c>
    </row>
    <row r="3241" spans="2:6" x14ac:dyDescent="0.2">
      <c r="B3241"/>
      <c r="C3241"/>
      <c r="D3241"/>
      <c r="E3241"/>
      <c r="F3241" t="s">
        <v>13</v>
      </c>
    </row>
    <row r="3242" spans="2:6" x14ac:dyDescent="0.2">
      <c r="B3242"/>
      <c r="C3242"/>
      <c r="D3242"/>
      <c r="E3242"/>
      <c r="F3242" t="s">
        <v>14</v>
      </c>
    </row>
    <row r="3243" spans="2:6" x14ac:dyDescent="0.2">
      <c r="B3243"/>
      <c r="C3243"/>
      <c r="D3243"/>
      <c r="E3243"/>
      <c r="F3243" t="s">
        <v>15</v>
      </c>
    </row>
    <row r="3244" spans="2:6" x14ac:dyDescent="0.2">
      <c r="B3244" t="s">
        <v>1094</v>
      </c>
      <c r="C3244" t="s">
        <v>1095</v>
      </c>
      <c r="D3244" t="s">
        <v>970</v>
      </c>
      <c r="E3244" t="s">
        <v>1285</v>
      </c>
      <c r="F3244" t="s">
        <v>10</v>
      </c>
    </row>
    <row r="3245" spans="2:6" x14ac:dyDescent="0.2">
      <c r="B3245" t="s">
        <v>943</v>
      </c>
      <c r="C3245" t="s">
        <v>944</v>
      </c>
      <c r="D3245" t="s">
        <v>970</v>
      </c>
      <c r="E3245" t="s">
        <v>1133</v>
      </c>
      <c r="F3245" t="s">
        <v>70</v>
      </c>
    </row>
    <row r="3246" spans="2:6" x14ac:dyDescent="0.2">
      <c r="B3246" t="s">
        <v>326</v>
      </c>
      <c r="C3246" t="s">
        <v>792</v>
      </c>
      <c r="D3246" t="s">
        <v>969</v>
      </c>
      <c r="E3246" t="s">
        <v>1286</v>
      </c>
      <c r="F3246" t="s">
        <v>5</v>
      </c>
    </row>
    <row r="3247" spans="2:6" x14ac:dyDescent="0.2">
      <c r="B3247"/>
      <c r="C3247"/>
      <c r="D3247"/>
      <c r="E3247"/>
      <c r="F3247" t="s">
        <v>8</v>
      </c>
    </row>
    <row r="3248" spans="2:6" x14ac:dyDescent="0.2">
      <c r="B3248"/>
      <c r="C3248"/>
      <c r="D3248"/>
      <c r="E3248"/>
      <c r="F3248" t="s">
        <v>9</v>
      </c>
    </row>
    <row r="3249" spans="2:6" x14ac:dyDescent="0.2">
      <c r="B3249"/>
      <c r="C3249"/>
      <c r="D3249"/>
      <c r="E3249"/>
      <c r="F3249" t="s">
        <v>10</v>
      </c>
    </row>
    <row r="3250" spans="2:6" x14ac:dyDescent="0.2">
      <c r="B3250"/>
      <c r="C3250"/>
      <c r="D3250"/>
      <c r="E3250"/>
      <c r="F3250" t="s">
        <v>14</v>
      </c>
    </row>
    <row r="3251" spans="2:6" x14ac:dyDescent="0.2">
      <c r="B3251"/>
      <c r="C3251"/>
      <c r="D3251"/>
      <c r="E3251"/>
      <c r="F3251" t="s">
        <v>15</v>
      </c>
    </row>
    <row r="3252" spans="2:6" x14ac:dyDescent="0.2">
      <c r="B3252" t="s">
        <v>327</v>
      </c>
      <c r="C3252" t="s">
        <v>793</v>
      </c>
      <c r="D3252" t="s">
        <v>969</v>
      </c>
      <c r="E3252" t="s">
        <v>1174</v>
      </c>
      <c r="F3252" t="s">
        <v>18</v>
      </c>
    </row>
    <row r="3253" spans="2:6" x14ac:dyDescent="0.2">
      <c r="B3253" t="s">
        <v>1109</v>
      </c>
      <c r="C3253" t="s">
        <v>1111</v>
      </c>
      <c r="D3253" t="s">
        <v>969</v>
      </c>
      <c r="E3253" t="s">
        <v>1287</v>
      </c>
      <c r="F3253" t="s">
        <v>29</v>
      </c>
    </row>
    <row r="3254" spans="2:6" x14ac:dyDescent="0.2">
      <c r="B3254" t="s">
        <v>999</v>
      </c>
      <c r="C3254" t="s">
        <v>648</v>
      </c>
      <c r="D3254" t="s">
        <v>969</v>
      </c>
      <c r="E3254" t="s">
        <v>1288</v>
      </c>
      <c r="F3254" t="s">
        <v>45</v>
      </c>
    </row>
    <row r="3255" spans="2:6" x14ac:dyDescent="0.2">
      <c r="B3255"/>
      <c r="C3255"/>
      <c r="D3255"/>
      <c r="E3255"/>
      <c r="F3255" t="s">
        <v>46</v>
      </c>
    </row>
    <row r="3256" spans="2:6" x14ac:dyDescent="0.2">
      <c r="B3256"/>
      <c r="C3256"/>
      <c r="D3256"/>
      <c r="E3256"/>
      <c r="F3256" t="s">
        <v>47</v>
      </c>
    </row>
    <row r="3257" spans="2:6" x14ac:dyDescent="0.2">
      <c r="B3257"/>
      <c r="C3257"/>
      <c r="D3257"/>
      <c r="E3257"/>
      <c r="F3257" t="s">
        <v>48</v>
      </c>
    </row>
    <row r="3258" spans="2:6" x14ac:dyDescent="0.2">
      <c r="B3258"/>
      <c r="C3258"/>
      <c r="D3258"/>
      <c r="E3258"/>
      <c r="F3258" t="s">
        <v>75</v>
      </c>
    </row>
    <row r="3259" spans="2:6" x14ac:dyDescent="0.2">
      <c r="B3259"/>
      <c r="C3259"/>
      <c r="D3259"/>
      <c r="E3259"/>
      <c r="F3259" t="s">
        <v>10</v>
      </c>
    </row>
    <row r="3260" spans="2:6" x14ac:dyDescent="0.2">
      <c r="B3260"/>
      <c r="C3260"/>
      <c r="D3260"/>
      <c r="E3260"/>
      <c r="F3260" t="s">
        <v>28</v>
      </c>
    </row>
    <row r="3261" spans="2:6" x14ac:dyDescent="0.2">
      <c r="B3261" t="s">
        <v>328</v>
      </c>
      <c r="C3261" t="s">
        <v>794</v>
      </c>
      <c r="D3261" t="s">
        <v>969</v>
      </c>
      <c r="E3261" t="s">
        <v>1289</v>
      </c>
      <c r="F3261" t="s">
        <v>4</v>
      </c>
    </row>
    <row r="3262" spans="2:6" x14ac:dyDescent="0.2">
      <c r="B3262"/>
      <c r="C3262"/>
      <c r="D3262"/>
      <c r="E3262"/>
      <c r="F3262" t="s">
        <v>5</v>
      </c>
    </row>
    <row r="3263" spans="2:6" x14ac:dyDescent="0.2">
      <c r="B3263"/>
      <c r="C3263"/>
      <c r="D3263"/>
      <c r="E3263"/>
      <c r="F3263" t="s">
        <v>8</v>
      </c>
    </row>
    <row r="3264" spans="2:6" x14ac:dyDescent="0.2">
      <c r="B3264"/>
      <c r="C3264"/>
      <c r="D3264"/>
      <c r="E3264"/>
      <c r="F3264" t="s">
        <v>24</v>
      </c>
    </row>
    <row r="3265" spans="2:6" x14ac:dyDescent="0.2">
      <c r="B3265"/>
      <c r="C3265"/>
      <c r="D3265"/>
      <c r="E3265"/>
      <c r="F3265" t="s">
        <v>25</v>
      </c>
    </row>
    <row r="3266" spans="2:6" x14ac:dyDescent="0.2">
      <c r="B3266"/>
      <c r="C3266"/>
      <c r="D3266"/>
      <c r="E3266"/>
      <c r="F3266" t="s">
        <v>9</v>
      </c>
    </row>
    <row r="3267" spans="2:6" x14ac:dyDescent="0.2">
      <c r="B3267"/>
      <c r="C3267"/>
      <c r="D3267"/>
      <c r="E3267"/>
      <c r="F3267" t="s">
        <v>27</v>
      </c>
    </row>
    <row r="3268" spans="2:6" x14ac:dyDescent="0.2">
      <c r="B3268"/>
      <c r="C3268"/>
      <c r="D3268"/>
      <c r="E3268"/>
      <c r="F3268" t="s">
        <v>10</v>
      </c>
    </row>
    <row r="3269" spans="2:6" x14ac:dyDescent="0.2">
      <c r="B3269"/>
      <c r="C3269"/>
      <c r="D3269"/>
      <c r="E3269"/>
      <c r="F3269" t="s">
        <v>12</v>
      </c>
    </row>
    <row r="3270" spans="2:6" x14ac:dyDescent="0.2">
      <c r="B3270"/>
      <c r="C3270"/>
      <c r="D3270"/>
      <c r="E3270"/>
      <c r="F3270" t="s">
        <v>29</v>
      </c>
    </row>
    <row r="3271" spans="2:6" x14ac:dyDescent="0.2">
      <c r="B3271"/>
      <c r="C3271"/>
      <c r="D3271"/>
      <c r="E3271"/>
      <c r="F3271" t="s">
        <v>37</v>
      </c>
    </row>
    <row r="3272" spans="2:6" x14ac:dyDescent="0.2">
      <c r="B3272"/>
      <c r="C3272"/>
      <c r="D3272"/>
      <c r="E3272"/>
      <c r="F3272" t="s">
        <v>13</v>
      </c>
    </row>
    <row r="3273" spans="2:6" x14ac:dyDescent="0.2">
      <c r="B3273"/>
      <c r="C3273"/>
      <c r="D3273"/>
      <c r="E3273"/>
      <c r="F3273" t="s">
        <v>14</v>
      </c>
    </row>
    <row r="3274" spans="2:6" x14ac:dyDescent="0.2">
      <c r="B3274"/>
      <c r="C3274"/>
      <c r="D3274"/>
      <c r="E3274"/>
      <c r="F3274" t="s">
        <v>31</v>
      </c>
    </row>
    <row r="3275" spans="2:6" x14ac:dyDescent="0.2">
      <c r="B3275"/>
      <c r="C3275"/>
      <c r="D3275"/>
      <c r="E3275"/>
      <c r="F3275" t="s">
        <v>32</v>
      </c>
    </row>
    <row r="3276" spans="2:6" x14ac:dyDescent="0.2">
      <c r="B3276" t="s">
        <v>329</v>
      </c>
      <c r="C3276" t="s">
        <v>795</v>
      </c>
      <c r="D3276" t="s">
        <v>969</v>
      </c>
      <c r="E3276" t="s">
        <v>1207</v>
      </c>
      <c r="F3276" t="s">
        <v>11</v>
      </c>
    </row>
    <row r="3277" spans="2:6" x14ac:dyDescent="0.2">
      <c r="B3277" t="s">
        <v>963</v>
      </c>
      <c r="C3277" t="s">
        <v>964</v>
      </c>
      <c r="D3277" t="s">
        <v>970</v>
      </c>
      <c r="E3277" t="s">
        <v>1163</v>
      </c>
      <c r="F3277" t="s">
        <v>70</v>
      </c>
    </row>
    <row r="3278" spans="2:6" x14ac:dyDescent="0.2">
      <c r="B3278"/>
      <c r="C3278"/>
      <c r="D3278"/>
      <c r="E3278"/>
      <c r="F3278" t="s">
        <v>1004</v>
      </c>
    </row>
    <row r="3279" spans="2:6" x14ac:dyDescent="0.2">
      <c r="B3279" t="s">
        <v>330</v>
      </c>
      <c r="C3279" t="s">
        <v>796</v>
      </c>
      <c r="D3279" t="s">
        <v>969</v>
      </c>
      <c r="E3279" t="s">
        <v>1231</v>
      </c>
      <c r="F3279" t="s">
        <v>4</v>
      </c>
    </row>
    <row r="3280" spans="2:6" x14ac:dyDescent="0.2">
      <c r="B3280"/>
      <c r="C3280"/>
      <c r="D3280"/>
      <c r="E3280"/>
      <c r="F3280" t="s">
        <v>5</v>
      </c>
    </row>
    <row r="3281" spans="2:6" x14ac:dyDescent="0.2">
      <c r="B3281"/>
      <c r="C3281"/>
      <c r="D3281"/>
      <c r="E3281"/>
      <c r="F3281" t="s">
        <v>6</v>
      </c>
    </row>
    <row r="3282" spans="2:6" x14ac:dyDescent="0.2">
      <c r="B3282"/>
      <c r="C3282"/>
      <c r="D3282"/>
      <c r="E3282"/>
      <c r="F3282" t="s">
        <v>7</v>
      </c>
    </row>
    <row r="3283" spans="2:6" x14ac:dyDescent="0.2">
      <c r="B3283"/>
      <c r="C3283"/>
      <c r="D3283"/>
      <c r="E3283"/>
      <c r="F3283" t="s">
        <v>8</v>
      </c>
    </row>
    <row r="3284" spans="2:6" x14ac:dyDescent="0.2">
      <c r="B3284"/>
      <c r="C3284"/>
      <c r="D3284"/>
      <c r="E3284"/>
      <c r="F3284" t="s">
        <v>24</v>
      </c>
    </row>
    <row r="3285" spans="2:6" x14ac:dyDescent="0.2">
      <c r="B3285"/>
      <c r="C3285"/>
      <c r="D3285"/>
      <c r="E3285"/>
      <c r="F3285" t="s">
        <v>25</v>
      </c>
    </row>
    <row r="3286" spans="2:6" x14ac:dyDescent="0.2">
      <c r="B3286"/>
      <c r="C3286"/>
      <c r="D3286"/>
      <c r="E3286"/>
      <c r="F3286" t="s">
        <v>9</v>
      </c>
    </row>
    <row r="3287" spans="2:6" x14ac:dyDescent="0.2">
      <c r="B3287"/>
      <c r="C3287"/>
      <c r="D3287"/>
      <c r="E3287"/>
      <c r="F3287" t="s">
        <v>20</v>
      </c>
    </row>
    <row r="3288" spans="2:6" x14ac:dyDescent="0.2">
      <c r="B3288"/>
      <c r="C3288"/>
      <c r="D3288"/>
      <c r="E3288"/>
      <c r="F3288" t="s">
        <v>27</v>
      </c>
    </row>
    <row r="3289" spans="2:6" x14ac:dyDescent="0.2">
      <c r="B3289"/>
      <c r="C3289"/>
      <c r="D3289"/>
      <c r="E3289"/>
      <c r="F3289" t="s">
        <v>81</v>
      </c>
    </row>
    <row r="3290" spans="2:6" x14ac:dyDescent="0.2">
      <c r="B3290"/>
      <c r="C3290"/>
      <c r="D3290"/>
      <c r="E3290"/>
      <c r="F3290" t="s">
        <v>10</v>
      </c>
    </row>
    <row r="3291" spans="2:6" x14ac:dyDescent="0.2">
      <c r="B3291"/>
      <c r="C3291"/>
      <c r="D3291"/>
      <c r="E3291"/>
      <c r="F3291" t="s">
        <v>18</v>
      </c>
    </row>
    <row r="3292" spans="2:6" x14ac:dyDescent="0.2">
      <c r="B3292"/>
      <c r="C3292"/>
      <c r="D3292"/>
      <c r="E3292"/>
      <c r="F3292" t="s">
        <v>11</v>
      </c>
    </row>
    <row r="3293" spans="2:6" x14ac:dyDescent="0.2">
      <c r="B3293"/>
      <c r="C3293"/>
      <c r="D3293"/>
      <c r="E3293"/>
      <c r="F3293" t="s">
        <v>39</v>
      </c>
    </row>
    <row r="3294" spans="2:6" x14ac:dyDescent="0.2">
      <c r="B3294"/>
      <c r="C3294"/>
      <c r="D3294"/>
      <c r="E3294"/>
      <c r="F3294" t="s">
        <v>12</v>
      </c>
    </row>
    <row r="3295" spans="2:6" x14ac:dyDescent="0.2">
      <c r="B3295"/>
      <c r="C3295"/>
      <c r="D3295"/>
      <c r="E3295"/>
      <c r="F3295" t="s">
        <v>29</v>
      </c>
    </row>
    <row r="3296" spans="2:6" x14ac:dyDescent="0.2">
      <c r="B3296"/>
      <c r="C3296"/>
      <c r="D3296"/>
      <c r="E3296"/>
      <c r="F3296" t="s">
        <v>37</v>
      </c>
    </row>
    <row r="3297" spans="2:6" x14ac:dyDescent="0.2">
      <c r="B3297"/>
      <c r="C3297"/>
      <c r="D3297"/>
      <c r="E3297"/>
      <c r="F3297" t="s">
        <v>13</v>
      </c>
    </row>
    <row r="3298" spans="2:6" x14ac:dyDescent="0.2">
      <c r="B3298"/>
      <c r="C3298"/>
      <c r="D3298"/>
      <c r="E3298"/>
      <c r="F3298" t="s">
        <v>14</v>
      </c>
    </row>
    <row r="3299" spans="2:6" x14ac:dyDescent="0.2">
      <c r="B3299"/>
      <c r="C3299"/>
      <c r="D3299"/>
      <c r="E3299"/>
      <c r="F3299" t="s">
        <v>15</v>
      </c>
    </row>
    <row r="3300" spans="2:6" x14ac:dyDescent="0.2">
      <c r="B3300"/>
      <c r="C3300"/>
      <c r="D3300"/>
      <c r="E3300"/>
      <c r="F3300" t="s">
        <v>30</v>
      </c>
    </row>
    <row r="3301" spans="2:6" x14ac:dyDescent="0.2">
      <c r="B3301"/>
      <c r="C3301"/>
      <c r="D3301"/>
      <c r="E3301"/>
      <c r="F3301" t="s">
        <v>53</v>
      </c>
    </row>
    <row r="3302" spans="2:6" x14ac:dyDescent="0.2">
      <c r="B3302"/>
      <c r="C3302"/>
      <c r="D3302"/>
      <c r="E3302"/>
      <c r="F3302" t="s">
        <v>31</v>
      </c>
    </row>
    <row r="3303" spans="2:6" x14ac:dyDescent="0.2">
      <c r="B3303"/>
      <c r="C3303"/>
      <c r="D3303"/>
      <c r="E3303"/>
      <c r="F3303" t="s">
        <v>32</v>
      </c>
    </row>
    <row r="3304" spans="2:6" x14ac:dyDescent="0.2">
      <c r="B3304"/>
      <c r="C3304"/>
      <c r="D3304"/>
      <c r="E3304"/>
      <c r="F3304" t="s">
        <v>54</v>
      </c>
    </row>
    <row r="3305" spans="2:6" x14ac:dyDescent="0.2">
      <c r="B3305"/>
      <c r="C3305"/>
      <c r="D3305"/>
      <c r="E3305"/>
      <c r="F3305" t="s">
        <v>38</v>
      </c>
    </row>
    <row r="3306" spans="2:6" x14ac:dyDescent="0.2">
      <c r="B3306"/>
      <c r="C3306"/>
      <c r="D3306"/>
      <c r="E3306"/>
      <c r="F3306" t="s">
        <v>33</v>
      </c>
    </row>
    <row r="3307" spans="2:6" x14ac:dyDescent="0.2">
      <c r="B3307" t="s">
        <v>543</v>
      </c>
      <c r="C3307" t="s">
        <v>797</v>
      </c>
      <c r="D3307" t="s">
        <v>969</v>
      </c>
      <c r="E3307" t="s">
        <v>1123</v>
      </c>
      <c r="F3307" t="s">
        <v>5</v>
      </c>
    </row>
    <row r="3308" spans="2:6" x14ac:dyDescent="0.2">
      <c r="B3308"/>
      <c r="C3308"/>
      <c r="D3308"/>
      <c r="E3308"/>
      <c r="F3308" t="s">
        <v>10</v>
      </c>
    </row>
    <row r="3309" spans="2:6" x14ac:dyDescent="0.2">
      <c r="B3309"/>
      <c r="C3309"/>
      <c r="D3309"/>
      <c r="E3309"/>
      <c r="F3309" t="s">
        <v>21</v>
      </c>
    </row>
    <row r="3310" spans="2:6" x14ac:dyDescent="0.2">
      <c r="B3310"/>
      <c r="C3310"/>
      <c r="D3310"/>
      <c r="E3310"/>
      <c r="F3310" t="s">
        <v>51</v>
      </c>
    </row>
    <row r="3311" spans="2:6" x14ac:dyDescent="0.2">
      <c r="B3311"/>
      <c r="C3311"/>
      <c r="D3311"/>
      <c r="E3311"/>
      <c r="F3311" t="s">
        <v>29</v>
      </c>
    </row>
    <row r="3312" spans="2:6" x14ac:dyDescent="0.2">
      <c r="B3312" t="s">
        <v>982</v>
      </c>
      <c r="C3312" t="s">
        <v>984</v>
      </c>
      <c r="D3312" t="s">
        <v>969</v>
      </c>
      <c r="E3312" t="s">
        <v>1290</v>
      </c>
      <c r="F3312" t="s">
        <v>976</v>
      </c>
    </row>
    <row r="3313" spans="2:6" x14ac:dyDescent="0.2">
      <c r="B3313" t="s">
        <v>331</v>
      </c>
      <c r="C3313" t="s">
        <v>874</v>
      </c>
      <c r="D3313" t="s">
        <v>969</v>
      </c>
      <c r="E3313" t="s">
        <v>1291</v>
      </c>
      <c r="F3313" t="s">
        <v>29</v>
      </c>
    </row>
    <row r="3314" spans="2:6" x14ac:dyDescent="0.2">
      <c r="B3314" t="s">
        <v>332</v>
      </c>
      <c r="C3314" t="s">
        <v>798</v>
      </c>
      <c r="D3314" t="s">
        <v>969</v>
      </c>
      <c r="E3314" t="s">
        <v>1134</v>
      </c>
      <c r="F3314" t="s">
        <v>4</v>
      </c>
    </row>
    <row r="3315" spans="2:6" x14ac:dyDescent="0.2">
      <c r="B3315"/>
      <c r="C3315"/>
      <c r="D3315"/>
      <c r="E3315"/>
      <c r="F3315" t="s">
        <v>5</v>
      </c>
    </row>
    <row r="3316" spans="2:6" x14ac:dyDescent="0.2">
      <c r="B3316"/>
      <c r="C3316"/>
      <c r="D3316"/>
      <c r="E3316"/>
      <c r="F3316" t="s">
        <v>7</v>
      </c>
    </row>
    <row r="3317" spans="2:6" x14ac:dyDescent="0.2">
      <c r="B3317"/>
      <c r="C3317"/>
      <c r="D3317"/>
      <c r="E3317"/>
      <c r="F3317" t="s">
        <v>8</v>
      </c>
    </row>
    <row r="3318" spans="2:6" x14ac:dyDescent="0.2">
      <c r="B3318"/>
      <c r="C3318"/>
      <c r="D3318"/>
      <c r="E3318"/>
      <c r="F3318" t="s">
        <v>25</v>
      </c>
    </row>
    <row r="3319" spans="2:6" x14ac:dyDescent="0.2">
      <c r="B3319"/>
      <c r="C3319"/>
      <c r="D3319"/>
      <c r="E3319"/>
      <c r="F3319" t="s">
        <v>9</v>
      </c>
    </row>
    <row r="3320" spans="2:6" x14ac:dyDescent="0.2">
      <c r="B3320"/>
      <c r="C3320"/>
      <c r="D3320"/>
      <c r="E3320"/>
      <c r="F3320" t="s">
        <v>27</v>
      </c>
    </row>
    <row r="3321" spans="2:6" x14ac:dyDescent="0.2">
      <c r="B3321"/>
      <c r="C3321"/>
      <c r="D3321"/>
      <c r="E3321"/>
      <c r="F3321" t="s">
        <v>21</v>
      </c>
    </row>
    <row r="3322" spans="2:6" x14ac:dyDescent="0.2">
      <c r="B3322"/>
      <c r="C3322"/>
      <c r="D3322"/>
      <c r="E3322"/>
      <c r="F3322" t="s">
        <v>29</v>
      </c>
    </row>
    <row r="3323" spans="2:6" x14ac:dyDescent="0.2">
      <c r="B3323"/>
      <c r="C3323"/>
      <c r="D3323"/>
      <c r="E3323"/>
      <c r="F3323" t="s">
        <v>13</v>
      </c>
    </row>
    <row r="3324" spans="2:6" x14ac:dyDescent="0.2">
      <c r="B3324"/>
      <c r="C3324"/>
      <c r="D3324"/>
      <c r="E3324"/>
      <c r="F3324" t="s">
        <v>14</v>
      </c>
    </row>
    <row r="3325" spans="2:6" x14ac:dyDescent="0.2">
      <c r="B3325"/>
      <c r="C3325"/>
      <c r="D3325"/>
      <c r="E3325"/>
      <c r="F3325" t="s">
        <v>15</v>
      </c>
    </row>
    <row r="3326" spans="2:6" x14ac:dyDescent="0.2">
      <c r="B3326"/>
      <c r="C3326"/>
      <c r="D3326"/>
      <c r="E3326"/>
      <c r="F3326" t="s">
        <v>30</v>
      </c>
    </row>
    <row r="3327" spans="2:6" x14ac:dyDescent="0.2">
      <c r="B3327"/>
      <c r="C3327"/>
      <c r="D3327"/>
      <c r="E3327"/>
      <c r="F3327" t="s">
        <v>31</v>
      </c>
    </row>
    <row r="3328" spans="2:6" x14ac:dyDescent="0.2">
      <c r="B3328"/>
      <c r="C3328"/>
      <c r="D3328"/>
      <c r="E3328"/>
      <c r="F3328" t="s">
        <v>32</v>
      </c>
    </row>
    <row r="3329" spans="2:6" x14ac:dyDescent="0.2">
      <c r="B3329" t="s">
        <v>866</v>
      </c>
      <c r="C3329" t="s">
        <v>869</v>
      </c>
      <c r="D3329" t="s">
        <v>970</v>
      </c>
      <c r="E3329" t="s">
        <v>1292</v>
      </c>
      <c r="F3329" t="s">
        <v>70</v>
      </c>
    </row>
    <row r="3330" spans="2:6" x14ac:dyDescent="0.2">
      <c r="B3330" t="s">
        <v>333</v>
      </c>
      <c r="C3330" t="s">
        <v>799</v>
      </c>
      <c r="D3330" t="s">
        <v>969</v>
      </c>
      <c r="E3330" t="s">
        <v>1253</v>
      </c>
      <c r="F3330" t="s">
        <v>43</v>
      </c>
    </row>
    <row r="3331" spans="2:6" x14ac:dyDescent="0.2">
      <c r="B3331"/>
      <c r="C3331"/>
      <c r="D3331"/>
      <c r="E3331"/>
      <c r="F3331" t="s">
        <v>44</v>
      </c>
    </row>
    <row r="3332" spans="2:6" x14ac:dyDescent="0.2">
      <c r="B3332"/>
      <c r="C3332"/>
      <c r="D3332"/>
      <c r="E3332"/>
      <c r="F3332" t="s">
        <v>4</v>
      </c>
    </row>
    <row r="3333" spans="2:6" x14ac:dyDescent="0.2">
      <c r="B3333"/>
      <c r="C3333"/>
      <c r="D3333"/>
      <c r="E3333"/>
      <c r="F3333" t="s">
        <v>5</v>
      </c>
    </row>
    <row r="3334" spans="2:6" x14ac:dyDescent="0.2">
      <c r="B3334"/>
      <c r="C3334"/>
      <c r="D3334"/>
      <c r="E3334"/>
      <c r="F3334" t="s">
        <v>7</v>
      </c>
    </row>
    <row r="3335" spans="2:6" x14ac:dyDescent="0.2">
      <c r="B3335"/>
      <c r="C3335"/>
      <c r="D3335"/>
      <c r="E3335"/>
      <c r="F3335" t="s">
        <v>8</v>
      </c>
    </row>
    <row r="3336" spans="2:6" x14ac:dyDescent="0.2">
      <c r="B3336"/>
      <c r="C3336"/>
      <c r="D3336"/>
      <c r="E3336"/>
      <c r="F3336" t="s">
        <v>24</v>
      </c>
    </row>
    <row r="3337" spans="2:6" x14ac:dyDescent="0.2">
      <c r="B3337"/>
      <c r="C3337"/>
      <c r="D3337"/>
      <c r="E3337"/>
      <c r="F3337" t="s">
        <v>25</v>
      </c>
    </row>
    <row r="3338" spans="2:6" x14ac:dyDescent="0.2">
      <c r="B3338"/>
      <c r="C3338"/>
      <c r="D3338"/>
      <c r="E3338"/>
      <c r="F3338" t="s">
        <v>9</v>
      </c>
    </row>
    <row r="3339" spans="2:6" x14ac:dyDescent="0.2">
      <c r="B3339"/>
      <c r="C3339"/>
      <c r="D3339"/>
      <c r="E3339"/>
      <c r="F3339" t="s">
        <v>26</v>
      </c>
    </row>
    <row r="3340" spans="2:6" x14ac:dyDescent="0.2">
      <c r="B3340"/>
      <c r="C3340"/>
      <c r="D3340"/>
      <c r="E3340"/>
      <c r="F3340" t="s">
        <v>20</v>
      </c>
    </row>
    <row r="3341" spans="2:6" x14ac:dyDescent="0.2">
      <c r="B3341"/>
      <c r="C3341"/>
      <c r="D3341"/>
      <c r="E3341"/>
      <c r="F3341" t="s">
        <v>27</v>
      </c>
    </row>
    <row r="3342" spans="2:6" x14ac:dyDescent="0.2">
      <c r="B3342"/>
      <c r="C3342"/>
      <c r="D3342"/>
      <c r="E3342"/>
      <c r="F3342" t="s">
        <v>81</v>
      </c>
    </row>
    <row r="3343" spans="2:6" x14ac:dyDescent="0.2">
      <c r="B3343"/>
      <c r="C3343"/>
      <c r="D3343"/>
      <c r="E3343"/>
      <c r="F3343" t="s">
        <v>10</v>
      </c>
    </row>
    <row r="3344" spans="2:6" x14ac:dyDescent="0.2">
      <c r="B3344"/>
      <c r="C3344"/>
      <c r="D3344"/>
      <c r="E3344"/>
      <c r="F3344" t="s">
        <v>63</v>
      </c>
    </row>
    <row r="3345" spans="2:6" x14ac:dyDescent="0.2">
      <c r="B3345"/>
      <c r="C3345"/>
      <c r="D3345"/>
      <c r="E3345"/>
      <c r="F3345" t="s">
        <v>39</v>
      </c>
    </row>
    <row r="3346" spans="2:6" x14ac:dyDescent="0.2">
      <c r="B3346"/>
      <c r="C3346"/>
      <c r="D3346"/>
      <c r="E3346"/>
      <c r="F3346" t="s">
        <v>29</v>
      </c>
    </row>
    <row r="3347" spans="2:6" x14ac:dyDescent="0.2">
      <c r="B3347"/>
      <c r="C3347"/>
      <c r="D3347"/>
      <c r="E3347"/>
      <c r="F3347" t="s">
        <v>37</v>
      </c>
    </row>
    <row r="3348" spans="2:6" x14ac:dyDescent="0.2">
      <c r="B3348"/>
      <c r="C3348"/>
      <c r="D3348"/>
      <c r="E3348"/>
      <c r="F3348" t="s">
        <v>13</v>
      </c>
    </row>
    <row r="3349" spans="2:6" x14ac:dyDescent="0.2">
      <c r="B3349"/>
      <c r="C3349"/>
      <c r="D3349"/>
      <c r="E3349"/>
      <c r="F3349" t="s">
        <v>14</v>
      </c>
    </row>
    <row r="3350" spans="2:6" x14ac:dyDescent="0.2">
      <c r="B3350"/>
      <c r="C3350"/>
      <c r="D3350"/>
      <c r="E3350"/>
      <c r="F3350" t="s">
        <v>15</v>
      </c>
    </row>
    <row r="3351" spans="2:6" x14ac:dyDescent="0.2">
      <c r="B3351"/>
      <c r="C3351"/>
      <c r="D3351"/>
      <c r="E3351"/>
      <c r="F3351" t="s">
        <v>30</v>
      </c>
    </row>
    <row r="3352" spans="2:6" x14ac:dyDescent="0.2">
      <c r="B3352"/>
      <c r="C3352"/>
      <c r="D3352"/>
      <c r="E3352"/>
      <c r="F3352" t="s">
        <v>53</v>
      </c>
    </row>
    <row r="3353" spans="2:6" x14ac:dyDescent="0.2">
      <c r="B3353"/>
      <c r="C3353"/>
      <c r="D3353"/>
      <c r="E3353"/>
      <c r="F3353" t="s">
        <v>31</v>
      </c>
    </row>
    <row r="3354" spans="2:6" x14ac:dyDescent="0.2">
      <c r="B3354"/>
      <c r="C3354"/>
      <c r="D3354"/>
      <c r="E3354"/>
      <c r="F3354" t="s">
        <v>32</v>
      </c>
    </row>
    <row r="3355" spans="2:6" x14ac:dyDescent="0.2">
      <c r="B3355" t="s">
        <v>334</v>
      </c>
      <c r="C3355" t="s">
        <v>945</v>
      </c>
      <c r="D3355" t="s">
        <v>969</v>
      </c>
      <c r="E3355" t="s">
        <v>1123</v>
      </c>
      <c r="F3355" t="s">
        <v>45</v>
      </c>
    </row>
    <row r="3356" spans="2:6" x14ac:dyDescent="0.2">
      <c r="B3356"/>
      <c r="C3356"/>
      <c r="D3356"/>
      <c r="E3356"/>
      <c r="F3356" t="s">
        <v>46</v>
      </c>
    </row>
    <row r="3357" spans="2:6" x14ac:dyDescent="0.2">
      <c r="B3357"/>
      <c r="C3357"/>
      <c r="D3357"/>
      <c r="E3357"/>
      <c r="F3357" t="s">
        <v>47</v>
      </c>
    </row>
    <row r="3358" spans="2:6" x14ac:dyDescent="0.2">
      <c r="B3358"/>
      <c r="C3358"/>
      <c r="D3358"/>
      <c r="E3358"/>
      <c r="F3358" t="s">
        <v>48</v>
      </c>
    </row>
    <row r="3359" spans="2:6" x14ac:dyDescent="0.2">
      <c r="B3359" t="s">
        <v>335</v>
      </c>
      <c r="C3359" t="s">
        <v>800</v>
      </c>
      <c r="D3359" t="s">
        <v>970</v>
      </c>
      <c r="E3359" t="s">
        <v>965</v>
      </c>
      <c r="F3359" t="s">
        <v>4</v>
      </c>
    </row>
    <row r="3360" spans="2:6" x14ac:dyDescent="0.2">
      <c r="B3360"/>
      <c r="C3360"/>
      <c r="D3360"/>
      <c r="E3360"/>
      <c r="F3360" t="s">
        <v>5</v>
      </c>
    </row>
    <row r="3361" spans="2:6" x14ac:dyDescent="0.2">
      <c r="B3361"/>
      <c r="C3361"/>
      <c r="D3361"/>
      <c r="E3361"/>
      <c r="F3361" t="s">
        <v>25</v>
      </c>
    </row>
    <row r="3362" spans="2:6" x14ac:dyDescent="0.2">
      <c r="B3362"/>
      <c r="C3362"/>
      <c r="D3362"/>
      <c r="E3362"/>
      <c r="F3362" t="s">
        <v>9</v>
      </c>
    </row>
    <row r="3363" spans="2:6" x14ac:dyDescent="0.2">
      <c r="B3363"/>
      <c r="C3363"/>
      <c r="D3363"/>
      <c r="E3363"/>
      <c r="F3363" t="s">
        <v>26</v>
      </c>
    </row>
    <row r="3364" spans="2:6" x14ac:dyDescent="0.2">
      <c r="B3364"/>
      <c r="C3364"/>
      <c r="D3364"/>
      <c r="E3364"/>
      <c r="F3364" t="s">
        <v>20</v>
      </c>
    </row>
    <row r="3365" spans="2:6" x14ac:dyDescent="0.2">
      <c r="B3365"/>
      <c r="C3365"/>
      <c r="D3365"/>
      <c r="E3365"/>
      <c r="F3365" t="s">
        <v>27</v>
      </c>
    </row>
    <row r="3366" spans="2:6" x14ac:dyDescent="0.2">
      <c r="B3366"/>
      <c r="C3366"/>
      <c r="D3366"/>
      <c r="E3366"/>
      <c r="F3366" t="s">
        <v>10</v>
      </c>
    </row>
    <row r="3367" spans="2:6" x14ac:dyDescent="0.2">
      <c r="B3367"/>
      <c r="C3367"/>
      <c r="D3367"/>
      <c r="E3367"/>
      <c r="F3367" t="s">
        <v>21</v>
      </c>
    </row>
    <row r="3368" spans="2:6" x14ac:dyDescent="0.2">
      <c r="B3368"/>
      <c r="C3368"/>
      <c r="D3368"/>
      <c r="E3368"/>
      <c r="F3368" t="s">
        <v>51</v>
      </c>
    </row>
    <row r="3369" spans="2:6" x14ac:dyDescent="0.2">
      <c r="B3369"/>
      <c r="C3369"/>
      <c r="D3369"/>
      <c r="E3369"/>
      <c r="F3369" t="s">
        <v>14</v>
      </c>
    </row>
    <row r="3370" spans="2:6" x14ac:dyDescent="0.2">
      <c r="B3370" t="s">
        <v>336</v>
      </c>
      <c r="C3370" t="s">
        <v>1007</v>
      </c>
      <c r="D3370" t="s">
        <v>970</v>
      </c>
      <c r="E3370" t="s">
        <v>1268</v>
      </c>
      <c r="F3370" t="s">
        <v>4</v>
      </c>
    </row>
    <row r="3371" spans="2:6" x14ac:dyDescent="0.2">
      <c r="B3371"/>
      <c r="C3371"/>
      <c r="D3371"/>
      <c r="E3371"/>
      <c r="F3371" t="s">
        <v>5</v>
      </c>
    </row>
    <row r="3372" spans="2:6" x14ac:dyDescent="0.2">
      <c r="B3372"/>
      <c r="C3372"/>
      <c r="D3372"/>
      <c r="E3372"/>
      <c r="F3372" t="s">
        <v>7</v>
      </c>
    </row>
    <row r="3373" spans="2:6" x14ac:dyDescent="0.2">
      <c r="B3373"/>
      <c r="C3373"/>
      <c r="D3373"/>
      <c r="E3373"/>
      <c r="F3373" t="s">
        <v>8</v>
      </c>
    </row>
    <row r="3374" spans="2:6" x14ac:dyDescent="0.2">
      <c r="B3374"/>
      <c r="C3374"/>
      <c r="D3374"/>
      <c r="E3374"/>
      <c r="F3374" t="s">
        <v>24</v>
      </c>
    </row>
    <row r="3375" spans="2:6" x14ac:dyDescent="0.2">
      <c r="B3375"/>
      <c r="C3375"/>
      <c r="D3375"/>
      <c r="E3375"/>
      <c r="F3375" t="s">
        <v>25</v>
      </c>
    </row>
    <row r="3376" spans="2:6" x14ac:dyDescent="0.2">
      <c r="B3376"/>
      <c r="C3376"/>
      <c r="D3376"/>
      <c r="E3376"/>
      <c r="F3376" t="s">
        <v>9</v>
      </c>
    </row>
    <row r="3377" spans="2:6" x14ac:dyDescent="0.2">
      <c r="B3377"/>
      <c r="C3377"/>
      <c r="D3377"/>
      <c r="E3377"/>
      <c r="F3377" t="s">
        <v>27</v>
      </c>
    </row>
    <row r="3378" spans="2:6" x14ac:dyDescent="0.2">
      <c r="B3378"/>
      <c r="C3378"/>
      <c r="D3378"/>
      <c r="E3378"/>
      <c r="F3378" t="s">
        <v>10</v>
      </c>
    </row>
    <row r="3379" spans="2:6" x14ac:dyDescent="0.2">
      <c r="B3379"/>
      <c r="C3379"/>
      <c r="D3379"/>
      <c r="E3379"/>
      <c r="F3379" t="s">
        <v>37</v>
      </c>
    </row>
    <row r="3380" spans="2:6" x14ac:dyDescent="0.2">
      <c r="B3380"/>
      <c r="C3380"/>
      <c r="D3380"/>
      <c r="E3380"/>
      <c r="F3380" t="s">
        <v>13</v>
      </c>
    </row>
    <row r="3381" spans="2:6" x14ac:dyDescent="0.2">
      <c r="B3381"/>
      <c r="C3381"/>
      <c r="D3381"/>
      <c r="E3381"/>
      <c r="F3381" t="s">
        <v>14</v>
      </c>
    </row>
    <row r="3382" spans="2:6" x14ac:dyDescent="0.2">
      <c r="B3382"/>
      <c r="C3382"/>
      <c r="D3382"/>
      <c r="E3382"/>
      <c r="F3382" t="s">
        <v>15</v>
      </c>
    </row>
    <row r="3383" spans="2:6" x14ac:dyDescent="0.2">
      <c r="B3383"/>
      <c r="C3383"/>
      <c r="D3383"/>
      <c r="E3383"/>
      <c r="F3383" t="s">
        <v>30</v>
      </c>
    </row>
    <row r="3384" spans="2:6" x14ac:dyDescent="0.2">
      <c r="B3384"/>
      <c r="C3384"/>
      <c r="D3384"/>
      <c r="E3384"/>
      <c r="F3384" t="s">
        <v>31</v>
      </c>
    </row>
    <row r="3385" spans="2:6" x14ac:dyDescent="0.2">
      <c r="B3385"/>
      <c r="C3385"/>
      <c r="D3385"/>
      <c r="E3385"/>
      <c r="F3385" t="s">
        <v>32</v>
      </c>
    </row>
    <row r="3386" spans="2:6" x14ac:dyDescent="0.2">
      <c r="B3386"/>
      <c r="C3386"/>
      <c r="D3386"/>
      <c r="E3386"/>
      <c r="F3386" t="s">
        <v>38</v>
      </c>
    </row>
    <row r="3387" spans="2:6" x14ac:dyDescent="0.2">
      <c r="B3387" t="s">
        <v>1096</v>
      </c>
      <c r="C3387" t="s">
        <v>1097</v>
      </c>
      <c r="D3387" t="s">
        <v>969</v>
      </c>
      <c r="E3387" t="s">
        <v>1154</v>
      </c>
      <c r="F3387" t="s">
        <v>976</v>
      </c>
    </row>
    <row r="3388" spans="2:6" x14ac:dyDescent="0.2">
      <c r="B3388"/>
      <c r="C3388"/>
      <c r="D3388"/>
      <c r="E3388"/>
      <c r="F3388" t="s">
        <v>978</v>
      </c>
    </row>
    <row r="3389" spans="2:6" x14ac:dyDescent="0.2">
      <c r="B3389" t="s">
        <v>920</v>
      </c>
      <c r="C3389" t="s">
        <v>926</v>
      </c>
      <c r="D3389" t="s">
        <v>970</v>
      </c>
      <c r="E3389" t="s">
        <v>965</v>
      </c>
      <c r="F3389" t="s">
        <v>11</v>
      </c>
    </row>
    <row r="3390" spans="2:6" x14ac:dyDescent="0.2">
      <c r="B3390" t="s">
        <v>337</v>
      </c>
      <c r="C3390" t="s">
        <v>801</v>
      </c>
      <c r="D3390" t="s">
        <v>969</v>
      </c>
      <c r="E3390" t="s">
        <v>1293</v>
      </c>
      <c r="F3390" t="s">
        <v>5</v>
      </c>
    </row>
    <row r="3391" spans="2:6" x14ac:dyDescent="0.2">
      <c r="B3391" t="s">
        <v>338</v>
      </c>
      <c r="C3391" t="s">
        <v>802</v>
      </c>
      <c r="D3391" t="s">
        <v>969</v>
      </c>
      <c r="E3391" t="s">
        <v>1294</v>
      </c>
      <c r="F3391" t="s">
        <v>30</v>
      </c>
    </row>
    <row r="3392" spans="2:6" x14ac:dyDescent="0.2">
      <c r="B3392"/>
      <c r="C3392"/>
      <c r="D3392"/>
      <c r="E3392"/>
      <c r="F3392" t="s">
        <v>31</v>
      </c>
    </row>
    <row r="3393" spans="2:6" x14ac:dyDescent="0.2">
      <c r="B3393"/>
      <c r="C3393"/>
      <c r="D3393"/>
      <c r="E3393"/>
      <c r="F3393" t="s">
        <v>32</v>
      </c>
    </row>
    <row r="3394" spans="2:6" x14ac:dyDescent="0.2">
      <c r="B3394"/>
      <c r="C3394"/>
      <c r="D3394"/>
      <c r="E3394"/>
      <c r="F3394" t="s">
        <v>38</v>
      </c>
    </row>
    <row r="3395" spans="2:6" x14ac:dyDescent="0.2">
      <c r="B3395" t="s">
        <v>339</v>
      </c>
      <c r="C3395" t="s">
        <v>803</v>
      </c>
      <c r="D3395" t="s">
        <v>969</v>
      </c>
      <c r="E3395" t="s">
        <v>1126</v>
      </c>
      <c r="F3395" t="s">
        <v>50</v>
      </c>
    </row>
    <row r="3396" spans="2:6" x14ac:dyDescent="0.2">
      <c r="B3396"/>
      <c r="C3396"/>
      <c r="D3396"/>
      <c r="E3396"/>
      <c r="F3396" t="s">
        <v>18</v>
      </c>
    </row>
    <row r="3397" spans="2:6" x14ac:dyDescent="0.2">
      <c r="B3397" t="s">
        <v>340</v>
      </c>
      <c r="C3397" t="s">
        <v>804</v>
      </c>
      <c r="D3397" t="s">
        <v>969</v>
      </c>
      <c r="E3397" t="s">
        <v>1295</v>
      </c>
      <c r="F3397" t="s">
        <v>5</v>
      </c>
    </row>
    <row r="3398" spans="2:6" x14ac:dyDescent="0.2">
      <c r="B3398" t="s">
        <v>341</v>
      </c>
      <c r="C3398" t="s">
        <v>805</v>
      </c>
      <c r="D3398" t="s">
        <v>969</v>
      </c>
      <c r="E3398" t="s">
        <v>1296</v>
      </c>
      <c r="F3398" t="s">
        <v>81</v>
      </c>
    </row>
    <row r="3399" spans="2:6" x14ac:dyDescent="0.2">
      <c r="B3399"/>
      <c r="C3399"/>
      <c r="D3399"/>
      <c r="E3399"/>
      <c r="F3399" t="s">
        <v>63</v>
      </c>
    </row>
    <row r="3400" spans="2:6" x14ac:dyDescent="0.2">
      <c r="B3400"/>
      <c r="C3400"/>
      <c r="D3400"/>
      <c r="E3400"/>
      <c r="F3400" t="s">
        <v>28</v>
      </c>
    </row>
    <row r="3401" spans="2:6" x14ac:dyDescent="0.2">
      <c r="B3401" t="s">
        <v>1080</v>
      </c>
      <c r="C3401" t="s">
        <v>1082</v>
      </c>
      <c r="D3401" t="s">
        <v>969</v>
      </c>
      <c r="E3401" t="s">
        <v>1297</v>
      </c>
      <c r="F3401" t="s">
        <v>57</v>
      </c>
    </row>
    <row r="3402" spans="2:6" x14ac:dyDescent="0.2">
      <c r="B3402" t="s">
        <v>342</v>
      </c>
      <c r="C3402" t="s">
        <v>806</v>
      </c>
      <c r="D3402" t="s">
        <v>969</v>
      </c>
      <c r="E3402" t="s">
        <v>1298</v>
      </c>
      <c r="F3402" t="s">
        <v>47</v>
      </c>
    </row>
    <row r="3403" spans="2:6" x14ac:dyDescent="0.2">
      <c r="B3403"/>
      <c r="C3403"/>
      <c r="D3403"/>
      <c r="E3403"/>
      <c r="F3403" t="s">
        <v>4</v>
      </c>
    </row>
    <row r="3404" spans="2:6" x14ac:dyDescent="0.2">
      <c r="B3404"/>
      <c r="C3404"/>
      <c r="D3404"/>
      <c r="E3404"/>
      <c r="F3404" t="s">
        <v>5</v>
      </c>
    </row>
    <row r="3405" spans="2:6" x14ac:dyDescent="0.2">
      <c r="B3405"/>
      <c r="C3405"/>
      <c r="D3405"/>
      <c r="E3405"/>
      <c r="F3405" t="s">
        <v>6</v>
      </c>
    </row>
    <row r="3406" spans="2:6" x14ac:dyDescent="0.2">
      <c r="B3406"/>
      <c r="C3406"/>
      <c r="D3406"/>
      <c r="E3406"/>
      <c r="F3406" t="s">
        <v>7</v>
      </c>
    </row>
    <row r="3407" spans="2:6" x14ac:dyDescent="0.2">
      <c r="B3407"/>
      <c r="C3407"/>
      <c r="D3407"/>
      <c r="E3407"/>
      <c r="F3407" t="s">
        <v>8</v>
      </c>
    </row>
    <row r="3408" spans="2:6" x14ac:dyDescent="0.2">
      <c r="B3408"/>
      <c r="C3408"/>
      <c r="D3408"/>
      <c r="E3408"/>
      <c r="F3408" t="s">
        <v>24</v>
      </c>
    </row>
    <row r="3409" spans="2:6" x14ac:dyDescent="0.2">
      <c r="B3409"/>
      <c r="C3409"/>
      <c r="D3409"/>
      <c r="E3409"/>
      <c r="F3409" t="s">
        <v>25</v>
      </c>
    </row>
    <row r="3410" spans="2:6" x14ac:dyDescent="0.2">
      <c r="B3410"/>
      <c r="C3410"/>
      <c r="D3410"/>
      <c r="E3410"/>
      <c r="F3410" t="s">
        <v>9</v>
      </c>
    </row>
    <row r="3411" spans="2:6" x14ac:dyDescent="0.2">
      <c r="B3411"/>
      <c r="C3411"/>
      <c r="D3411"/>
      <c r="E3411"/>
      <c r="F3411" t="s">
        <v>27</v>
      </c>
    </row>
    <row r="3412" spans="2:6" x14ac:dyDescent="0.2">
      <c r="B3412"/>
      <c r="C3412"/>
      <c r="D3412"/>
      <c r="E3412"/>
      <c r="F3412" t="s">
        <v>10</v>
      </c>
    </row>
    <row r="3413" spans="2:6" x14ac:dyDescent="0.2">
      <c r="B3413"/>
      <c r="C3413"/>
      <c r="D3413"/>
      <c r="E3413"/>
      <c r="F3413" t="s">
        <v>12</v>
      </c>
    </row>
    <row r="3414" spans="2:6" x14ac:dyDescent="0.2">
      <c r="B3414"/>
      <c r="C3414"/>
      <c r="D3414"/>
      <c r="E3414"/>
      <c r="F3414" t="s">
        <v>29</v>
      </c>
    </row>
    <row r="3415" spans="2:6" x14ac:dyDescent="0.2">
      <c r="B3415"/>
      <c r="C3415"/>
      <c r="D3415"/>
      <c r="E3415"/>
      <c r="F3415" t="s">
        <v>37</v>
      </c>
    </row>
    <row r="3416" spans="2:6" x14ac:dyDescent="0.2">
      <c r="B3416"/>
      <c r="C3416"/>
      <c r="D3416"/>
      <c r="E3416"/>
      <c r="F3416" t="s">
        <v>13</v>
      </c>
    </row>
    <row r="3417" spans="2:6" x14ac:dyDescent="0.2">
      <c r="B3417"/>
      <c r="C3417"/>
      <c r="D3417"/>
      <c r="E3417"/>
      <c r="F3417" t="s">
        <v>14</v>
      </c>
    </row>
    <row r="3418" spans="2:6" x14ac:dyDescent="0.2">
      <c r="B3418"/>
      <c r="C3418"/>
      <c r="D3418"/>
      <c r="E3418"/>
      <c r="F3418" t="s">
        <v>15</v>
      </c>
    </row>
    <row r="3419" spans="2:6" x14ac:dyDescent="0.2">
      <c r="B3419"/>
      <c r="C3419"/>
      <c r="D3419"/>
      <c r="E3419"/>
      <c r="F3419" t="s">
        <v>30</v>
      </c>
    </row>
    <row r="3420" spans="2:6" x14ac:dyDescent="0.2">
      <c r="B3420"/>
      <c r="C3420"/>
      <c r="D3420"/>
      <c r="E3420"/>
      <c r="F3420" t="s">
        <v>53</v>
      </c>
    </row>
    <row r="3421" spans="2:6" x14ac:dyDescent="0.2">
      <c r="B3421"/>
      <c r="C3421"/>
      <c r="D3421"/>
      <c r="E3421"/>
      <c r="F3421" t="s">
        <v>31</v>
      </c>
    </row>
    <row r="3422" spans="2:6" x14ac:dyDescent="0.2">
      <c r="B3422"/>
      <c r="C3422"/>
      <c r="D3422"/>
      <c r="E3422"/>
      <c r="F3422" t="s">
        <v>32</v>
      </c>
    </row>
    <row r="3423" spans="2:6" x14ac:dyDescent="0.2">
      <c r="B3423"/>
      <c r="C3423"/>
      <c r="D3423"/>
      <c r="E3423"/>
      <c r="F3423" t="s">
        <v>1013</v>
      </c>
    </row>
    <row r="3424" spans="2:6" x14ac:dyDescent="0.2">
      <c r="B3424" t="s">
        <v>343</v>
      </c>
      <c r="C3424" t="s">
        <v>807</v>
      </c>
      <c r="D3424" t="s">
        <v>969</v>
      </c>
      <c r="E3424" t="s">
        <v>1299</v>
      </c>
      <c r="F3424" t="s">
        <v>26</v>
      </c>
    </row>
    <row r="3425" spans="2:6" x14ac:dyDescent="0.2">
      <c r="B3425"/>
      <c r="C3425"/>
      <c r="D3425"/>
      <c r="E3425"/>
      <c r="F3425" t="s">
        <v>20</v>
      </c>
    </row>
    <row r="3426" spans="2:6" x14ac:dyDescent="0.2">
      <c r="B3426"/>
      <c r="C3426"/>
      <c r="D3426"/>
      <c r="E3426"/>
      <c r="F3426" t="s">
        <v>21</v>
      </c>
    </row>
    <row r="3427" spans="2:6" x14ac:dyDescent="0.2">
      <c r="B3427"/>
      <c r="C3427"/>
      <c r="D3427"/>
      <c r="E3427"/>
      <c r="F3427" t="s">
        <v>22</v>
      </c>
    </row>
    <row r="3428" spans="2:6" x14ac:dyDescent="0.2">
      <c r="B3428" t="s">
        <v>344</v>
      </c>
      <c r="C3428" t="s">
        <v>808</v>
      </c>
      <c r="D3428" t="s">
        <v>969</v>
      </c>
      <c r="E3428" t="s">
        <v>1300</v>
      </c>
      <c r="F3428" t="s">
        <v>43</v>
      </c>
    </row>
    <row r="3429" spans="2:6" x14ac:dyDescent="0.2">
      <c r="B3429"/>
      <c r="C3429"/>
      <c r="D3429"/>
      <c r="E3429"/>
      <c r="F3429" t="s">
        <v>4</v>
      </c>
    </row>
    <row r="3430" spans="2:6" x14ac:dyDescent="0.2">
      <c r="B3430"/>
      <c r="C3430"/>
      <c r="D3430"/>
      <c r="E3430"/>
      <c r="F3430" t="s">
        <v>5</v>
      </c>
    </row>
    <row r="3431" spans="2:6" x14ac:dyDescent="0.2">
      <c r="B3431"/>
      <c r="C3431"/>
      <c r="D3431"/>
      <c r="E3431"/>
      <c r="F3431" t="s">
        <v>7</v>
      </c>
    </row>
    <row r="3432" spans="2:6" x14ac:dyDescent="0.2">
      <c r="B3432"/>
      <c r="C3432"/>
      <c r="D3432"/>
      <c r="E3432"/>
      <c r="F3432" t="s">
        <v>8</v>
      </c>
    </row>
    <row r="3433" spans="2:6" x14ac:dyDescent="0.2">
      <c r="B3433"/>
      <c r="C3433"/>
      <c r="D3433"/>
      <c r="E3433"/>
      <c r="F3433" t="s">
        <v>24</v>
      </c>
    </row>
    <row r="3434" spans="2:6" x14ac:dyDescent="0.2">
      <c r="B3434"/>
      <c r="C3434"/>
      <c r="D3434"/>
      <c r="E3434"/>
      <c r="F3434" t="s">
        <v>25</v>
      </c>
    </row>
    <row r="3435" spans="2:6" x14ac:dyDescent="0.2">
      <c r="B3435"/>
      <c r="C3435"/>
      <c r="D3435"/>
      <c r="E3435"/>
      <c r="F3435" t="s">
        <v>9</v>
      </c>
    </row>
    <row r="3436" spans="2:6" x14ac:dyDescent="0.2">
      <c r="B3436"/>
      <c r="C3436"/>
      <c r="D3436"/>
      <c r="E3436"/>
      <c r="F3436" t="s">
        <v>27</v>
      </c>
    </row>
    <row r="3437" spans="2:6" x14ac:dyDescent="0.2">
      <c r="B3437"/>
      <c r="C3437"/>
      <c r="D3437"/>
      <c r="E3437"/>
      <c r="F3437" t="s">
        <v>10</v>
      </c>
    </row>
    <row r="3438" spans="2:6" x14ac:dyDescent="0.2">
      <c r="B3438"/>
      <c r="C3438"/>
      <c r="D3438"/>
      <c r="E3438"/>
      <c r="F3438" t="s">
        <v>11</v>
      </c>
    </row>
    <row r="3439" spans="2:6" x14ac:dyDescent="0.2">
      <c r="B3439"/>
      <c r="C3439"/>
      <c r="D3439"/>
      <c r="E3439"/>
      <c r="F3439" t="s">
        <v>39</v>
      </c>
    </row>
    <row r="3440" spans="2:6" x14ac:dyDescent="0.2">
      <c r="B3440"/>
      <c r="C3440"/>
      <c r="D3440"/>
      <c r="E3440"/>
      <c r="F3440" t="s">
        <v>37</v>
      </c>
    </row>
    <row r="3441" spans="2:6" x14ac:dyDescent="0.2">
      <c r="B3441"/>
      <c r="C3441"/>
      <c r="D3441"/>
      <c r="E3441"/>
      <c r="F3441" t="s">
        <v>13</v>
      </c>
    </row>
    <row r="3442" spans="2:6" x14ac:dyDescent="0.2">
      <c r="B3442"/>
      <c r="C3442"/>
      <c r="D3442"/>
      <c r="E3442"/>
      <c r="F3442" t="s">
        <v>14</v>
      </c>
    </row>
    <row r="3443" spans="2:6" x14ac:dyDescent="0.2">
      <c r="B3443"/>
      <c r="C3443"/>
      <c r="D3443"/>
      <c r="E3443"/>
      <c r="F3443" t="s">
        <v>15</v>
      </c>
    </row>
    <row r="3444" spans="2:6" x14ac:dyDescent="0.2">
      <c r="B3444"/>
      <c r="C3444"/>
      <c r="D3444"/>
      <c r="E3444"/>
      <c r="F3444" t="s">
        <v>31</v>
      </c>
    </row>
    <row r="3445" spans="2:6" x14ac:dyDescent="0.2">
      <c r="B3445"/>
      <c r="C3445"/>
      <c r="D3445"/>
      <c r="E3445"/>
      <c r="F3445" t="s">
        <v>56</v>
      </c>
    </row>
    <row r="3446" spans="2:6" x14ac:dyDescent="0.2">
      <c r="B3446" t="s">
        <v>345</v>
      </c>
      <c r="C3446"/>
      <c r="D3446"/>
      <c r="E3446"/>
      <c r="F3446"/>
    </row>
    <row r="3447" spans="2:6" x14ac:dyDescent="0.2">
      <c r="B3447" t="s">
        <v>346</v>
      </c>
      <c r="C3447" t="s">
        <v>810</v>
      </c>
      <c r="D3447" t="s">
        <v>969</v>
      </c>
      <c r="E3447" t="s">
        <v>1172</v>
      </c>
      <c r="F3447" t="s">
        <v>5</v>
      </c>
    </row>
    <row r="3448" spans="2:6" x14ac:dyDescent="0.2">
      <c r="B3448"/>
      <c r="C3448"/>
      <c r="D3448"/>
      <c r="E3448"/>
      <c r="F3448" t="s">
        <v>21</v>
      </c>
    </row>
    <row r="3449" spans="2:6" x14ac:dyDescent="0.2">
      <c r="B3449"/>
      <c r="C3449"/>
      <c r="D3449"/>
      <c r="E3449"/>
      <c r="F3449" t="s">
        <v>22</v>
      </c>
    </row>
    <row r="3450" spans="2:6" x14ac:dyDescent="0.2">
      <c r="B3450"/>
      <c r="C3450"/>
      <c r="D3450"/>
      <c r="E3450"/>
      <c r="F3450" t="s">
        <v>30</v>
      </c>
    </row>
    <row r="3451" spans="2:6" x14ac:dyDescent="0.2">
      <c r="B3451"/>
      <c r="C3451"/>
      <c r="D3451"/>
      <c r="E3451"/>
      <c r="F3451" t="s">
        <v>53</v>
      </c>
    </row>
    <row r="3452" spans="2:6" x14ac:dyDescent="0.2">
      <c r="B3452"/>
      <c r="C3452"/>
      <c r="D3452"/>
      <c r="E3452"/>
      <c r="F3452" t="s">
        <v>31</v>
      </c>
    </row>
    <row r="3453" spans="2:6" x14ac:dyDescent="0.2">
      <c r="B3453"/>
      <c r="C3453"/>
      <c r="D3453"/>
      <c r="E3453"/>
      <c r="F3453" t="s">
        <v>32</v>
      </c>
    </row>
    <row r="3454" spans="2:6" x14ac:dyDescent="0.2">
      <c r="B3454"/>
      <c r="C3454"/>
      <c r="D3454"/>
      <c r="E3454"/>
      <c r="F3454" t="s">
        <v>54</v>
      </c>
    </row>
    <row r="3455" spans="2:6" x14ac:dyDescent="0.2">
      <c r="B3455"/>
      <c r="C3455"/>
      <c r="D3455"/>
      <c r="E3455"/>
      <c r="F3455" t="s">
        <v>38</v>
      </c>
    </row>
    <row r="3456" spans="2:6" x14ac:dyDescent="0.2">
      <c r="B3456"/>
      <c r="C3456"/>
      <c r="D3456"/>
      <c r="E3456"/>
      <c r="F3456" t="s">
        <v>55</v>
      </c>
    </row>
    <row r="3457" spans="2:6" x14ac:dyDescent="0.2">
      <c r="B3457" t="s">
        <v>347</v>
      </c>
      <c r="C3457" t="s">
        <v>855</v>
      </c>
      <c r="D3457" t="s">
        <v>969</v>
      </c>
      <c r="E3457" t="s">
        <v>1301</v>
      </c>
      <c r="F3457" t="s">
        <v>42</v>
      </c>
    </row>
    <row r="3458" spans="2:6" x14ac:dyDescent="0.2">
      <c r="B3458"/>
      <c r="C3458"/>
      <c r="D3458"/>
      <c r="E3458"/>
      <c r="F3458" t="s">
        <v>5</v>
      </c>
    </row>
    <row r="3459" spans="2:6" x14ac:dyDescent="0.2">
      <c r="B3459"/>
      <c r="C3459"/>
      <c r="D3459"/>
      <c r="E3459"/>
      <c r="F3459" t="s">
        <v>81</v>
      </c>
    </row>
    <row r="3460" spans="2:6" x14ac:dyDescent="0.2">
      <c r="B3460"/>
      <c r="C3460"/>
      <c r="D3460"/>
      <c r="E3460"/>
      <c r="F3460" t="s">
        <v>21</v>
      </c>
    </row>
    <row r="3461" spans="2:6" x14ac:dyDescent="0.2">
      <c r="B3461"/>
      <c r="C3461"/>
      <c r="D3461"/>
      <c r="E3461"/>
      <c r="F3461" t="s">
        <v>28</v>
      </c>
    </row>
    <row r="3462" spans="2:6" x14ac:dyDescent="0.2">
      <c r="B3462"/>
      <c r="C3462"/>
      <c r="D3462"/>
      <c r="E3462"/>
      <c r="F3462" t="s">
        <v>29</v>
      </c>
    </row>
    <row r="3463" spans="2:6" x14ac:dyDescent="0.2">
      <c r="B3463" t="s">
        <v>899</v>
      </c>
      <c r="C3463" t="s">
        <v>1078</v>
      </c>
      <c r="D3463" t="s">
        <v>969</v>
      </c>
      <c r="E3463" t="s">
        <v>1182</v>
      </c>
      <c r="F3463" t="s">
        <v>46</v>
      </c>
    </row>
    <row r="3464" spans="2:6" x14ac:dyDescent="0.2">
      <c r="B3464"/>
      <c r="C3464"/>
      <c r="D3464"/>
      <c r="E3464"/>
      <c r="F3464" t="s">
        <v>47</v>
      </c>
    </row>
    <row r="3465" spans="2:6" x14ac:dyDescent="0.2">
      <c r="B3465"/>
      <c r="C3465"/>
      <c r="D3465"/>
      <c r="E3465"/>
      <c r="F3465" t="s">
        <v>75</v>
      </c>
    </row>
    <row r="3466" spans="2:6" x14ac:dyDescent="0.2">
      <c r="B3466"/>
      <c r="C3466"/>
      <c r="D3466"/>
      <c r="E3466"/>
      <c r="F3466" t="s">
        <v>50</v>
      </c>
    </row>
    <row r="3467" spans="2:6" x14ac:dyDescent="0.2">
      <c r="B3467"/>
      <c r="C3467"/>
      <c r="D3467"/>
      <c r="E3467"/>
      <c r="F3467" t="s">
        <v>18</v>
      </c>
    </row>
    <row r="3468" spans="2:6" x14ac:dyDescent="0.2">
      <c r="B3468"/>
      <c r="C3468"/>
      <c r="D3468"/>
      <c r="E3468"/>
      <c r="F3468" t="s">
        <v>12</v>
      </c>
    </row>
    <row r="3469" spans="2:6" x14ac:dyDescent="0.2">
      <c r="B3469" t="s">
        <v>348</v>
      </c>
      <c r="C3469" t="s">
        <v>856</v>
      </c>
      <c r="D3469" t="s">
        <v>969</v>
      </c>
      <c r="E3469" t="s">
        <v>965</v>
      </c>
      <c r="F3469" t="s">
        <v>35</v>
      </c>
    </row>
    <row r="3470" spans="2:6" x14ac:dyDescent="0.2">
      <c r="B3470"/>
      <c r="C3470"/>
      <c r="D3470"/>
      <c r="E3470"/>
      <c r="F3470" t="s">
        <v>124</v>
      </c>
    </row>
    <row r="3471" spans="2:6" x14ac:dyDescent="0.2">
      <c r="B3471"/>
      <c r="C3471"/>
      <c r="D3471"/>
      <c r="E3471"/>
      <c r="F3471" t="s">
        <v>36</v>
      </c>
    </row>
    <row r="3472" spans="2:6" x14ac:dyDescent="0.2">
      <c r="B3472"/>
      <c r="C3472"/>
      <c r="D3472"/>
      <c r="E3472"/>
      <c r="F3472" t="s">
        <v>125</v>
      </c>
    </row>
    <row r="3473" spans="2:6" x14ac:dyDescent="0.2">
      <c r="B3473"/>
      <c r="C3473"/>
      <c r="D3473"/>
      <c r="E3473"/>
      <c r="F3473" t="s">
        <v>42</v>
      </c>
    </row>
    <row r="3474" spans="2:6" x14ac:dyDescent="0.2">
      <c r="B3474"/>
      <c r="C3474"/>
      <c r="D3474"/>
      <c r="E3474"/>
      <c r="F3474" t="s">
        <v>43</v>
      </c>
    </row>
    <row r="3475" spans="2:6" x14ac:dyDescent="0.2">
      <c r="B3475"/>
      <c r="C3475"/>
      <c r="D3475"/>
      <c r="E3475"/>
      <c r="F3475" t="s">
        <v>44</v>
      </c>
    </row>
    <row r="3476" spans="2:6" x14ac:dyDescent="0.2">
      <c r="B3476"/>
      <c r="C3476"/>
      <c r="D3476"/>
      <c r="E3476"/>
      <c r="F3476" t="s">
        <v>45</v>
      </c>
    </row>
    <row r="3477" spans="2:6" x14ac:dyDescent="0.2">
      <c r="B3477"/>
      <c r="C3477"/>
      <c r="D3477"/>
      <c r="E3477"/>
      <c r="F3477" t="s">
        <v>46</v>
      </c>
    </row>
    <row r="3478" spans="2:6" x14ac:dyDescent="0.2">
      <c r="B3478"/>
      <c r="C3478"/>
      <c r="D3478"/>
      <c r="E3478"/>
      <c r="F3478" t="s">
        <v>47</v>
      </c>
    </row>
    <row r="3479" spans="2:6" x14ac:dyDescent="0.2">
      <c r="B3479"/>
      <c r="C3479"/>
      <c r="D3479"/>
      <c r="E3479"/>
      <c r="F3479" t="s">
        <v>48</v>
      </c>
    </row>
    <row r="3480" spans="2:6" x14ac:dyDescent="0.2">
      <c r="B3480"/>
      <c r="C3480"/>
      <c r="D3480"/>
      <c r="E3480"/>
      <c r="F3480" t="s">
        <v>4</v>
      </c>
    </row>
    <row r="3481" spans="2:6" x14ac:dyDescent="0.2">
      <c r="B3481"/>
      <c r="C3481"/>
      <c r="D3481"/>
      <c r="E3481"/>
      <c r="F3481" t="s">
        <v>5</v>
      </c>
    </row>
    <row r="3482" spans="2:6" x14ac:dyDescent="0.2">
      <c r="B3482"/>
      <c r="C3482"/>
      <c r="D3482"/>
      <c r="E3482"/>
      <c r="F3482" t="s">
        <v>6</v>
      </c>
    </row>
    <row r="3483" spans="2:6" x14ac:dyDescent="0.2">
      <c r="B3483"/>
      <c r="C3483"/>
      <c r="D3483"/>
      <c r="E3483"/>
      <c r="F3483" t="s">
        <v>7</v>
      </c>
    </row>
    <row r="3484" spans="2:6" x14ac:dyDescent="0.2">
      <c r="B3484"/>
      <c r="C3484"/>
      <c r="D3484"/>
      <c r="E3484"/>
      <c r="F3484" t="s">
        <v>8</v>
      </c>
    </row>
    <row r="3485" spans="2:6" x14ac:dyDescent="0.2">
      <c r="B3485"/>
      <c r="C3485"/>
      <c r="D3485"/>
      <c r="E3485"/>
      <c r="F3485" t="s">
        <v>24</v>
      </c>
    </row>
    <row r="3486" spans="2:6" x14ac:dyDescent="0.2">
      <c r="B3486"/>
      <c r="C3486"/>
      <c r="D3486"/>
      <c r="E3486"/>
      <c r="F3486" t="s">
        <v>25</v>
      </c>
    </row>
    <row r="3487" spans="2:6" x14ac:dyDescent="0.2">
      <c r="B3487"/>
      <c r="C3487"/>
      <c r="D3487"/>
      <c r="E3487"/>
      <c r="F3487" t="s">
        <v>9</v>
      </c>
    </row>
    <row r="3488" spans="2:6" x14ac:dyDescent="0.2">
      <c r="B3488"/>
      <c r="C3488"/>
      <c r="D3488"/>
      <c r="E3488"/>
      <c r="F3488" t="s">
        <v>20</v>
      </c>
    </row>
    <row r="3489" spans="2:6" x14ac:dyDescent="0.2">
      <c r="B3489"/>
      <c r="C3489"/>
      <c r="D3489"/>
      <c r="E3489"/>
      <c r="F3489" t="s">
        <v>49</v>
      </c>
    </row>
    <row r="3490" spans="2:6" x14ac:dyDescent="0.2">
      <c r="B3490"/>
      <c r="C3490"/>
      <c r="D3490"/>
      <c r="E3490"/>
      <c r="F3490" t="s">
        <v>27</v>
      </c>
    </row>
    <row r="3491" spans="2:6" x14ac:dyDescent="0.2">
      <c r="B3491"/>
      <c r="C3491"/>
      <c r="D3491"/>
      <c r="E3491"/>
      <c r="F3491" t="s">
        <v>59</v>
      </c>
    </row>
    <row r="3492" spans="2:6" x14ac:dyDescent="0.2">
      <c r="B3492"/>
      <c r="C3492"/>
      <c r="D3492"/>
      <c r="E3492"/>
      <c r="F3492" t="s">
        <v>10</v>
      </c>
    </row>
    <row r="3493" spans="2:6" x14ac:dyDescent="0.2">
      <c r="B3493"/>
      <c r="C3493"/>
      <c r="D3493"/>
      <c r="E3493"/>
      <c r="F3493" t="s">
        <v>21</v>
      </c>
    </row>
    <row r="3494" spans="2:6" x14ac:dyDescent="0.2">
      <c r="B3494"/>
      <c r="C3494"/>
      <c r="D3494"/>
      <c r="E3494"/>
      <c r="F3494" t="s">
        <v>50</v>
      </c>
    </row>
    <row r="3495" spans="2:6" x14ac:dyDescent="0.2">
      <c r="B3495"/>
      <c r="C3495"/>
      <c r="D3495"/>
      <c r="E3495"/>
      <c r="F3495" t="s">
        <v>18</v>
      </c>
    </row>
    <row r="3496" spans="2:6" x14ac:dyDescent="0.2">
      <c r="B3496"/>
      <c r="C3496"/>
      <c r="D3496"/>
      <c r="E3496"/>
      <c r="F3496" t="s">
        <v>11</v>
      </c>
    </row>
    <row r="3497" spans="2:6" x14ac:dyDescent="0.2">
      <c r="B3497"/>
      <c r="C3497"/>
      <c r="D3497"/>
      <c r="E3497"/>
      <c r="F3497" t="s">
        <v>22</v>
      </c>
    </row>
    <row r="3498" spans="2:6" x14ac:dyDescent="0.2">
      <c r="B3498"/>
      <c r="C3498"/>
      <c r="D3498"/>
      <c r="E3498"/>
      <c r="F3498" t="s">
        <v>51</v>
      </c>
    </row>
    <row r="3499" spans="2:6" x14ac:dyDescent="0.2">
      <c r="B3499"/>
      <c r="C3499"/>
      <c r="D3499"/>
      <c r="E3499"/>
      <c r="F3499" t="s">
        <v>39</v>
      </c>
    </row>
    <row r="3500" spans="2:6" x14ac:dyDescent="0.2">
      <c r="B3500"/>
      <c r="C3500"/>
      <c r="D3500"/>
      <c r="E3500"/>
      <c r="F3500" t="s">
        <v>12</v>
      </c>
    </row>
    <row r="3501" spans="2:6" x14ac:dyDescent="0.2">
      <c r="B3501"/>
      <c r="C3501"/>
      <c r="D3501"/>
      <c r="E3501"/>
      <c r="F3501" t="s">
        <v>37</v>
      </c>
    </row>
    <row r="3502" spans="2:6" x14ac:dyDescent="0.2">
      <c r="B3502"/>
      <c r="C3502"/>
      <c r="D3502"/>
      <c r="E3502"/>
      <c r="F3502" t="s">
        <v>13</v>
      </c>
    </row>
    <row r="3503" spans="2:6" x14ac:dyDescent="0.2">
      <c r="B3503"/>
      <c r="C3503"/>
      <c r="D3503"/>
      <c r="E3503"/>
      <c r="F3503" t="s">
        <v>52</v>
      </c>
    </row>
    <row r="3504" spans="2:6" x14ac:dyDescent="0.2">
      <c r="B3504"/>
      <c r="C3504"/>
      <c r="D3504"/>
      <c r="E3504"/>
      <c r="F3504" t="s">
        <v>14</v>
      </c>
    </row>
    <row r="3505" spans="2:6" x14ac:dyDescent="0.2">
      <c r="B3505"/>
      <c r="C3505"/>
      <c r="D3505"/>
      <c r="E3505"/>
      <c r="F3505" t="s">
        <v>15</v>
      </c>
    </row>
    <row r="3506" spans="2:6" x14ac:dyDescent="0.2">
      <c r="B3506"/>
      <c r="C3506"/>
      <c r="D3506"/>
      <c r="E3506"/>
      <c r="F3506" t="s">
        <v>30</v>
      </c>
    </row>
    <row r="3507" spans="2:6" x14ac:dyDescent="0.2">
      <c r="B3507"/>
      <c r="C3507"/>
      <c r="D3507"/>
      <c r="E3507"/>
      <c r="F3507" t="s">
        <v>53</v>
      </c>
    </row>
    <row r="3508" spans="2:6" x14ac:dyDescent="0.2">
      <c r="B3508"/>
      <c r="C3508"/>
      <c r="D3508"/>
      <c r="E3508"/>
      <c r="F3508" t="s">
        <v>31</v>
      </c>
    </row>
    <row r="3509" spans="2:6" x14ac:dyDescent="0.2">
      <c r="B3509"/>
      <c r="C3509"/>
      <c r="D3509"/>
      <c r="E3509"/>
      <c r="F3509" t="s">
        <v>32</v>
      </c>
    </row>
    <row r="3510" spans="2:6" x14ac:dyDescent="0.2">
      <c r="B3510"/>
      <c r="C3510"/>
      <c r="D3510"/>
      <c r="E3510"/>
      <c r="F3510" t="s">
        <v>54</v>
      </c>
    </row>
    <row r="3511" spans="2:6" x14ac:dyDescent="0.2">
      <c r="B3511"/>
      <c r="C3511"/>
      <c r="D3511"/>
      <c r="E3511"/>
      <c r="F3511" t="s">
        <v>38</v>
      </c>
    </row>
    <row r="3512" spans="2:6" x14ac:dyDescent="0.2">
      <c r="B3512"/>
      <c r="C3512"/>
      <c r="D3512"/>
      <c r="E3512"/>
      <c r="F3512" t="s">
        <v>55</v>
      </c>
    </row>
    <row r="3513" spans="2:6" x14ac:dyDescent="0.2">
      <c r="B3513"/>
      <c r="C3513"/>
      <c r="D3513"/>
      <c r="E3513"/>
      <c r="F3513" t="s">
        <v>56</v>
      </c>
    </row>
    <row r="3514" spans="2:6" x14ac:dyDescent="0.2">
      <c r="B3514"/>
      <c r="C3514"/>
      <c r="D3514"/>
      <c r="E3514"/>
      <c r="F3514" t="s">
        <v>33</v>
      </c>
    </row>
    <row r="3515" spans="2:6" x14ac:dyDescent="0.2">
      <c r="B3515"/>
      <c r="C3515"/>
      <c r="D3515"/>
      <c r="E3515"/>
      <c r="F3515" t="s">
        <v>57</v>
      </c>
    </row>
    <row r="3516" spans="2:6" x14ac:dyDescent="0.2">
      <c r="B3516"/>
      <c r="C3516"/>
      <c r="D3516"/>
      <c r="E3516"/>
      <c r="F3516"/>
    </row>
    <row r="3517" spans="2:6" x14ac:dyDescent="0.2">
      <c r="B3517"/>
      <c r="C3517"/>
      <c r="D3517"/>
      <c r="E3517"/>
      <c r="F3517"/>
    </row>
    <row r="3518" spans="2:6" x14ac:dyDescent="0.2">
      <c r="B3518"/>
      <c r="C3518"/>
      <c r="D3518"/>
      <c r="E3518"/>
      <c r="F3518"/>
    </row>
    <row r="3519" spans="2:6" x14ac:dyDescent="0.2">
      <c r="B3519"/>
      <c r="C3519"/>
      <c r="D3519"/>
      <c r="E3519"/>
      <c r="F3519"/>
    </row>
    <row r="3520" spans="2:6" x14ac:dyDescent="0.2">
      <c r="B3520"/>
      <c r="C3520"/>
      <c r="D3520"/>
      <c r="E3520"/>
      <c r="F3520"/>
    </row>
    <row r="3521" spans="2:6" x14ac:dyDescent="0.2">
      <c r="B3521"/>
      <c r="C3521"/>
      <c r="D3521"/>
      <c r="E3521"/>
      <c r="F3521"/>
    </row>
    <row r="3522" spans="2:6" x14ac:dyDescent="0.2">
      <c r="B3522"/>
      <c r="C3522"/>
      <c r="D3522"/>
      <c r="E3522"/>
      <c r="F3522"/>
    </row>
    <row r="3523" spans="2:6" x14ac:dyDescent="0.2">
      <c r="B3523"/>
      <c r="C3523"/>
      <c r="D3523"/>
      <c r="E3523"/>
      <c r="F3523"/>
    </row>
    <row r="3524" spans="2:6" x14ac:dyDescent="0.2">
      <c r="B3524"/>
      <c r="C3524"/>
      <c r="D3524"/>
      <c r="E3524"/>
      <c r="F3524"/>
    </row>
    <row r="3525" spans="2:6" x14ac:dyDescent="0.2">
      <c r="B3525"/>
      <c r="C3525"/>
      <c r="D3525"/>
      <c r="E3525"/>
      <c r="F3525"/>
    </row>
    <row r="3526" spans="2:6" x14ac:dyDescent="0.2">
      <c r="B3526"/>
      <c r="C3526"/>
      <c r="D3526"/>
      <c r="E3526"/>
      <c r="F3526"/>
    </row>
    <row r="3527" spans="2:6" x14ac:dyDescent="0.2">
      <c r="B3527"/>
      <c r="C3527"/>
      <c r="D3527"/>
      <c r="E3527"/>
      <c r="F3527"/>
    </row>
    <row r="3528" spans="2:6" x14ac:dyDescent="0.2">
      <c r="B3528"/>
      <c r="C3528"/>
      <c r="D3528"/>
      <c r="E3528"/>
      <c r="F3528"/>
    </row>
    <row r="3529" spans="2:6" x14ac:dyDescent="0.2">
      <c r="B3529"/>
      <c r="C3529"/>
      <c r="D3529"/>
      <c r="E3529"/>
      <c r="F3529"/>
    </row>
    <row r="3530" spans="2:6" x14ac:dyDescent="0.2">
      <c r="B3530"/>
      <c r="C3530"/>
      <c r="D3530"/>
      <c r="E3530"/>
      <c r="F3530"/>
    </row>
    <row r="3531" spans="2:6" x14ac:dyDescent="0.2">
      <c r="B3531"/>
      <c r="C3531"/>
      <c r="D3531"/>
      <c r="E3531"/>
      <c r="F3531"/>
    </row>
  </sheetData>
  <mergeCells count="2">
    <mergeCell ref="N3:O3"/>
    <mergeCell ref="G1:I1"/>
  </mergeCells>
  <pageMargins left="0.45" right="0.45" top="0.25" bottom="0.5" header="0.3" footer="0.3"/>
  <pageSetup scale="85" fitToHeight="0" orientation="landscape" r:id="rId2"/>
  <headerFooter>
    <oddFooter>&amp;RPage &amp;P of &amp;N</oddFooter>
  </headerFooter>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7BD81-AC12-465F-B6F2-641A8C1D72E7}">
  <sheetPr codeName="Sheet2"/>
  <dimension ref="A1:W3531"/>
  <sheetViews>
    <sheetView zoomScale="85" zoomScaleNormal="85" workbookViewId="0">
      <selection activeCell="B29" sqref="B29"/>
    </sheetView>
  </sheetViews>
  <sheetFormatPr baseColWidth="10" defaultColWidth="8.83203125" defaultRowHeight="15" x14ac:dyDescent="0.2"/>
  <cols>
    <col min="1" max="1" width="10.83203125" bestFit="1" customWidth="1"/>
    <col min="2" max="2" width="37.1640625" customWidth="1"/>
    <col min="3" max="3" width="8.6640625" bestFit="1" customWidth="1"/>
    <col min="4" max="4" width="60.6640625" bestFit="1" customWidth="1"/>
    <col min="5" max="5" width="17.5" bestFit="1" customWidth="1"/>
    <col min="6" max="6" width="9" bestFit="1" customWidth="1"/>
    <col min="7" max="7" width="23.33203125" style="4" bestFit="1" customWidth="1"/>
    <col min="8" max="8" width="20.1640625" bestFit="1" customWidth="1"/>
    <col min="10" max="10" width="63.5" bestFit="1" customWidth="1"/>
    <col min="11" max="11" width="7.83203125" bestFit="1" customWidth="1"/>
    <col min="17" max="17" width="65.33203125" bestFit="1" customWidth="1"/>
    <col min="18" max="20" width="9.1640625" style="2"/>
  </cols>
  <sheetData>
    <row r="1" spans="1:23" x14ac:dyDescent="0.2">
      <c r="A1" s="55" t="s">
        <v>349</v>
      </c>
      <c r="B1" s="55"/>
      <c r="D1" s="2"/>
      <c r="E1" s="2"/>
      <c r="F1" s="2"/>
      <c r="J1" s="3" t="s">
        <v>1</v>
      </c>
      <c r="K1" t="s">
        <v>970</v>
      </c>
    </row>
    <row r="2" spans="1:23" x14ac:dyDescent="0.2">
      <c r="A2" s="1">
        <v>45828</v>
      </c>
      <c r="D2" s="7" cm="1">
        <f t="array" ref="D2">SUMPRODUCT(1/COUNTIF(Prequal[FIRM], Prequal[FIRM]))</f>
        <v>414.99999999999085</v>
      </c>
      <c r="E2" s="7"/>
      <c r="F2" s="7"/>
      <c r="G2" s="25"/>
      <c r="J2" s="4">
        <f>COUNTA(J4:J400)</f>
        <v>155</v>
      </c>
    </row>
    <row r="3" spans="1:23" x14ac:dyDescent="0.2">
      <c r="B3" t="s">
        <v>0</v>
      </c>
      <c r="C3" t="s">
        <v>1</v>
      </c>
      <c r="D3" t="s">
        <v>2</v>
      </c>
      <c r="E3" t="s">
        <v>506</v>
      </c>
      <c r="F3" t="s">
        <v>507</v>
      </c>
      <c r="G3" s="4" t="s">
        <v>544</v>
      </c>
      <c r="H3" s="20" t="s">
        <v>508</v>
      </c>
      <c r="J3" s="3" t="s">
        <v>350</v>
      </c>
      <c r="L3" s="21" t="s">
        <v>509</v>
      </c>
      <c r="Q3" t="s">
        <v>2</v>
      </c>
      <c r="R3" s="2" t="s">
        <v>524</v>
      </c>
      <c r="S3" s="2" t="s">
        <v>525</v>
      </c>
      <c r="T3" s="2" t="s">
        <v>526</v>
      </c>
      <c r="V3" s="24"/>
      <c r="W3" s="24"/>
    </row>
    <row r="4" spans="1:23" x14ac:dyDescent="0.2">
      <c r="B4" s="27" t="s">
        <v>946</v>
      </c>
      <c r="C4" s="28" t="s">
        <v>969</v>
      </c>
      <c r="D4" s="29" t="s">
        <v>70</v>
      </c>
      <c r="E4" s="30" t="s">
        <v>947</v>
      </c>
      <c r="F4" s="28" t="s">
        <v>356</v>
      </c>
      <c r="G4" s="30" t="s">
        <v>948</v>
      </c>
      <c r="H4" t="str">
        <f>CONCATENATE(Prequal[[#This Row],[CITY]], ", ",Prequal[[#This Row],[STATE]])</f>
        <v>Chicago, IL</v>
      </c>
      <c r="J4" s="4" t="s">
        <v>3</v>
      </c>
      <c r="Q4" t="s">
        <v>5</v>
      </c>
      <c r="R4" s="2">
        <f>COUNTIFS(Prequal[PRE-QUAL CATEGORIES],Table2[[#This Row],[PRE-QUAL CATEGORIES]])</f>
        <v>208</v>
      </c>
      <c r="S4" s="2">
        <f>COUNTIFS(Prequal[PRE-QUAL CATEGORIES],Table2[[#This Row],[PRE-QUAL CATEGORIES]],Prequal[IS DBE],TRUE)</f>
        <v>0</v>
      </c>
      <c r="T4" s="2">
        <f>Table2[[#This Row],['#]]-Table2[[#This Row],[DBE]]</f>
        <v>208</v>
      </c>
      <c r="V4" s="24">
        <f>Table2[[#This Row],[DBE]]/Table2[[#This Row],['#]]</f>
        <v>0</v>
      </c>
      <c r="W4" s="24">
        <f>Table2[[#This Row],[NON DBE]]/Table2[[#This Row],['#]]</f>
        <v>1</v>
      </c>
    </row>
    <row r="5" spans="1:23" x14ac:dyDescent="0.2">
      <c r="B5" s="27" t="s">
        <v>946</v>
      </c>
      <c r="C5" s="28" t="s">
        <v>969</v>
      </c>
      <c r="D5" s="29" t="s">
        <v>976</v>
      </c>
      <c r="E5" s="30" t="s">
        <v>947</v>
      </c>
      <c r="F5" s="28" t="s">
        <v>356</v>
      </c>
      <c r="G5" s="30" t="s">
        <v>948</v>
      </c>
      <c r="H5" t="str">
        <f>CONCATENATE(Prequal[[#This Row],[CITY]], ", ",Prequal[[#This Row],[STATE]])</f>
        <v>Chicago, IL</v>
      </c>
      <c r="J5" s="4" t="s">
        <v>16</v>
      </c>
      <c r="Q5" t="s">
        <v>10</v>
      </c>
      <c r="R5" s="2">
        <f>COUNTIFS(Prequal[PRE-QUAL CATEGORIES],Table2[[#This Row],[PRE-QUAL CATEGORIES]])</f>
        <v>194</v>
      </c>
      <c r="S5" s="2">
        <f>COUNTIFS(Prequal[PRE-QUAL CATEGORIES],Table2[[#This Row],[PRE-QUAL CATEGORIES]],Prequal[IS DBE],TRUE)</f>
        <v>0</v>
      </c>
      <c r="T5" s="2">
        <f>Table2[[#This Row],['#]]-Table2[[#This Row],[DBE]]</f>
        <v>194</v>
      </c>
      <c r="V5" s="24">
        <f>Table2[[#This Row],[DBE]]/Table2[[#This Row],['#]]</f>
        <v>0</v>
      </c>
      <c r="W5" s="24">
        <f>Table2[[#This Row],[NON DBE]]/Table2[[#This Row],['#]]</f>
        <v>1</v>
      </c>
    </row>
    <row r="6" spans="1:23" x14ac:dyDescent="0.2">
      <c r="B6" s="27" t="s">
        <v>946</v>
      </c>
      <c r="C6" s="28" t="s">
        <v>969</v>
      </c>
      <c r="D6" s="29" t="s">
        <v>978</v>
      </c>
      <c r="E6" s="30" t="s">
        <v>947</v>
      </c>
      <c r="F6" s="28" t="s">
        <v>356</v>
      </c>
      <c r="G6" s="30" t="s">
        <v>948</v>
      </c>
      <c r="H6" t="str">
        <f>CONCATENATE(Prequal[[#This Row],[CITY]], ", ",Prequal[[#This Row],[STATE]])</f>
        <v>Chicago, IL</v>
      </c>
      <c r="J6" s="4" t="s">
        <v>17</v>
      </c>
      <c r="Q6" t="s">
        <v>9</v>
      </c>
      <c r="R6" s="2">
        <f>COUNTIFS(Prequal[PRE-QUAL CATEGORIES],Table2[[#This Row],[PRE-QUAL CATEGORIES]])</f>
        <v>155</v>
      </c>
      <c r="S6" s="2">
        <f>COUNTIFS(Prequal[PRE-QUAL CATEGORIES],Table2[[#This Row],[PRE-QUAL CATEGORIES]],Prequal[IS DBE],TRUE)</f>
        <v>0</v>
      </c>
      <c r="T6" s="2">
        <f>Table2[[#This Row],['#]]-Table2[[#This Row],[DBE]]</f>
        <v>155</v>
      </c>
      <c r="V6" s="24">
        <f>Table2[[#This Row],[DBE]]/Table2[[#This Row],['#]]</f>
        <v>0</v>
      </c>
      <c r="W6" s="24">
        <f>Table2[[#This Row],[NON DBE]]/Table2[[#This Row],['#]]</f>
        <v>1</v>
      </c>
    </row>
    <row r="7" spans="1:23" x14ac:dyDescent="0.2">
      <c r="B7" s="27" t="s">
        <v>877</v>
      </c>
      <c r="C7" s="28" t="s">
        <v>970</v>
      </c>
      <c r="D7" s="29" t="s">
        <v>30</v>
      </c>
      <c r="E7" s="30" t="s">
        <v>947</v>
      </c>
      <c r="F7" s="28" t="s">
        <v>356</v>
      </c>
      <c r="G7" s="30" t="s">
        <v>878</v>
      </c>
      <c r="H7" t="str">
        <f>CONCATENATE(Prequal[[#This Row],[CITY]], ", ",Prequal[[#This Row],[STATE]])</f>
        <v>Chicago, IL</v>
      </c>
      <c r="J7" s="4" t="s">
        <v>19</v>
      </c>
      <c r="Q7" t="s">
        <v>14</v>
      </c>
      <c r="R7" s="2">
        <f>COUNTIFS(Prequal[PRE-QUAL CATEGORIES],Table2[[#This Row],[PRE-QUAL CATEGORIES]])</f>
        <v>145</v>
      </c>
      <c r="S7" s="2">
        <f>COUNTIFS(Prequal[PRE-QUAL CATEGORIES],Table2[[#This Row],[PRE-QUAL CATEGORIES]],Prequal[IS DBE],TRUE)</f>
        <v>0</v>
      </c>
      <c r="T7" s="2">
        <f>Table2[[#This Row],['#]]-Table2[[#This Row],[DBE]]</f>
        <v>145</v>
      </c>
      <c r="V7" s="24">
        <f>Table2[[#This Row],[DBE]]/Table2[[#This Row],['#]]</f>
        <v>0</v>
      </c>
      <c r="W7" s="24">
        <f>Table2[[#This Row],[NON DBE]]/Table2[[#This Row],['#]]</f>
        <v>1</v>
      </c>
    </row>
    <row r="8" spans="1:23" x14ac:dyDescent="0.2">
      <c r="B8" s="27" t="s">
        <v>877</v>
      </c>
      <c r="C8" s="28" t="s">
        <v>970</v>
      </c>
      <c r="D8" s="29" t="s">
        <v>31</v>
      </c>
      <c r="E8" s="30" t="s">
        <v>947</v>
      </c>
      <c r="F8" s="28" t="s">
        <v>356</v>
      </c>
      <c r="G8" s="30" t="s">
        <v>878</v>
      </c>
      <c r="H8" t="str">
        <f>CONCATENATE(Prequal[[#This Row],[CITY]], ", ",Prequal[[#This Row],[STATE]])</f>
        <v>Chicago, IL</v>
      </c>
      <c r="J8" s="4" t="s">
        <v>23</v>
      </c>
      <c r="Q8" t="s">
        <v>15</v>
      </c>
      <c r="R8" s="2">
        <f>COUNTIFS(Prequal[PRE-QUAL CATEGORIES],Table2[[#This Row],[PRE-QUAL CATEGORIES]])</f>
        <v>141</v>
      </c>
      <c r="S8" s="2">
        <f>COUNTIFS(Prequal[PRE-QUAL CATEGORIES],Table2[[#This Row],[PRE-QUAL CATEGORIES]],Prequal[IS DBE],TRUE)</f>
        <v>0</v>
      </c>
      <c r="T8" s="2">
        <f>Table2[[#This Row],['#]]-Table2[[#This Row],[DBE]]</f>
        <v>141</v>
      </c>
      <c r="V8" s="24">
        <f>Table2[[#This Row],[DBE]]/Table2[[#This Row],['#]]</f>
        <v>0</v>
      </c>
      <c r="W8" s="24">
        <f>Table2[[#This Row],[NON DBE]]/Table2[[#This Row],['#]]</f>
        <v>1</v>
      </c>
    </row>
    <row r="9" spans="1:23" x14ac:dyDescent="0.2">
      <c r="B9" s="27" t="s">
        <v>877</v>
      </c>
      <c r="C9" s="28" t="s">
        <v>970</v>
      </c>
      <c r="D9" s="29" t="s">
        <v>32</v>
      </c>
      <c r="E9" s="30" t="s">
        <v>947</v>
      </c>
      <c r="F9" s="28" t="s">
        <v>356</v>
      </c>
      <c r="G9" s="30" t="s">
        <v>878</v>
      </c>
      <c r="H9" t="str">
        <f>CONCATENATE(Prequal[[#This Row],[CITY]], ", ",Prequal[[#This Row],[STATE]])</f>
        <v>Chicago, IL</v>
      </c>
      <c r="J9" s="4" t="s">
        <v>34</v>
      </c>
      <c r="Q9" t="s">
        <v>27</v>
      </c>
      <c r="R9" s="2">
        <f>COUNTIFS(Prequal[PRE-QUAL CATEGORIES],Table2[[#This Row],[PRE-QUAL CATEGORIES]])</f>
        <v>130</v>
      </c>
      <c r="S9" s="2">
        <f>COUNTIFS(Prequal[PRE-QUAL CATEGORIES],Table2[[#This Row],[PRE-QUAL CATEGORIES]],Prequal[IS DBE],TRUE)</f>
        <v>0</v>
      </c>
      <c r="T9" s="2">
        <f>Table2[[#This Row],['#]]-Table2[[#This Row],[DBE]]</f>
        <v>130</v>
      </c>
      <c r="V9" s="24"/>
      <c r="W9" s="24"/>
    </row>
    <row r="10" spans="1:23" x14ac:dyDescent="0.2">
      <c r="B10" s="27" t="s">
        <v>877</v>
      </c>
      <c r="C10" s="28" t="s">
        <v>970</v>
      </c>
      <c r="D10" s="29" t="s">
        <v>38</v>
      </c>
      <c r="E10" s="30" t="s">
        <v>947</v>
      </c>
      <c r="F10" s="28" t="s">
        <v>356</v>
      </c>
      <c r="G10" s="30" t="s">
        <v>878</v>
      </c>
      <c r="H10" t="str">
        <f>CONCATENATE(Prequal[[#This Row],[CITY]], ", ",Prequal[[#This Row],[STATE]])</f>
        <v>Chicago, IL</v>
      </c>
      <c r="J10" s="4" t="s">
        <v>58</v>
      </c>
      <c r="Q10" t="s">
        <v>25</v>
      </c>
      <c r="R10" s="2">
        <f>COUNTIFS(Prequal[PRE-QUAL CATEGORIES],Table2[[#This Row],[PRE-QUAL CATEGORIES]])</f>
        <v>131</v>
      </c>
      <c r="S10" s="2">
        <f>COUNTIFS(Prequal[PRE-QUAL CATEGORIES],Table2[[#This Row],[PRE-QUAL CATEGORIES]],Prequal[IS DBE],TRUE)</f>
        <v>0</v>
      </c>
      <c r="T10" s="2">
        <f>Table2[[#This Row],['#]]-Table2[[#This Row],[DBE]]</f>
        <v>131</v>
      </c>
      <c r="V10" s="24"/>
      <c r="W10" s="24"/>
    </row>
    <row r="11" spans="1:23" x14ac:dyDescent="0.2">
      <c r="B11" s="27" t="s">
        <v>949</v>
      </c>
      <c r="C11" s="28" t="s">
        <v>970</v>
      </c>
      <c r="D11" s="29" t="s">
        <v>70</v>
      </c>
      <c r="E11" s="30" t="s">
        <v>947</v>
      </c>
      <c r="F11" s="28" t="s">
        <v>356</v>
      </c>
      <c r="G11" s="30" t="s">
        <v>950</v>
      </c>
      <c r="H11" t="str">
        <f>CONCATENATE(Prequal[[#This Row],[CITY]], ", ",Prequal[[#This Row],[STATE]])</f>
        <v>Chicago, IL</v>
      </c>
      <c r="J11" s="4" t="s">
        <v>60</v>
      </c>
      <c r="Q11" t="s">
        <v>8</v>
      </c>
      <c r="R11" s="2">
        <f>COUNTIFS(Prequal[PRE-QUAL CATEGORIES],Table2[[#This Row],[PRE-QUAL CATEGORIES]])</f>
        <v>120</v>
      </c>
      <c r="S11" s="2">
        <f>COUNTIFS(Prequal[PRE-QUAL CATEGORIES],Table2[[#This Row],[PRE-QUAL CATEGORIES]],Prequal[IS DBE],TRUE)</f>
        <v>0</v>
      </c>
      <c r="T11" s="2">
        <f>Table2[[#This Row],['#]]-Table2[[#This Row],[DBE]]</f>
        <v>120</v>
      </c>
    </row>
    <row r="12" spans="1:23" x14ac:dyDescent="0.2">
      <c r="B12" s="27" t="s">
        <v>949</v>
      </c>
      <c r="C12" s="28" t="s">
        <v>970</v>
      </c>
      <c r="D12" s="29" t="s">
        <v>976</v>
      </c>
      <c r="E12" s="30" t="s">
        <v>947</v>
      </c>
      <c r="F12" s="28" t="s">
        <v>356</v>
      </c>
      <c r="G12" s="30" t="s">
        <v>950</v>
      </c>
      <c r="H12" t="str">
        <f>CONCATENATE(Prequal[[#This Row],[CITY]], ", ",Prequal[[#This Row],[STATE]])</f>
        <v>Chicago, IL</v>
      </c>
      <c r="J12" s="4" t="s">
        <v>64</v>
      </c>
      <c r="Q12" t="s">
        <v>4</v>
      </c>
      <c r="R12" s="2">
        <f>COUNTIFS(Prequal[PRE-QUAL CATEGORIES],Table2[[#This Row],[PRE-QUAL CATEGORIES]])</f>
        <v>125</v>
      </c>
      <c r="S12" s="2">
        <f>COUNTIFS(Prequal[PRE-QUAL CATEGORIES],Table2[[#This Row],[PRE-QUAL CATEGORIES]],Prequal[IS DBE],TRUE)</f>
        <v>0</v>
      </c>
      <c r="T12" s="2">
        <f>Table2[[#This Row],['#]]-Table2[[#This Row],[DBE]]</f>
        <v>125</v>
      </c>
    </row>
    <row r="13" spans="1:23" x14ac:dyDescent="0.2">
      <c r="B13" s="27" t="s">
        <v>949</v>
      </c>
      <c r="C13" s="28" t="s">
        <v>970</v>
      </c>
      <c r="D13" s="29" t="s">
        <v>978</v>
      </c>
      <c r="E13" s="30" t="s">
        <v>947</v>
      </c>
      <c r="F13" s="28" t="s">
        <v>356</v>
      </c>
      <c r="G13" s="30" t="s">
        <v>950</v>
      </c>
      <c r="H13" t="str">
        <f>CONCATENATE(Prequal[[#This Row],[CITY]], ", ",Prequal[[#This Row],[STATE]])</f>
        <v>Chicago, IL</v>
      </c>
      <c r="J13" s="4" t="s">
        <v>66</v>
      </c>
      <c r="Q13" t="s">
        <v>31</v>
      </c>
      <c r="R13" s="2">
        <f>COUNTIFS(Prequal[PRE-QUAL CATEGORIES],Table2[[#This Row],[PRE-QUAL CATEGORIES]])</f>
        <v>125</v>
      </c>
      <c r="S13" s="2">
        <f>COUNTIFS(Prequal[PRE-QUAL CATEGORIES],Table2[[#This Row],[PRE-QUAL CATEGORIES]],Prequal[IS DBE],TRUE)</f>
        <v>0</v>
      </c>
      <c r="T13" s="2">
        <f>Table2[[#This Row],['#]]-Table2[[#This Row],[DBE]]</f>
        <v>125</v>
      </c>
    </row>
    <row r="14" spans="1:23" x14ac:dyDescent="0.2">
      <c r="B14" s="27" t="s">
        <v>3</v>
      </c>
      <c r="C14" s="28" t="s">
        <v>970</v>
      </c>
      <c r="D14" s="29" t="s">
        <v>4</v>
      </c>
      <c r="E14" s="30" t="s">
        <v>947</v>
      </c>
      <c r="F14" s="28" t="s">
        <v>356</v>
      </c>
      <c r="G14" s="30" t="s">
        <v>545</v>
      </c>
      <c r="H14" t="str">
        <f>CONCATENATE(Prequal[[#This Row],[CITY]], ", ",Prequal[[#This Row],[STATE]])</f>
        <v>Chicago, IL</v>
      </c>
      <c r="J14" s="4" t="s">
        <v>67</v>
      </c>
      <c r="Q14" t="s">
        <v>29</v>
      </c>
      <c r="R14" s="2">
        <f>COUNTIFS(Prequal[PRE-QUAL CATEGORIES],Table2[[#This Row],[PRE-QUAL CATEGORIES]])</f>
        <v>122</v>
      </c>
      <c r="S14" s="2">
        <f>COUNTIFS(Prequal[PRE-QUAL CATEGORIES],Table2[[#This Row],[PRE-QUAL CATEGORIES]],Prequal[IS DBE],TRUE)</f>
        <v>0</v>
      </c>
      <c r="T14" s="2">
        <f>Table2[[#This Row],['#]]-Table2[[#This Row],[DBE]]</f>
        <v>122</v>
      </c>
    </row>
    <row r="15" spans="1:23" x14ac:dyDescent="0.2">
      <c r="B15" s="27" t="s">
        <v>3</v>
      </c>
      <c r="C15" s="28" t="s">
        <v>970</v>
      </c>
      <c r="D15" s="29" t="s">
        <v>5</v>
      </c>
      <c r="E15" s="30" t="s">
        <v>947</v>
      </c>
      <c r="F15" s="28" t="s">
        <v>356</v>
      </c>
      <c r="G15" s="30" t="s">
        <v>545</v>
      </c>
      <c r="H15" t="str">
        <f>CONCATENATE(Prequal[[#This Row],[CITY]], ", ",Prequal[[#This Row],[STATE]])</f>
        <v>Chicago, IL</v>
      </c>
      <c r="J15" s="4" t="s">
        <v>71</v>
      </c>
      <c r="Q15" t="s">
        <v>32</v>
      </c>
      <c r="R15" s="2">
        <f>COUNTIFS(Prequal[PRE-QUAL CATEGORIES],Table2[[#This Row],[PRE-QUAL CATEGORIES]])</f>
        <v>118</v>
      </c>
      <c r="S15" s="2">
        <f>COUNTIFS(Prequal[PRE-QUAL CATEGORIES],Table2[[#This Row],[PRE-QUAL CATEGORIES]],Prequal[IS DBE],TRUE)</f>
        <v>0</v>
      </c>
      <c r="T15" s="2">
        <f>Table2[[#This Row],['#]]-Table2[[#This Row],[DBE]]</f>
        <v>118</v>
      </c>
    </row>
    <row r="16" spans="1:23" x14ac:dyDescent="0.2">
      <c r="B16" s="27" t="s">
        <v>3</v>
      </c>
      <c r="C16" s="28" t="s">
        <v>970</v>
      </c>
      <c r="D16" s="29" t="s">
        <v>6</v>
      </c>
      <c r="E16" s="30" t="s">
        <v>947</v>
      </c>
      <c r="F16" s="28" t="s">
        <v>356</v>
      </c>
      <c r="G16" s="30" t="s">
        <v>545</v>
      </c>
      <c r="H16" t="str">
        <f>CONCATENATE(Prequal[[#This Row],[CITY]], ", ",Prequal[[#This Row],[STATE]])</f>
        <v>Chicago, IL</v>
      </c>
      <c r="J16" s="4" t="s">
        <v>76</v>
      </c>
      <c r="Q16" t="s">
        <v>13</v>
      </c>
      <c r="R16" s="2">
        <f>COUNTIFS(Prequal[PRE-QUAL CATEGORIES],Table2[[#This Row],[PRE-QUAL CATEGORIES]])</f>
        <v>114</v>
      </c>
      <c r="S16" s="2">
        <f>COUNTIFS(Prequal[PRE-QUAL CATEGORIES],Table2[[#This Row],[PRE-QUAL CATEGORIES]],Prequal[IS DBE],TRUE)</f>
        <v>0</v>
      </c>
      <c r="T16" s="2">
        <f>Table2[[#This Row],['#]]-Table2[[#This Row],[DBE]]</f>
        <v>114</v>
      </c>
    </row>
    <row r="17" spans="2:20" x14ac:dyDescent="0.2">
      <c r="B17" s="27" t="s">
        <v>3</v>
      </c>
      <c r="C17" s="28" t="s">
        <v>970</v>
      </c>
      <c r="D17" s="29" t="s">
        <v>7</v>
      </c>
      <c r="E17" s="30" t="s">
        <v>947</v>
      </c>
      <c r="F17" s="28" t="s">
        <v>356</v>
      </c>
      <c r="G17" s="30" t="s">
        <v>545</v>
      </c>
      <c r="H17" t="str">
        <f>CONCATENATE(Prequal[[#This Row],[CITY]], ", ",Prequal[[#This Row],[STATE]])</f>
        <v>Chicago, IL</v>
      </c>
      <c r="J17" s="4" t="s">
        <v>78</v>
      </c>
      <c r="Q17" t="s">
        <v>12</v>
      </c>
      <c r="R17" s="2">
        <f>COUNTIFS(Prequal[PRE-QUAL CATEGORIES],Table2[[#This Row],[PRE-QUAL CATEGORIES]])</f>
        <v>93</v>
      </c>
      <c r="S17" s="2">
        <f>COUNTIFS(Prequal[PRE-QUAL CATEGORIES],Table2[[#This Row],[PRE-QUAL CATEGORIES]],Prequal[IS DBE],TRUE)</f>
        <v>0</v>
      </c>
      <c r="T17" s="2">
        <f>Table2[[#This Row],['#]]-Table2[[#This Row],[DBE]]</f>
        <v>93</v>
      </c>
    </row>
    <row r="18" spans="2:20" x14ac:dyDescent="0.2">
      <c r="B18" s="27" t="s">
        <v>3</v>
      </c>
      <c r="C18" s="28" t="s">
        <v>970</v>
      </c>
      <c r="D18" s="29" t="s">
        <v>8</v>
      </c>
      <c r="E18" s="30" t="s">
        <v>947</v>
      </c>
      <c r="F18" s="28" t="s">
        <v>356</v>
      </c>
      <c r="G18" s="30" t="s">
        <v>545</v>
      </c>
      <c r="H18" t="str">
        <f>CONCATENATE(Prequal[[#This Row],[CITY]], ", ",Prequal[[#This Row],[STATE]])</f>
        <v>Chicago, IL</v>
      </c>
      <c r="J18" s="4" t="s">
        <v>79</v>
      </c>
      <c r="Q18" t="s">
        <v>37</v>
      </c>
      <c r="R18" s="2">
        <f>COUNTIFS(Prequal[PRE-QUAL CATEGORIES],Table2[[#This Row],[PRE-QUAL CATEGORIES]])</f>
        <v>94</v>
      </c>
      <c r="S18" s="2">
        <f>COUNTIFS(Prequal[PRE-QUAL CATEGORIES],Table2[[#This Row],[PRE-QUAL CATEGORIES]],Prequal[IS DBE],TRUE)</f>
        <v>0</v>
      </c>
      <c r="T18" s="2">
        <f>Table2[[#This Row],['#]]-Table2[[#This Row],[DBE]]</f>
        <v>94</v>
      </c>
    </row>
    <row r="19" spans="2:20" x14ac:dyDescent="0.2">
      <c r="B19" s="27" t="s">
        <v>3</v>
      </c>
      <c r="C19" s="28" t="s">
        <v>970</v>
      </c>
      <c r="D19" s="29" t="s">
        <v>9</v>
      </c>
      <c r="E19" s="30" t="s">
        <v>947</v>
      </c>
      <c r="F19" s="28" t="s">
        <v>356</v>
      </c>
      <c r="G19" s="30" t="s">
        <v>545</v>
      </c>
      <c r="H19" t="str">
        <f>CONCATENATE(Prequal[[#This Row],[CITY]], ", ",Prequal[[#This Row],[STATE]])</f>
        <v>Chicago, IL</v>
      </c>
      <c r="J19" s="4" t="s">
        <v>84</v>
      </c>
      <c r="Q19" t="s">
        <v>7</v>
      </c>
      <c r="R19" s="2">
        <f>COUNTIFS(Prequal[PRE-QUAL CATEGORIES],Table2[[#This Row],[PRE-QUAL CATEGORIES]])</f>
        <v>90</v>
      </c>
      <c r="S19" s="2">
        <f>COUNTIFS(Prequal[PRE-QUAL CATEGORIES],Table2[[#This Row],[PRE-QUAL CATEGORIES]],Prequal[IS DBE],TRUE)</f>
        <v>0</v>
      </c>
      <c r="T19" s="2">
        <f>Table2[[#This Row],['#]]-Table2[[#This Row],[DBE]]</f>
        <v>90</v>
      </c>
    </row>
    <row r="20" spans="2:20" x14ac:dyDescent="0.2">
      <c r="B20" s="27" t="s">
        <v>3</v>
      </c>
      <c r="C20" s="28" t="s">
        <v>970</v>
      </c>
      <c r="D20" s="29" t="s">
        <v>10</v>
      </c>
      <c r="E20" s="30" t="s">
        <v>947</v>
      </c>
      <c r="F20" s="28" t="s">
        <v>356</v>
      </c>
      <c r="G20" s="30" t="s">
        <v>545</v>
      </c>
      <c r="H20" t="str">
        <f>CONCATENATE(Prequal[[#This Row],[CITY]], ", ",Prequal[[#This Row],[STATE]])</f>
        <v>Chicago, IL</v>
      </c>
      <c r="J20" s="4" t="s">
        <v>90</v>
      </c>
      <c r="Q20" t="s">
        <v>24</v>
      </c>
      <c r="R20" s="2">
        <f>COUNTIFS(Prequal[PRE-QUAL CATEGORIES],Table2[[#This Row],[PRE-QUAL CATEGORIES]])</f>
        <v>82</v>
      </c>
      <c r="S20" s="2">
        <f>COUNTIFS(Prequal[PRE-QUAL CATEGORIES],Table2[[#This Row],[PRE-QUAL CATEGORIES]],Prequal[IS DBE],TRUE)</f>
        <v>0</v>
      </c>
      <c r="T20" s="2">
        <f>Table2[[#This Row],['#]]-Table2[[#This Row],[DBE]]</f>
        <v>82</v>
      </c>
    </row>
    <row r="21" spans="2:20" x14ac:dyDescent="0.2">
      <c r="B21" s="27" t="s">
        <v>3</v>
      </c>
      <c r="C21" s="28" t="s">
        <v>970</v>
      </c>
      <c r="D21" s="29" t="s">
        <v>11</v>
      </c>
      <c r="E21" s="30" t="s">
        <v>947</v>
      </c>
      <c r="F21" s="28" t="s">
        <v>356</v>
      </c>
      <c r="G21" s="30" t="s">
        <v>545</v>
      </c>
      <c r="H21" t="str">
        <f>CONCATENATE(Prequal[[#This Row],[CITY]], ", ",Prequal[[#This Row],[STATE]])</f>
        <v>Chicago, IL</v>
      </c>
      <c r="J21" s="4" t="s">
        <v>97</v>
      </c>
      <c r="Q21" t="s">
        <v>30</v>
      </c>
      <c r="R21" s="2">
        <f>COUNTIFS(Prequal[PRE-QUAL CATEGORIES],Table2[[#This Row],[PRE-QUAL CATEGORIES]])</f>
        <v>81</v>
      </c>
      <c r="S21" s="2">
        <f>COUNTIFS(Prequal[PRE-QUAL CATEGORIES],Table2[[#This Row],[PRE-QUAL CATEGORIES]],Prequal[IS DBE],TRUE)</f>
        <v>0</v>
      </c>
      <c r="T21" s="2">
        <f>Table2[[#This Row],['#]]-Table2[[#This Row],[DBE]]</f>
        <v>81</v>
      </c>
    </row>
    <row r="22" spans="2:20" x14ac:dyDescent="0.2">
      <c r="B22" s="27" t="s">
        <v>3</v>
      </c>
      <c r="C22" s="28" t="s">
        <v>970</v>
      </c>
      <c r="D22" s="29" t="s">
        <v>51</v>
      </c>
      <c r="E22" s="30" t="s">
        <v>947</v>
      </c>
      <c r="F22" s="28" t="s">
        <v>356</v>
      </c>
      <c r="G22" s="30" t="s">
        <v>545</v>
      </c>
      <c r="H22" t="str">
        <f>CONCATENATE(Prequal[[#This Row],[CITY]], ", ",Prequal[[#This Row],[STATE]])</f>
        <v>Chicago, IL</v>
      </c>
      <c r="J22" s="4" t="s">
        <v>103</v>
      </c>
      <c r="Q22" t="s">
        <v>21</v>
      </c>
      <c r="R22" s="2">
        <f>COUNTIFS(Prequal[PRE-QUAL CATEGORIES],Table2[[#This Row],[PRE-QUAL CATEGORIES]])</f>
        <v>68</v>
      </c>
      <c r="S22" s="2">
        <f>COUNTIFS(Prequal[PRE-QUAL CATEGORIES],Table2[[#This Row],[PRE-QUAL CATEGORIES]],Prequal[IS DBE],TRUE)</f>
        <v>0</v>
      </c>
      <c r="T22" s="2">
        <f>Table2[[#This Row],['#]]-Table2[[#This Row],[DBE]]</f>
        <v>68</v>
      </c>
    </row>
    <row r="23" spans="2:20" x14ac:dyDescent="0.2">
      <c r="B23" s="27" t="s">
        <v>3</v>
      </c>
      <c r="C23" s="28" t="s">
        <v>970</v>
      </c>
      <c r="D23" s="29" t="s">
        <v>12</v>
      </c>
      <c r="E23" s="30" t="s">
        <v>947</v>
      </c>
      <c r="F23" s="28" t="s">
        <v>356</v>
      </c>
      <c r="G23" s="30" t="s">
        <v>545</v>
      </c>
      <c r="H23" t="str">
        <f>CONCATENATE(Prequal[[#This Row],[CITY]], ", ",Prequal[[#This Row],[STATE]])</f>
        <v>Chicago, IL</v>
      </c>
      <c r="J23" s="4" t="s">
        <v>104</v>
      </c>
      <c r="Q23" t="s">
        <v>38</v>
      </c>
      <c r="R23" s="2">
        <f>COUNTIFS(Prequal[PRE-QUAL CATEGORIES],Table2[[#This Row],[PRE-QUAL CATEGORIES]])</f>
        <v>58</v>
      </c>
      <c r="S23" s="2">
        <f>COUNTIFS(Prequal[PRE-QUAL CATEGORIES],Table2[[#This Row],[PRE-QUAL CATEGORIES]],Prequal[IS DBE],TRUE)</f>
        <v>0</v>
      </c>
      <c r="T23" s="2">
        <f>Table2[[#This Row],['#]]-Table2[[#This Row],[DBE]]</f>
        <v>58</v>
      </c>
    </row>
    <row r="24" spans="2:20" x14ac:dyDescent="0.2">
      <c r="B24" s="27" t="s">
        <v>3</v>
      </c>
      <c r="C24" s="28" t="s">
        <v>970</v>
      </c>
      <c r="D24" s="29" t="s">
        <v>13</v>
      </c>
      <c r="E24" s="30" t="s">
        <v>947</v>
      </c>
      <c r="F24" s="28" t="s">
        <v>356</v>
      </c>
      <c r="G24" s="30" t="s">
        <v>545</v>
      </c>
      <c r="H24" t="str">
        <f>CONCATENATE(Prequal[[#This Row],[CITY]], ", ",Prequal[[#This Row],[STATE]])</f>
        <v>Chicago, IL</v>
      </c>
      <c r="J24" s="4" t="s">
        <v>106</v>
      </c>
      <c r="Q24" t="s">
        <v>6</v>
      </c>
      <c r="R24" s="2">
        <f>COUNTIFS(Prequal[PRE-QUAL CATEGORIES],Table2[[#This Row],[PRE-QUAL CATEGORIES]])</f>
        <v>50</v>
      </c>
      <c r="S24" s="2">
        <f>COUNTIFS(Prequal[PRE-QUAL CATEGORIES],Table2[[#This Row],[PRE-QUAL CATEGORIES]],Prequal[IS DBE],TRUE)</f>
        <v>0</v>
      </c>
      <c r="T24" s="2">
        <f>Table2[[#This Row],['#]]-Table2[[#This Row],[DBE]]</f>
        <v>50</v>
      </c>
    </row>
    <row r="25" spans="2:20" x14ac:dyDescent="0.2">
      <c r="B25" s="27" t="s">
        <v>3</v>
      </c>
      <c r="C25" s="28" t="s">
        <v>970</v>
      </c>
      <c r="D25" s="29" t="s">
        <v>14</v>
      </c>
      <c r="E25" s="30" t="s">
        <v>947</v>
      </c>
      <c r="F25" s="28" t="s">
        <v>356</v>
      </c>
      <c r="G25" s="30" t="s">
        <v>545</v>
      </c>
      <c r="H25" t="str">
        <f>CONCATENATE(Prequal[[#This Row],[CITY]], ", ",Prequal[[#This Row],[STATE]])</f>
        <v>Chicago, IL</v>
      </c>
      <c r="J25" s="4" t="s">
        <v>112</v>
      </c>
      <c r="Q25" t="s">
        <v>11</v>
      </c>
      <c r="R25" s="2">
        <f>COUNTIFS(Prequal[PRE-QUAL CATEGORIES],Table2[[#This Row],[PRE-QUAL CATEGORIES]])</f>
        <v>56</v>
      </c>
      <c r="S25" s="2">
        <f>COUNTIFS(Prequal[PRE-QUAL CATEGORIES],Table2[[#This Row],[PRE-QUAL CATEGORIES]],Prequal[IS DBE],TRUE)</f>
        <v>0</v>
      </c>
      <c r="T25" s="2">
        <f>Table2[[#This Row],['#]]-Table2[[#This Row],[DBE]]</f>
        <v>56</v>
      </c>
    </row>
    <row r="26" spans="2:20" x14ac:dyDescent="0.2">
      <c r="B26" s="31" t="s">
        <v>3</v>
      </c>
      <c r="C26" s="32" t="s">
        <v>970</v>
      </c>
      <c r="D26" s="33" t="s">
        <v>15</v>
      </c>
      <c r="E26" s="30" t="s">
        <v>947</v>
      </c>
      <c r="F26" s="32" t="s">
        <v>356</v>
      </c>
      <c r="G26" s="30" t="s">
        <v>545</v>
      </c>
      <c r="H26" t="str">
        <f>CONCATENATE(Prequal[[#This Row],[CITY]], ", ",Prequal[[#This Row],[STATE]])</f>
        <v>Chicago, IL</v>
      </c>
      <c r="J26" s="4" t="s">
        <v>115</v>
      </c>
      <c r="Q26" t="s">
        <v>47</v>
      </c>
      <c r="R26" s="2">
        <f>COUNTIFS(Prequal[PRE-QUAL CATEGORIES],Table2[[#This Row],[PRE-QUAL CATEGORIES]])</f>
        <v>52</v>
      </c>
      <c r="S26" s="2">
        <f>COUNTIFS(Prequal[PRE-QUAL CATEGORIES],Table2[[#This Row],[PRE-QUAL CATEGORIES]],Prequal[IS DBE],TRUE)</f>
        <v>0</v>
      </c>
      <c r="T26" s="2">
        <f>Table2[[#This Row],['#]]-Table2[[#This Row],[DBE]]</f>
        <v>52</v>
      </c>
    </row>
    <row r="27" spans="2:20" x14ac:dyDescent="0.2">
      <c r="B27" s="31" t="s">
        <v>16</v>
      </c>
      <c r="C27" s="32" t="s">
        <v>970</v>
      </c>
      <c r="D27" s="33" t="s">
        <v>10</v>
      </c>
      <c r="E27" s="30" t="s">
        <v>357</v>
      </c>
      <c r="F27" s="32" t="s">
        <v>356</v>
      </c>
      <c r="G27" s="30" t="s">
        <v>546</v>
      </c>
      <c r="H27" t="str">
        <f>CONCATENATE(Prequal[[#This Row],[CITY]], ", ",Prequal[[#This Row],[STATE]])</f>
        <v>Lombard, IL</v>
      </c>
      <c r="J27" s="4" t="s">
        <v>117</v>
      </c>
      <c r="Q27" t="s">
        <v>46</v>
      </c>
      <c r="R27" s="2">
        <f>COUNTIFS(Prequal[PRE-QUAL CATEGORIES],Table2[[#This Row],[PRE-QUAL CATEGORIES]])</f>
        <v>53</v>
      </c>
      <c r="S27" s="2">
        <f>COUNTIFS(Prequal[PRE-QUAL CATEGORIES],Table2[[#This Row],[PRE-QUAL CATEGORIES]],Prequal[IS DBE],TRUE)</f>
        <v>0</v>
      </c>
      <c r="T27" s="2">
        <f>Table2[[#This Row],['#]]-Table2[[#This Row],[DBE]]</f>
        <v>53</v>
      </c>
    </row>
    <row r="28" spans="2:20" x14ac:dyDescent="0.2">
      <c r="B28" s="31" t="s">
        <v>17</v>
      </c>
      <c r="C28" s="32" t="s">
        <v>970</v>
      </c>
      <c r="D28" s="33" t="s">
        <v>18</v>
      </c>
      <c r="E28" s="30" t="s">
        <v>358</v>
      </c>
      <c r="F28" s="32" t="s">
        <v>356</v>
      </c>
      <c r="G28" s="30" t="s">
        <v>547</v>
      </c>
      <c r="H28" t="str">
        <f>CONCATENATE(Prequal[[#This Row],[CITY]], ", ",Prequal[[#This Row],[STATE]])</f>
        <v>Lisle, IL</v>
      </c>
      <c r="J28" s="4" t="s">
        <v>118</v>
      </c>
      <c r="Q28" t="s">
        <v>22</v>
      </c>
      <c r="R28" s="2">
        <f>COUNTIFS(Prequal[PRE-QUAL CATEGORIES],Table2[[#This Row],[PRE-QUAL CATEGORIES]])</f>
        <v>47</v>
      </c>
      <c r="S28" s="2">
        <f>COUNTIFS(Prequal[PRE-QUAL CATEGORIES],Table2[[#This Row],[PRE-QUAL CATEGORIES]],Prequal[IS DBE],TRUE)</f>
        <v>0</v>
      </c>
      <c r="T28" s="2">
        <f>Table2[[#This Row],['#]]-Table2[[#This Row],[DBE]]</f>
        <v>47</v>
      </c>
    </row>
    <row r="29" spans="2:20" x14ac:dyDescent="0.2">
      <c r="B29" s="31" t="s">
        <v>19</v>
      </c>
      <c r="C29" s="32" t="s">
        <v>970</v>
      </c>
      <c r="D29" s="33" t="s">
        <v>20</v>
      </c>
      <c r="E29" s="30" t="s">
        <v>947</v>
      </c>
      <c r="F29" s="32" t="s">
        <v>356</v>
      </c>
      <c r="G29" s="30" t="s">
        <v>548</v>
      </c>
      <c r="H29" t="str">
        <f>CONCATENATE(Prequal[[#This Row],[CITY]], ", ",Prequal[[#This Row],[STATE]])</f>
        <v>Chicago, IL</v>
      </c>
      <c r="J29" s="4" t="s">
        <v>122</v>
      </c>
      <c r="Q29" t="s">
        <v>43</v>
      </c>
      <c r="R29" s="2">
        <f>COUNTIFS(Prequal[PRE-QUAL CATEGORIES],Table2[[#This Row],[PRE-QUAL CATEGORIES]])</f>
        <v>41</v>
      </c>
      <c r="S29" s="2">
        <f>COUNTIFS(Prequal[PRE-QUAL CATEGORIES],Table2[[#This Row],[PRE-QUAL CATEGORIES]],Prequal[IS DBE],TRUE)</f>
        <v>0</v>
      </c>
      <c r="T29" s="2">
        <f>Table2[[#This Row],['#]]-Table2[[#This Row],[DBE]]</f>
        <v>41</v>
      </c>
    </row>
    <row r="30" spans="2:20" x14ac:dyDescent="0.2">
      <c r="B30" s="27" t="s">
        <v>19</v>
      </c>
      <c r="C30" s="28" t="s">
        <v>970</v>
      </c>
      <c r="D30" s="29" t="s">
        <v>10</v>
      </c>
      <c r="E30" s="30" t="s">
        <v>947</v>
      </c>
      <c r="F30" s="28" t="s">
        <v>356</v>
      </c>
      <c r="G30" s="30" t="s">
        <v>548</v>
      </c>
      <c r="H30" t="str">
        <f>CONCATENATE(Prequal[[#This Row],[CITY]], ", ",Prequal[[#This Row],[STATE]])</f>
        <v>Chicago, IL</v>
      </c>
      <c r="J30" s="4" t="s">
        <v>126</v>
      </c>
      <c r="Q30" t="s">
        <v>39</v>
      </c>
      <c r="R30" s="2">
        <f>COUNTIFS(Prequal[PRE-QUAL CATEGORIES],Table2[[#This Row],[PRE-QUAL CATEGORIES]])</f>
        <v>54</v>
      </c>
      <c r="S30" s="2">
        <f>COUNTIFS(Prequal[PRE-QUAL CATEGORIES],Table2[[#This Row],[PRE-QUAL CATEGORIES]],Prequal[IS DBE],TRUE)</f>
        <v>0</v>
      </c>
      <c r="T30" s="2">
        <f>Table2[[#This Row],['#]]-Table2[[#This Row],[DBE]]</f>
        <v>54</v>
      </c>
    </row>
    <row r="31" spans="2:20" x14ac:dyDescent="0.2">
      <c r="B31" s="27" t="s">
        <v>19</v>
      </c>
      <c r="C31" s="28" t="s">
        <v>970</v>
      </c>
      <c r="D31" s="29" t="s">
        <v>21</v>
      </c>
      <c r="E31" s="30" t="s">
        <v>947</v>
      </c>
      <c r="F31" s="28" t="s">
        <v>356</v>
      </c>
      <c r="G31" s="30" t="s">
        <v>548</v>
      </c>
      <c r="H31" t="str">
        <f>CONCATENATE(Prequal[[#This Row],[CITY]], ", ",Prequal[[#This Row],[STATE]])</f>
        <v>Chicago, IL</v>
      </c>
      <c r="J31" s="4" t="s">
        <v>127</v>
      </c>
      <c r="Q31" t="s">
        <v>53</v>
      </c>
      <c r="R31" s="2">
        <f>COUNTIFS(Prequal[PRE-QUAL CATEGORIES],Table2[[#This Row],[PRE-QUAL CATEGORIES]])</f>
        <v>45</v>
      </c>
      <c r="S31" s="2">
        <f>COUNTIFS(Prequal[PRE-QUAL CATEGORIES],Table2[[#This Row],[PRE-QUAL CATEGORIES]],Prequal[IS DBE],TRUE)</f>
        <v>0</v>
      </c>
      <c r="T31" s="2">
        <f>Table2[[#This Row],['#]]-Table2[[#This Row],[DBE]]</f>
        <v>45</v>
      </c>
    </row>
    <row r="32" spans="2:20" x14ac:dyDescent="0.2">
      <c r="B32" s="27" t="s">
        <v>19</v>
      </c>
      <c r="C32" s="28" t="s">
        <v>970</v>
      </c>
      <c r="D32" s="29" t="s">
        <v>22</v>
      </c>
      <c r="E32" s="30" t="s">
        <v>947</v>
      </c>
      <c r="F32" s="28" t="s">
        <v>356</v>
      </c>
      <c r="G32" s="30" t="s">
        <v>548</v>
      </c>
      <c r="H32" t="str">
        <f>CONCATENATE(Prequal[[#This Row],[CITY]], ", ",Prequal[[#This Row],[STATE]])</f>
        <v>Chicago, IL</v>
      </c>
      <c r="J32" s="4" t="s">
        <v>129</v>
      </c>
      <c r="Q32" t="s">
        <v>33</v>
      </c>
      <c r="R32" s="2">
        <f>COUNTIFS(Prequal[PRE-QUAL CATEGORIES],Table2[[#This Row],[PRE-QUAL CATEGORIES]])</f>
        <v>39</v>
      </c>
      <c r="S32" s="2">
        <f>COUNTIFS(Prequal[PRE-QUAL CATEGORIES],Table2[[#This Row],[PRE-QUAL CATEGORIES]],Prequal[IS DBE],TRUE)</f>
        <v>0</v>
      </c>
      <c r="T32" s="2">
        <f>Table2[[#This Row],['#]]-Table2[[#This Row],[DBE]]</f>
        <v>39</v>
      </c>
    </row>
    <row r="33" spans="2:20" x14ac:dyDescent="0.2">
      <c r="B33" s="27" t="s">
        <v>23</v>
      </c>
      <c r="C33" s="28" t="s">
        <v>970</v>
      </c>
      <c r="D33" s="29" t="s">
        <v>4</v>
      </c>
      <c r="E33" s="30" t="s">
        <v>408</v>
      </c>
      <c r="F33" s="28" t="s">
        <v>356</v>
      </c>
      <c r="G33" s="30" t="s">
        <v>549</v>
      </c>
      <c r="H33" t="str">
        <f>CONCATENATE(Prequal[[#This Row],[CITY]], ", ",Prequal[[#This Row],[STATE]])</f>
        <v>Burr Ridge, IL</v>
      </c>
      <c r="J33" s="4" t="s">
        <v>130</v>
      </c>
      <c r="Q33" t="s">
        <v>36</v>
      </c>
      <c r="R33" s="2">
        <f>COUNTIFS(Prequal[PRE-QUAL CATEGORIES],Table2[[#This Row],[PRE-QUAL CATEGORIES]])</f>
        <v>27</v>
      </c>
      <c r="S33" s="2">
        <f>COUNTIFS(Prequal[PRE-QUAL CATEGORIES],Table2[[#This Row],[PRE-QUAL CATEGORIES]],Prequal[IS DBE],TRUE)</f>
        <v>0</v>
      </c>
      <c r="T33" s="2">
        <f>Table2[[#This Row],['#]]-Table2[[#This Row],[DBE]]</f>
        <v>27</v>
      </c>
    </row>
    <row r="34" spans="2:20" x14ac:dyDescent="0.2">
      <c r="B34" s="27" t="s">
        <v>23</v>
      </c>
      <c r="C34" s="28" t="s">
        <v>970</v>
      </c>
      <c r="D34" s="29" t="s">
        <v>5</v>
      </c>
      <c r="E34" s="30" t="s">
        <v>408</v>
      </c>
      <c r="F34" s="28" t="s">
        <v>356</v>
      </c>
      <c r="G34" s="30" t="s">
        <v>549</v>
      </c>
      <c r="H34" t="str">
        <f>CONCATENATE(Prequal[[#This Row],[CITY]], ", ",Prequal[[#This Row],[STATE]])</f>
        <v>Burr Ridge, IL</v>
      </c>
      <c r="J34" s="4" t="s">
        <v>131</v>
      </c>
      <c r="Q34" t="s">
        <v>48</v>
      </c>
      <c r="R34" s="2">
        <f>COUNTIFS(Prequal[PRE-QUAL CATEGORIES],Table2[[#This Row],[PRE-QUAL CATEGORIES]])</f>
        <v>29</v>
      </c>
      <c r="S34" s="2">
        <f>COUNTIFS(Prequal[PRE-QUAL CATEGORIES],Table2[[#This Row],[PRE-QUAL CATEGORIES]],Prequal[IS DBE],TRUE)</f>
        <v>0</v>
      </c>
      <c r="T34" s="2">
        <f>Table2[[#This Row],['#]]-Table2[[#This Row],[DBE]]</f>
        <v>29</v>
      </c>
    </row>
    <row r="35" spans="2:20" x14ac:dyDescent="0.2">
      <c r="B35" s="27" t="s">
        <v>23</v>
      </c>
      <c r="C35" s="28" t="s">
        <v>970</v>
      </c>
      <c r="D35" s="29" t="s">
        <v>7</v>
      </c>
      <c r="E35" s="30" t="s">
        <v>408</v>
      </c>
      <c r="F35" s="28" t="s">
        <v>356</v>
      </c>
      <c r="G35" s="30" t="s">
        <v>549</v>
      </c>
      <c r="H35" t="str">
        <f>CONCATENATE(Prequal[[#This Row],[CITY]], ", ",Prequal[[#This Row],[STATE]])</f>
        <v>Burr Ridge, IL</v>
      </c>
      <c r="J35" s="4" t="s">
        <v>128</v>
      </c>
      <c r="Q35" t="s">
        <v>49</v>
      </c>
      <c r="R35" s="2">
        <f>COUNTIFS(Prequal[PRE-QUAL CATEGORIES],Table2[[#This Row],[PRE-QUAL CATEGORIES]])</f>
        <v>28</v>
      </c>
      <c r="S35" s="2">
        <f>COUNTIFS(Prequal[PRE-QUAL CATEGORIES],Table2[[#This Row],[PRE-QUAL CATEGORIES]],Prequal[IS DBE],TRUE)</f>
        <v>0</v>
      </c>
      <c r="T35" s="2">
        <f>Table2[[#This Row],['#]]-Table2[[#This Row],[DBE]]</f>
        <v>28</v>
      </c>
    </row>
    <row r="36" spans="2:20" x14ac:dyDescent="0.2">
      <c r="B36" s="27" t="s">
        <v>23</v>
      </c>
      <c r="C36" s="28" t="s">
        <v>970</v>
      </c>
      <c r="D36" s="29" t="s">
        <v>8</v>
      </c>
      <c r="E36" s="30" t="s">
        <v>408</v>
      </c>
      <c r="F36" s="28" t="s">
        <v>356</v>
      </c>
      <c r="G36" s="30" t="s">
        <v>549</v>
      </c>
      <c r="H36" t="str">
        <f>CONCATENATE(Prequal[[#This Row],[CITY]], ", ",Prequal[[#This Row],[STATE]])</f>
        <v>Burr Ridge, IL</v>
      </c>
      <c r="J36" s="4" t="s">
        <v>132</v>
      </c>
      <c r="Q36" t="s">
        <v>20</v>
      </c>
      <c r="R36" s="2">
        <f>COUNTIFS(Prequal[PRE-QUAL CATEGORIES],Table2[[#This Row],[PRE-QUAL CATEGORIES]])</f>
        <v>40</v>
      </c>
      <c r="S36" s="2">
        <f>COUNTIFS(Prequal[PRE-QUAL CATEGORIES],Table2[[#This Row],[PRE-QUAL CATEGORIES]],Prequal[IS DBE],TRUE)</f>
        <v>0</v>
      </c>
      <c r="T36" s="2">
        <f>Table2[[#This Row],['#]]-Table2[[#This Row],[DBE]]</f>
        <v>40</v>
      </c>
    </row>
    <row r="37" spans="2:20" x14ac:dyDescent="0.2">
      <c r="B37" s="27" t="s">
        <v>23</v>
      </c>
      <c r="C37" s="28" t="s">
        <v>970</v>
      </c>
      <c r="D37" s="29" t="s">
        <v>24</v>
      </c>
      <c r="E37" s="30" t="s">
        <v>408</v>
      </c>
      <c r="F37" s="28" t="s">
        <v>356</v>
      </c>
      <c r="G37" s="30" t="s">
        <v>549</v>
      </c>
      <c r="H37" t="str">
        <f>CONCATENATE(Prequal[[#This Row],[CITY]], ", ",Prequal[[#This Row],[STATE]])</f>
        <v>Burr Ridge, IL</v>
      </c>
      <c r="J37" s="4" t="s">
        <v>137</v>
      </c>
      <c r="Q37" t="s">
        <v>35</v>
      </c>
      <c r="R37" s="2">
        <f>COUNTIFS(Prequal[PRE-QUAL CATEGORIES],Table2[[#This Row],[PRE-QUAL CATEGORIES]])</f>
        <v>26</v>
      </c>
      <c r="S37" s="2">
        <f>COUNTIFS(Prequal[PRE-QUAL CATEGORIES],Table2[[#This Row],[PRE-QUAL CATEGORIES]],Prequal[IS DBE],TRUE)</f>
        <v>0</v>
      </c>
      <c r="T37" s="2">
        <f>Table2[[#This Row],['#]]-Table2[[#This Row],[DBE]]</f>
        <v>26</v>
      </c>
    </row>
    <row r="38" spans="2:20" x14ac:dyDescent="0.2">
      <c r="B38" s="27" t="s">
        <v>23</v>
      </c>
      <c r="C38" s="28" t="s">
        <v>970</v>
      </c>
      <c r="D38" s="29" t="s">
        <v>25</v>
      </c>
      <c r="E38" s="30" t="s">
        <v>408</v>
      </c>
      <c r="F38" s="28" t="s">
        <v>356</v>
      </c>
      <c r="G38" s="30" t="s">
        <v>549</v>
      </c>
      <c r="H38" t="str">
        <f>CONCATENATE(Prequal[[#This Row],[CITY]], ", ",Prequal[[#This Row],[STATE]])</f>
        <v>Burr Ridge, IL</v>
      </c>
      <c r="J38" s="4" t="s">
        <v>139</v>
      </c>
      <c r="Q38" t="s">
        <v>44</v>
      </c>
      <c r="R38" s="2">
        <f>COUNTIFS(Prequal[PRE-QUAL CATEGORIES],Table2[[#This Row],[PRE-QUAL CATEGORIES]])</f>
        <v>31</v>
      </c>
      <c r="S38" s="2">
        <f>COUNTIFS(Prequal[PRE-QUAL CATEGORIES],Table2[[#This Row],[PRE-QUAL CATEGORIES]],Prequal[IS DBE],TRUE)</f>
        <v>0</v>
      </c>
      <c r="T38" s="2">
        <f>Table2[[#This Row],['#]]-Table2[[#This Row],[DBE]]</f>
        <v>31</v>
      </c>
    </row>
    <row r="39" spans="2:20" x14ac:dyDescent="0.2">
      <c r="B39" s="27" t="s">
        <v>23</v>
      </c>
      <c r="C39" s="28" t="s">
        <v>970</v>
      </c>
      <c r="D39" s="29" t="s">
        <v>9</v>
      </c>
      <c r="E39" s="30" t="s">
        <v>408</v>
      </c>
      <c r="F39" s="28" t="s">
        <v>356</v>
      </c>
      <c r="G39" s="30" t="s">
        <v>549</v>
      </c>
      <c r="H39" t="str">
        <f>CONCATENATE(Prequal[[#This Row],[CITY]], ", ",Prequal[[#This Row],[STATE]])</f>
        <v>Burr Ridge, IL</v>
      </c>
      <c r="J39" s="4" t="s">
        <v>141</v>
      </c>
      <c r="Q39" t="s">
        <v>52</v>
      </c>
      <c r="R39" s="2">
        <f>COUNTIFS(Prequal[PRE-QUAL CATEGORIES],Table2[[#This Row],[PRE-QUAL CATEGORIES]])</f>
        <v>30</v>
      </c>
      <c r="S39" s="2">
        <f>COUNTIFS(Prequal[PRE-QUAL CATEGORIES],Table2[[#This Row],[PRE-QUAL CATEGORIES]],Prequal[IS DBE],TRUE)</f>
        <v>0</v>
      </c>
      <c r="T39" s="2">
        <f>Table2[[#This Row],['#]]-Table2[[#This Row],[DBE]]</f>
        <v>30</v>
      </c>
    </row>
    <row r="40" spans="2:20" x14ac:dyDescent="0.2">
      <c r="B40" s="27" t="s">
        <v>23</v>
      </c>
      <c r="C40" s="28" t="s">
        <v>970</v>
      </c>
      <c r="D40" s="29" t="s">
        <v>26</v>
      </c>
      <c r="E40" s="30" t="s">
        <v>408</v>
      </c>
      <c r="F40" s="28" t="s">
        <v>356</v>
      </c>
      <c r="G40" s="30" t="s">
        <v>549</v>
      </c>
      <c r="H40" t="str">
        <f>CONCATENATE(Prequal[[#This Row],[CITY]], ", ",Prequal[[#This Row],[STATE]])</f>
        <v>Burr Ridge, IL</v>
      </c>
      <c r="J40" s="4" t="s">
        <v>142</v>
      </c>
      <c r="Q40" t="s">
        <v>56</v>
      </c>
      <c r="R40" s="2">
        <f>COUNTIFS(Prequal[PRE-QUAL CATEGORIES],Table2[[#This Row],[PRE-QUAL CATEGORIES]])</f>
        <v>28</v>
      </c>
      <c r="S40" s="2">
        <f>COUNTIFS(Prequal[PRE-QUAL CATEGORIES],Table2[[#This Row],[PRE-QUAL CATEGORIES]],Prequal[IS DBE],TRUE)</f>
        <v>0</v>
      </c>
      <c r="T40" s="2">
        <f>Table2[[#This Row],['#]]-Table2[[#This Row],[DBE]]</f>
        <v>28</v>
      </c>
    </row>
    <row r="41" spans="2:20" x14ac:dyDescent="0.2">
      <c r="B41" s="27" t="s">
        <v>23</v>
      </c>
      <c r="C41" s="28" t="s">
        <v>970</v>
      </c>
      <c r="D41" s="29" t="s">
        <v>20</v>
      </c>
      <c r="E41" s="30" t="s">
        <v>408</v>
      </c>
      <c r="F41" s="28" t="s">
        <v>356</v>
      </c>
      <c r="G41" s="30" t="s">
        <v>549</v>
      </c>
      <c r="H41" t="str">
        <f>CONCATENATE(Prequal[[#This Row],[CITY]], ", ",Prequal[[#This Row],[STATE]])</f>
        <v>Burr Ridge, IL</v>
      </c>
      <c r="J41" s="4" t="s">
        <v>145</v>
      </c>
      <c r="Q41" t="s">
        <v>54</v>
      </c>
      <c r="R41" s="2">
        <f>COUNTIFS(Prequal[PRE-QUAL CATEGORIES],Table2[[#This Row],[PRE-QUAL CATEGORIES]])</f>
        <v>29</v>
      </c>
      <c r="S41" s="2">
        <f>COUNTIFS(Prequal[PRE-QUAL CATEGORIES],Table2[[#This Row],[PRE-QUAL CATEGORIES]],Prequal[IS DBE],TRUE)</f>
        <v>0</v>
      </c>
      <c r="T41" s="2">
        <f>Table2[[#This Row],['#]]-Table2[[#This Row],[DBE]]</f>
        <v>29</v>
      </c>
    </row>
    <row r="42" spans="2:20" x14ac:dyDescent="0.2">
      <c r="B42" s="27" t="s">
        <v>23</v>
      </c>
      <c r="C42" s="28" t="s">
        <v>970</v>
      </c>
      <c r="D42" s="29" t="s">
        <v>27</v>
      </c>
      <c r="E42" s="30" t="s">
        <v>408</v>
      </c>
      <c r="F42" s="28" t="s">
        <v>356</v>
      </c>
      <c r="G42" s="30" t="s">
        <v>549</v>
      </c>
      <c r="H42" t="str">
        <f>CONCATENATE(Prequal[[#This Row],[CITY]], ", ",Prequal[[#This Row],[STATE]])</f>
        <v>Burr Ridge, IL</v>
      </c>
      <c r="J42" s="4" t="s">
        <v>146</v>
      </c>
      <c r="Q42" t="s">
        <v>59</v>
      </c>
      <c r="R42" s="2">
        <f>COUNTIFS(Prequal[PRE-QUAL CATEGORIES],Table2[[#This Row],[PRE-QUAL CATEGORIES]])</f>
        <v>32</v>
      </c>
      <c r="S42" s="2">
        <f>COUNTIFS(Prequal[PRE-QUAL CATEGORIES],Table2[[#This Row],[PRE-QUAL CATEGORIES]],Prequal[IS DBE],TRUE)</f>
        <v>0</v>
      </c>
      <c r="T42" s="2">
        <f>Table2[[#This Row],['#]]-Table2[[#This Row],[DBE]]</f>
        <v>32</v>
      </c>
    </row>
    <row r="43" spans="2:20" x14ac:dyDescent="0.2">
      <c r="B43" s="27" t="s">
        <v>23</v>
      </c>
      <c r="C43" s="28" t="s">
        <v>970</v>
      </c>
      <c r="D43" s="29" t="s">
        <v>10</v>
      </c>
      <c r="E43" s="30" t="s">
        <v>408</v>
      </c>
      <c r="F43" s="28" t="s">
        <v>356</v>
      </c>
      <c r="G43" s="30" t="s">
        <v>549</v>
      </c>
      <c r="H43" t="str">
        <f>CONCATENATE(Prequal[[#This Row],[CITY]], ", ",Prequal[[#This Row],[STATE]])</f>
        <v>Burr Ridge, IL</v>
      </c>
      <c r="J43" s="4" t="s">
        <v>150</v>
      </c>
      <c r="Q43" t="s">
        <v>28</v>
      </c>
      <c r="R43" s="2">
        <f>COUNTIFS(Prequal[PRE-QUAL CATEGORIES],Table2[[#This Row],[PRE-QUAL CATEGORIES]])</f>
        <v>24</v>
      </c>
      <c r="S43" s="2">
        <f>COUNTIFS(Prequal[PRE-QUAL CATEGORIES],Table2[[#This Row],[PRE-QUAL CATEGORIES]],Prequal[IS DBE],TRUE)</f>
        <v>0</v>
      </c>
      <c r="T43" s="2">
        <f>Table2[[#This Row],['#]]-Table2[[#This Row],[DBE]]</f>
        <v>24</v>
      </c>
    </row>
    <row r="44" spans="2:20" x14ac:dyDescent="0.2">
      <c r="B44" s="27" t="s">
        <v>23</v>
      </c>
      <c r="C44" s="28" t="s">
        <v>970</v>
      </c>
      <c r="D44" s="29" t="s">
        <v>21</v>
      </c>
      <c r="E44" s="30" t="s">
        <v>408</v>
      </c>
      <c r="F44" s="28" t="s">
        <v>356</v>
      </c>
      <c r="G44" s="30" t="s">
        <v>549</v>
      </c>
      <c r="H44" t="str">
        <f>CONCATENATE(Prequal[[#This Row],[CITY]], ", ",Prequal[[#This Row],[STATE]])</f>
        <v>Burr Ridge, IL</v>
      </c>
      <c r="J44" s="4" t="s">
        <v>153</v>
      </c>
      <c r="Q44" t="s">
        <v>55</v>
      </c>
      <c r="R44" s="2">
        <f>COUNTIFS(Prequal[PRE-QUAL CATEGORIES],Table2[[#This Row],[PRE-QUAL CATEGORIES]])</f>
        <v>25</v>
      </c>
      <c r="S44" s="2">
        <f>COUNTIFS(Prequal[PRE-QUAL CATEGORIES],Table2[[#This Row],[PRE-QUAL CATEGORIES]],Prequal[IS DBE],TRUE)</f>
        <v>0</v>
      </c>
      <c r="T44" s="2">
        <f>Table2[[#This Row],['#]]-Table2[[#This Row],[DBE]]</f>
        <v>25</v>
      </c>
    </row>
    <row r="45" spans="2:20" x14ac:dyDescent="0.2">
      <c r="B45" s="27" t="s">
        <v>23</v>
      </c>
      <c r="C45" s="28" t="s">
        <v>970</v>
      </c>
      <c r="D45" s="29" t="s">
        <v>12</v>
      </c>
      <c r="E45" s="30" t="s">
        <v>408</v>
      </c>
      <c r="F45" s="28" t="s">
        <v>356</v>
      </c>
      <c r="G45" s="30" t="s">
        <v>549</v>
      </c>
      <c r="H45" t="str">
        <f>CONCATENATE(Prequal[[#This Row],[CITY]], ", ",Prequal[[#This Row],[STATE]])</f>
        <v>Burr Ridge, IL</v>
      </c>
      <c r="J45" s="4" t="s">
        <v>154</v>
      </c>
      <c r="Q45" t="s">
        <v>51</v>
      </c>
      <c r="R45" s="2">
        <f>COUNTIFS(Prequal[PRE-QUAL CATEGORIES],Table2[[#This Row],[PRE-QUAL CATEGORIES]])</f>
        <v>42</v>
      </c>
      <c r="S45" s="2">
        <f>COUNTIFS(Prequal[PRE-QUAL CATEGORIES],Table2[[#This Row],[PRE-QUAL CATEGORIES]],Prequal[IS DBE],TRUE)</f>
        <v>0</v>
      </c>
      <c r="T45" s="2">
        <f>Table2[[#This Row],['#]]-Table2[[#This Row],[DBE]]</f>
        <v>42</v>
      </c>
    </row>
    <row r="46" spans="2:20" x14ac:dyDescent="0.2">
      <c r="B46" s="27" t="s">
        <v>23</v>
      </c>
      <c r="C46" s="28" t="s">
        <v>970</v>
      </c>
      <c r="D46" s="29" t="s">
        <v>28</v>
      </c>
      <c r="E46" s="30" t="s">
        <v>408</v>
      </c>
      <c r="F46" s="28" t="s">
        <v>356</v>
      </c>
      <c r="G46" s="30" t="s">
        <v>549</v>
      </c>
      <c r="H46" t="str">
        <f>CONCATENATE(Prequal[[#This Row],[CITY]], ", ",Prequal[[#This Row],[STATE]])</f>
        <v>Burr Ridge, IL</v>
      </c>
      <c r="J46" s="4" t="s">
        <v>155</v>
      </c>
      <c r="Q46" t="s">
        <v>107</v>
      </c>
      <c r="R46" s="2">
        <f>COUNTIFS(Prequal[PRE-QUAL CATEGORIES],Table2[[#This Row],[PRE-QUAL CATEGORIES]])</f>
        <v>17</v>
      </c>
      <c r="S46" s="2">
        <f>COUNTIFS(Prequal[PRE-QUAL CATEGORIES],Table2[[#This Row],[PRE-QUAL CATEGORIES]],Prequal[IS DBE],TRUE)</f>
        <v>0</v>
      </c>
      <c r="T46" s="2">
        <f>Table2[[#This Row],['#]]-Table2[[#This Row],[DBE]]</f>
        <v>17</v>
      </c>
    </row>
    <row r="47" spans="2:20" x14ac:dyDescent="0.2">
      <c r="B47" s="27" t="s">
        <v>23</v>
      </c>
      <c r="C47" s="28" t="s">
        <v>970</v>
      </c>
      <c r="D47" s="29" t="s">
        <v>29</v>
      </c>
      <c r="E47" s="30" t="s">
        <v>408</v>
      </c>
      <c r="F47" s="28" t="s">
        <v>356</v>
      </c>
      <c r="G47" s="30" t="s">
        <v>549</v>
      </c>
      <c r="H47" t="str">
        <f>CONCATENATE(Prequal[[#This Row],[CITY]], ", ",Prequal[[#This Row],[STATE]])</f>
        <v>Burr Ridge, IL</v>
      </c>
      <c r="J47" s="4" t="s">
        <v>156</v>
      </c>
      <c r="Q47" t="s">
        <v>108</v>
      </c>
      <c r="R47" s="2">
        <f>COUNTIFS(Prequal[PRE-QUAL CATEGORIES],Table2[[#This Row],[PRE-QUAL CATEGORIES]])</f>
        <v>17</v>
      </c>
      <c r="S47" s="2">
        <f>COUNTIFS(Prequal[PRE-QUAL CATEGORIES],Table2[[#This Row],[PRE-QUAL CATEGORIES]],Prequal[IS DBE],TRUE)</f>
        <v>0</v>
      </c>
      <c r="T47" s="2">
        <f>Table2[[#This Row],['#]]-Table2[[#This Row],[DBE]]</f>
        <v>17</v>
      </c>
    </row>
    <row r="48" spans="2:20" x14ac:dyDescent="0.2">
      <c r="B48" s="27" t="s">
        <v>23</v>
      </c>
      <c r="C48" s="28" t="s">
        <v>970</v>
      </c>
      <c r="D48" s="29" t="s">
        <v>13</v>
      </c>
      <c r="E48" s="30" t="s">
        <v>408</v>
      </c>
      <c r="F48" s="28" t="s">
        <v>356</v>
      </c>
      <c r="G48" s="30" t="s">
        <v>549</v>
      </c>
      <c r="H48" t="str">
        <f>CONCATENATE(Prequal[[#This Row],[CITY]], ", ",Prequal[[#This Row],[STATE]])</f>
        <v>Burr Ridge, IL</v>
      </c>
      <c r="J48" s="4" t="s">
        <v>157</v>
      </c>
      <c r="Q48" t="s">
        <v>42</v>
      </c>
      <c r="R48" s="2">
        <f>COUNTIFS(Prequal[PRE-QUAL CATEGORIES],Table2[[#This Row],[PRE-QUAL CATEGORIES]])</f>
        <v>20</v>
      </c>
      <c r="S48" s="2">
        <f>COUNTIFS(Prequal[PRE-QUAL CATEGORIES],Table2[[#This Row],[PRE-QUAL CATEGORIES]],Prequal[IS DBE],TRUE)</f>
        <v>0</v>
      </c>
      <c r="T48" s="2">
        <f>Table2[[#This Row],['#]]-Table2[[#This Row],[DBE]]</f>
        <v>20</v>
      </c>
    </row>
    <row r="49" spans="2:20" x14ac:dyDescent="0.2">
      <c r="B49" s="27" t="s">
        <v>23</v>
      </c>
      <c r="C49" s="28" t="s">
        <v>970</v>
      </c>
      <c r="D49" s="29" t="s">
        <v>15</v>
      </c>
      <c r="E49" s="30" t="s">
        <v>408</v>
      </c>
      <c r="F49" s="28" t="s">
        <v>356</v>
      </c>
      <c r="G49" s="30" t="s">
        <v>549</v>
      </c>
      <c r="H49" t="str">
        <f>CONCATENATE(Prequal[[#This Row],[CITY]], ", ",Prequal[[#This Row],[STATE]])</f>
        <v>Burr Ridge, IL</v>
      </c>
      <c r="J49" s="4" t="s">
        <v>158</v>
      </c>
      <c r="Q49" t="s">
        <v>45</v>
      </c>
      <c r="R49" s="2">
        <f>COUNTIFS(Prequal[PRE-QUAL CATEGORIES],Table2[[#This Row],[PRE-QUAL CATEGORIES]])</f>
        <v>19</v>
      </c>
      <c r="S49" s="2">
        <f>COUNTIFS(Prequal[PRE-QUAL CATEGORIES],Table2[[#This Row],[PRE-QUAL CATEGORIES]],Prequal[IS DBE],TRUE)</f>
        <v>0</v>
      </c>
      <c r="T49" s="2">
        <f>Table2[[#This Row],['#]]-Table2[[#This Row],[DBE]]</f>
        <v>19</v>
      </c>
    </row>
    <row r="50" spans="2:20" x14ac:dyDescent="0.2">
      <c r="B50" s="27" t="s">
        <v>23</v>
      </c>
      <c r="C50" s="28" t="s">
        <v>970</v>
      </c>
      <c r="D50" s="29" t="s">
        <v>976</v>
      </c>
      <c r="E50" s="30" t="s">
        <v>408</v>
      </c>
      <c r="F50" s="28" t="s">
        <v>356</v>
      </c>
      <c r="G50" s="30" t="s">
        <v>549</v>
      </c>
      <c r="H50" t="str">
        <f>CONCATENATE(Prequal[[#This Row],[CITY]], ", ",Prequal[[#This Row],[STATE]])</f>
        <v>Burr Ridge, IL</v>
      </c>
      <c r="J50" s="4" t="s">
        <v>160</v>
      </c>
      <c r="Q50" t="s">
        <v>18</v>
      </c>
      <c r="R50" s="2">
        <f>COUNTIFS(Prequal[PRE-QUAL CATEGORIES],Table2[[#This Row],[PRE-QUAL CATEGORIES]])</f>
        <v>16</v>
      </c>
      <c r="S50" s="2">
        <f>COUNTIFS(Prequal[PRE-QUAL CATEGORIES],Table2[[#This Row],[PRE-QUAL CATEGORIES]],Prequal[IS DBE],TRUE)</f>
        <v>0</v>
      </c>
      <c r="T50" s="2">
        <f>Table2[[#This Row],['#]]-Table2[[#This Row],[DBE]]</f>
        <v>16</v>
      </c>
    </row>
    <row r="51" spans="2:20" x14ac:dyDescent="0.2">
      <c r="B51" s="27" t="s">
        <v>23</v>
      </c>
      <c r="C51" s="28" t="s">
        <v>970</v>
      </c>
      <c r="D51" s="29" t="s">
        <v>1004</v>
      </c>
      <c r="E51" s="30" t="s">
        <v>408</v>
      </c>
      <c r="F51" s="28" t="s">
        <v>356</v>
      </c>
      <c r="G51" s="30" t="s">
        <v>549</v>
      </c>
      <c r="H51" t="str">
        <f>CONCATENATE(Prequal[[#This Row],[CITY]], ", ",Prequal[[#This Row],[STATE]])</f>
        <v>Burr Ridge, IL</v>
      </c>
      <c r="J51" s="4" t="s">
        <v>168</v>
      </c>
      <c r="Q51" t="s">
        <v>26</v>
      </c>
      <c r="R51" s="2">
        <f>COUNTIFS(Prequal[PRE-QUAL CATEGORIES],Table2[[#This Row],[PRE-QUAL CATEGORIES]])</f>
        <v>23</v>
      </c>
      <c r="S51" s="2">
        <f>COUNTIFS(Prequal[PRE-QUAL CATEGORIES],Table2[[#This Row],[PRE-QUAL CATEGORIES]],Prequal[IS DBE],TRUE)</f>
        <v>0</v>
      </c>
      <c r="T51" s="2">
        <f>Table2[[#This Row],['#]]-Table2[[#This Row],[DBE]]</f>
        <v>23</v>
      </c>
    </row>
    <row r="52" spans="2:20" x14ac:dyDescent="0.2">
      <c r="B52" s="27" t="s">
        <v>23</v>
      </c>
      <c r="C52" s="28" t="s">
        <v>970</v>
      </c>
      <c r="D52" s="29" t="s">
        <v>1008</v>
      </c>
      <c r="E52" s="30" t="s">
        <v>408</v>
      </c>
      <c r="F52" s="28" t="s">
        <v>356</v>
      </c>
      <c r="G52" s="30" t="s">
        <v>549</v>
      </c>
      <c r="H52" t="str">
        <f>CONCATENATE(Prequal[[#This Row],[CITY]], ", ",Prequal[[#This Row],[STATE]])</f>
        <v>Burr Ridge, IL</v>
      </c>
      <c r="J52" s="4" t="s">
        <v>169</v>
      </c>
      <c r="Q52" t="s">
        <v>57</v>
      </c>
      <c r="R52" s="2">
        <f>COUNTIFS(Prequal[PRE-QUAL CATEGORIES],Table2[[#This Row],[PRE-QUAL CATEGORIES]])</f>
        <v>24</v>
      </c>
      <c r="S52" s="2">
        <f>COUNTIFS(Prequal[PRE-QUAL CATEGORIES],Table2[[#This Row],[PRE-QUAL CATEGORIES]],Prequal[IS DBE],TRUE)</f>
        <v>0</v>
      </c>
      <c r="T52" s="2">
        <f>Table2[[#This Row],['#]]-Table2[[#This Row],[DBE]]</f>
        <v>24</v>
      </c>
    </row>
    <row r="53" spans="2:20" x14ac:dyDescent="0.2">
      <c r="B53" s="27" t="s">
        <v>23</v>
      </c>
      <c r="C53" s="28" t="s">
        <v>970</v>
      </c>
      <c r="D53" s="29" t="s">
        <v>978</v>
      </c>
      <c r="E53" s="30" t="s">
        <v>408</v>
      </c>
      <c r="F53" s="28" t="s">
        <v>356</v>
      </c>
      <c r="G53" s="30" t="s">
        <v>549</v>
      </c>
      <c r="H53" t="str">
        <f>CONCATENATE(Prequal[[#This Row],[CITY]], ", ",Prequal[[#This Row],[STATE]])</f>
        <v>Burr Ridge, IL</v>
      </c>
      <c r="J53" s="4" t="s">
        <v>170</v>
      </c>
      <c r="Q53" t="s">
        <v>63</v>
      </c>
      <c r="R53" s="2">
        <f>COUNTIFS(Prequal[PRE-QUAL CATEGORIES],Table2[[#This Row],[PRE-QUAL CATEGORIES]])</f>
        <v>16</v>
      </c>
      <c r="S53" s="2">
        <f>COUNTIFS(Prequal[PRE-QUAL CATEGORIES],Table2[[#This Row],[PRE-QUAL CATEGORIES]],Prequal[IS DBE],TRUE)</f>
        <v>0</v>
      </c>
      <c r="T53" s="2">
        <f>Table2[[#This Row],['#]]-Table2[[#This Row],[DBE]]</f>
        <v>16</v>
      </c>
    </row>
    <row r="54" spans="2:20" x14ac:dyDescent="0.2">
      <c r="B54" s="27" t="s">
        <v>23</v>
      </c>
      <c r="C54" s="28" t="s">
        <v>970</v>
      </c>
      <c r="D54" s="29" t="s">
        <v>30</v>
      </c>
      <c r="E54" s="30" t="s">
        <v>408</v>
      </c>
      <c r="F54" s="28" t="s">
        <v>356</v>
      </c>
      <c r="G54" s="30" t="s">
        <v>549</v>
      </c>
      <c r="H54" t="str">
        <f>CONCATENATE(Prequal[[#This Row],[CITY]], ", ",Prequal[[#This Row],[STATE]])</f>
        <v>Burr Ridge, IL</v>
      </c>
      <c r="J54" s="4" t="s">
        <v>177</v>
      </c>
      <c r="Q54" t="s">
        <v>81</v>
      </c>
      <c r="R54" s="2">
        <f>COUNTIFS(Prequal[PRE-QUAL CATEGORIES],Table2[[#This Row],[PRE-QUAL CATEGORIES]])</f>
        <v>18</v>
      </c>
      <c r="S54" s="2">
        <f>COUNTIFS(Prequal[PRE-QUAL CATEGORIES],Table2[[#This Row],[PRE-QUAL CATEGORIES]],Prequal[IS DBE],TRUE)</f>
        <v>0</v>
      </c>
      <c r="T54" s="2">
        <f>Table2[[#This Row],['#]]-Table2[[#This Row],[DBE]]</f>
        <v>18</v>
      </c>
    </row>
    <row r="55" spans="2:20" x14ac:dyDescent="0.2">
      <c r="B55" s="27" t="s">
        <v>23</v>
      </c>
      <c r="C55" s="28" t="s">
        <v>970</v>
      </c>
      <c r="D55" s="29" t="s">
        <v>31</v>
      </c>
      <c r="E55" s="30" t="s">
        <v>408</v>
      </c>
      <c r="F55" s="28" t="s">
        <v>356</v>
      </c>
      <c r="G55" s="30" t="s">
        <v>549</v>
      </c>
      <c r="H55" t="str">
        <f>CONCATENATE(Prequal[[#This Row],[CITY]], ", ",Prequal[[#This Row],[STATE]])</f>
        <v>Burr Ridge, IL</v>
      </c>
      <c r="J55" s="4" t="s">
        <v>180</v>
      </c>
      <c r="Q55" t="s">
        <v>50</v>
      </c>
      <c r="R55" s="2">
        <f>COUNTIFS(Prequal[PRE-QUAL CATEGORIES],Table2[[#This Row],[PRE-QUAL CATEGORIES]])</f>
        <v>9</v>
      </c>
      <c r="S55" s="2">
        <f>COUNTIFS(Prequal[PRE-QUAL CATEGORIES],Table2[[#This Row],[PRE-QUAL CATEGORIES]],Prequal[IS DBE],TRUE)</f>
        <v>0</v>
      </c>
      <c r="T55" s="2">
        <f>Table2[[#This Row],['#]]-Table2[[#This Row],[DBE]]</f>
        <v>9</v>
      </c>
    </row>
    <row r="56" spans="2:20" x14ac:dyDescent="0.2">
      <c r="B56" s="27" t="s">
        <v>23</v>
      </c>
      <c r="C56" s="28" t="s">
        <v>970</v>
      </c>
      <c r="D56" s="29" t="s">
        <v>32</v>
      </c>
      <c r="E56" s="30" t="s">
        <v>408</v>
      </c>
      <c r="F56" s="28" t="s">
        <v>356</v>
      </c>
      <c r="G56" s="30" t="s">
        <v>549</v>
      </c>
      <c r="H56" t="str">
        <f>CONCATENATE(Prequal[[#This Row],[CITY]], ", ",Prequal[[#This Row],[STATE]])</f>
        <v>Burr Ridge, IL</v>
      </c>
      <c r="J56" s="4" t="s">
        <v>183</v>
      </c>
      <c r="Q56" t="s">
        <v>70</v>
      </c>
      <c r="R56" s="2">
        <f>COUNTIFS(Prequal[PRE-QUAL CATEGORIES],Table2[[#This Row],[PRE-QUAL CATEGORIES]])</f>
        <v>26</v>
      </c>
      <c r="S56" s="2">
        <f>COUNTIFS(Prequal[PRE-QUAL CATEGORIES],Table2[[#This Row],[PRE-QUAL CATEGORIES]],Prequal[IS DBE],TRUE)</f>
        <v>0</v>
      </c>
      <c r="T56" s="2">
        <f>Table2[[#This Row],['#]]-Table2[[#This Row],[DBE]]</f>
        <v>26</v>
      </c>
    </row>
    <row r="57" spans="2:20" x14ac:dyDescent="0.2">
      <c r="B57" s="27" t="s">
        <v>23</v>
      </c>
      <c r="C57" s="28" t="s">
        <v>970</v>
      </c>
      <c r="D57" s="29" t="s">
        <v>33</v>
      </c>
      <c r="E57" s="30" t="s">
        <v>408</v>
      </c>
      <c r="F57" s="28" t="s">
        <v>356</v>
      </c>
      <c r="G57" s="30" t="s">
        <v>549</v>
      </c>
      <c r="H57" t="str">
        <f>CONCATENATE(Prequal[[#This Row],[CITY]], ", ",Prequal[[#This Row],[STATE]])</f>
        <v>Burr Ridge, IL</v>
      </c>
      <c r="J57" s="4" t="s">
        <v>185</v>
      </c>
      <c r="Q57" t="s">
        <v>125</v>
      </c>
      <c r="R57" s="2">
        <f>COUNTIFS(Prequal[PRE-QUAL CATEGORIES],Table2[[#This Row],[PRE-QUAL CATEGORIES]])</f>
        <v>16</v>
      </c>
      <c r="S57" s="2">
        <f>COUNTIFS(Prequal[PRE-QUAL CATEGORIES],Table2[[#This Row],[PRE-QUAL CATEGORIES]],Prequal[IS DBE],TRUE)</f>
        <v>0</v>
      </c>
      <c r="T57" s="2">
        <f>Table2[[#This Row],['#]]-Table2[[#This Row],[DBE]]</f>
        <v>16</v>
      </c>
    </row>
    <row r="58" spans="2:20" x14ac:dyDescent="0.2">
      <c r="B58" s="27" t="s">
        <v>813</v>
      </c>
      <c r="C58" s="28" t="s">
        <v>970</v>
      </c>
      <c r="D58" s="29" t="s">
        <v>10</v>
      </c>
      <c r="E58" s="30" t="s">
        <v>947</v>
      </c>
      <c r="F58" s="28" t="s">
        <v>356</v>
      </c>
      <c r="G58" s="30" t="s">
        <v>814</v>
      </c>
      <c r="H58" t="str">
        <f>CONCATENATE(Prequal[[#This Row],[CITY]], ", ",Prequal[[#This Row],[STATE]])</f>
        <v>Chicago, IL</v>
      </c>
      <c r="J58" s="4" t="s">
        <v>190</v>
      </c>
      <c r="Q58" t="s">
        <v>75</v>
      </c>
      <c r="R58" s="2">
        <f>COUNTIFS(Prequal[PRE-QUAL CATEGORIES],Table2[[#This Row],[PRE-QUAL CATEGORIES]])</f>
        <v>9</v>
      </c>
      <c r="S58" s="2">
        <f>COUNTIFS(Prequal[PRE-QUAL CATEGORIES],Table2[[#This Row],[PRE-QUAL CATEGORIES]],Prequal[IS DBE],TRUE)</f>
        <v>0</v>
      </c>
      <c r="T58" s="2">
        <f>Table2[[#This Row],['#]]-Table2[[#This Row],[DBE]]</f>
        <v>9</v>
      </c>
    </row>
    <row r="59" spans="2:20" x14ac:dyDescent="0.2">
      <c r="B59" s="27" t="s">
        <v>34</v>
      </c>
      <c r="C59" s="28" t="s">
        <v>970</v>
      </c>
      <c r="D59" s="29" t="s">
        <v>35</v>
      </c>
      <c r="E59" s="30" t="s">
        <v>359</v>
      </c>
      <c r="F59" s="28" t="s">
        <v>356</v>
      </c>
      <c r="G59" s="30" t="s">
        <v>550</v>
      </c>
      <c r="H59" t="str">
        <f>CONCATENATE(Prequal[[#This Row],[CITY]], ", ",Prequal[[#This Row],[STATE]])</f>
        <v>Lincolnshire, IL</v>
      </c>
      <c r="J59" s="4" t="s">
        <v>193</v>
      </c>
      <c r="Q59" t="s">
        <v>124</v>
      </c>
      <c r="R59" s="2">
        <f>COUNTIFS(Prequal[PRE-QUAL CATEGORIES],Table2[[#This Row],[PRE-QUAL CATEGORIES]])</f>
        <v>9</v>
      </c>
      <c r="S59" s="2">
        <f>COUNTIFS(Prequal[PRE-QUAL CATEGORIES],Table2[[#This Row],[PRE-QUAL CATEGORIES]],Prequal[IS DBE],TRUE)</f>
        <v>0</v>
      </c>
      <c r="T59" s="2">
        <f>Table2[[#This Row],['#]]-Table2[[#This Row],[DBE]]</f>
        <v>9</v>
      </c>
    </row>
    <row r="60" spans="2:20" x14ac:dyDescent="0.2">
      <c r="B60" s="27" t="s">
        <v>34</v>
      </c>
      <c r="C60" s="28" t="s">
        <v>970</v>
      </c>
      <c r="D60" s="29" t="s">
        <v>36</v>
      </c>
      <c r="E60" s="30" t="s">
        <v>359</v>
      </c>
      <c r="F60" s="28" t="s">
        <v>356</v>
      </c>
      <c r="G60" s="30" t="s">
        <v>550</v>
      </c>
      <c r="H60" t="str">
        <f>CONCATENATE(Prequal[[#This Row],[CITY]], ", ",Prequal[[#This Row],[STATE]])</f>
        <v>Lincolnshire, IL</v>
      </c>
      <c r="J60" s="4" t="s">
        <v>194</v>
      </c>
    </row>
    <row r="61" spans="2:20" x14ac:dyDescent="0.2">
      <c r="B61" s="27" t="s">
        <v>34</v>
      </c>
      <c r="C61" s="28" t="s">
        <v>970</v>
      </c>
      <c r="D61" s="29" t="s">
        <v>4</v>
      </c>
      <c r="E61" s="30" t="s">
        <v>359</v>
      </c>
      <c r="F61" s="28" t="s">
        <v>356</v>
      </c>
      <c r="G61" s="30" t="s">
        <v>550</v>
      </c>
      <c r="H61" t="str">
        <f>CONCATENATE(Prequal[[#This Row],[CITY]], ", ",Prequal[[#This Row],[STATE]])</f>
        <v>Lincolnshire, IL</v>
      </c>
      <c r="J61" s="4" t="s">
        <v>195</v>
      </c>
    </row>
    <row r="62" spans="2:20" x14ac:dyDescent="0.2">
      <c r="B62" s="27" t="s">
        <v>34</v>
      </c>
      <c r="C62" s="28" t="s">
        <v>970</v>
      </c>
      <c r="D62" s="29" t="s">
        <v>5</v>
      </c>
      <c r="E62" s="30" t="s">
        <v>359</v>
      </c>
      <c r="F62" s="28" t="s">
        <v>356</v>
      </c>
      <c r="G62" s="30" t="s">
        <v>550</v>
      </c>
      <c r="H62" t="str">
        <f>CONCATENATE(Prequal[[#This Row],[CITY]], ", ",Prequal[[#This Row],[STATE]])</f>
        <v>Lincolnshire, IL</v>
      </c>
      <c r="J62" s="4" t="s">
        <v>196</v>
      </c>
    </row>
    <row r="63" spans="2:20" x14ac:dyDescent="0.2">
      <c r="B63" s="27" t="s">
        <v>34</v>
      </c>
      <c r="C63" s="28" t="s">
        <v>970</v>
      </c>
      <c r="D63" s="29" t="s">
        <v>24</v>
      </c>
      <c r="E63" s="30" t="s">
        <v>359</v>
      </c>
      <c r="F63" s="28" t="s">
        <v>356</v>
      </c>
      <c r="G63" s="30" t="s">
        <v>550</v>
      </c>
      <c r="H63" t="str">
        <f>CONCATENATE(Prequal[[#This Row],[CITY]], ", ",Prequal[[#This Row],[STATE]])</f>
        <v>Lincolnshire, IL</v>
      </c>
      <c r="J63" s="4" t="s">
        <v>197</v>
      </c>
    </row>
    <row r="64" spans="2:20" x14ac:dyDescent="0.2">
      <c r="B64" s="27" t="s">
        <v>34</v>
      </c>
      <c r="C64" s="28" t="s">
        <v>970</v>
      </c>
      <c r="D64" s="29" t="s">
        <v>25</v>
      </c>
      <c r="E64" s="30" t="s">
        <v>359</v>
      </c>
      <c r="F64" s="28" t="s">
        <v>356</v>
      </c>
      <c r="G64" s="30" t="s">
        <v>550</v>
      </c>
      <c r="H64" t="str">
        <f>CONCATENATE(Prequal[[#This Row],[CITY]], ", ",Prequal[[#This Row],[STATE]])</f>
        <v>Lincolnshire, IL</v>
      </c>
      <c r="J64" s="4" t="s">
        <v>202</v>
      </c>
    </row>
    <row r="65" spans="2:10" x14ac:dyDescent="0.2">
      <c r="B65" s="27" t="s">
        <v>34</v>
      </c>
      <c r="C65" s="28" t="s">
        <v>970</v>
      </c>
      <c r="D65" s="29" t="s">
        <v>9</v>
      </c>
      <c r="E65" s="30" t="s">
        <v>359</v>
      </c>
      <c r="F65" s="28" t="s">
        <v>356</v>
      </c>
      <c r="G65" s="30" t="s">
        <v>550</v>
      </c>
      <c r="H65" t="str">
        <f>CONCATENATE(Prequal[[#This Row],[CITY]], ", ",Prequal[[#This Row],[STATE]])</f>
        <v>Lincolnshire, IL</v>
      </c>
      <c r="J65" s="4" t="s">
        <v>205</v>
      </c>
    </row>
    <row r="66" spans="2:10" x14ac:dyDescent="0.2">
      <c r="B66" s="27" t="s">
        <v>34</v>
      </c>
      <c r="C66" s="28" t="s">
        <v>970</v>
      </c>
      <c r="D66" s="29" t="s">
        <v>27</v>
      </c>
      <c r="E66" s="30" t="s">
        <v>359</v>
      </c>
      <c r="F66" s="28" t="s">
        <v>356</v>
      </c>
      <c r="G66" s="30" t="s">
        <v>550</v>
      </c>
      <c r="H66" t="str">
        <f>CONCATENATE(Prequal[[#This Row],[CITY]], ", ",Prequal[[#This Row],[STATE]])</f>
        <v>Lincolnshire, IL</v>
      </c>
      <c r="J66" s="4" t="s">
        <v>207</v>
      </c>
    </row>
    <row r="67" spans="2:10" x14ac:dyDescent="0.2">
      <c r="B67" s="27" t="s">
        <v>34</v>
      </c>
      <c r="C67" s="28" t="s">
        <v>970</v>
      </c>
      <c r="D67" s="29" t="s">
        <v>10</v>
      </c>
      <c r="E67" s="30" t="s">
        <v>359</v>
      </c>
      <c r="F67" s="28" t="s">
        <v>356</v>
      </c>
      <c r="G67" s="30" t="s">
        <v>550</v>
      </c>
      <c r="H67" t="str">
        <f>CONCATENATE(Prequal[[#This Row],[CITY]], ", ",Prequal[[#This Row],[STATE]])</f>
        <v>Lincolnshire, IL</v>
      </c>
      <c r="J67" s="4" t="s">
        <v>208</v>
      </c>
    </row>
    <row r="68" spans="2:10" x14ac:dyDescent="0.2">
      <c r="B68" s="27" t="s">
        <v>34</v>
      </c>
      <c r="C68" s="28" t="s">
        <v>970</v>
      </c>
      <c r="D68" s="29" t="s">
        <v>12</v>
      </c>
      <c r="E68" s="30" t="s">
        <v>359</v>
      </c>
      <c r="F68" s="28" t="s">
        <v>356</v>
      </c>
      <c r="G68" s="30" t="s">
        <v>550</v>
      </c>
      <c r="H68" t="str">
        <f>CONCATENATE(Prequal[[#This Row],[CITY]], ", ",Prequal[[#This Row],[STATE]])</f>
        <v>Lincolnshire, IL</v>
      </c>
      <c r="J68" s="4" t="s">
        <v>209</v>
      </c>
    </row>
    <row r="69" spans="2:10" x14ac:dyDescent="0.2">
      <c r="B69" s="27" t="s">
        <v>34</v>
      </c>
      <c r="C69" s="28" t="s">
        <v>970</v>
      </c>
      <c r="D69" s="29" t="s">
        <v>28</v>
      </c>
      <c r="E69" s="30" t="s">
        <v>359</v>
      </c>
      <c r="F69" s="28" t="s">
        <v>356</v>
      </c>
      <c r="G69" s="30" t="s">
        <v>550</v>
      </c>
      <c r="H69" t="str">
        <f>CONCATENATE(Prequal[[#This Row],[CITY]], ", ",Prequal[[#This Row],[STATE]])</f>
        <v>Lincolnshire, IL</v>
      </c>
      <c r="J69" s="4" t="s">
        <v>216</v>
      </c>
    </row>
    <row r="70" spans="2:10" x14ac:dyDescent="0.2">
      <c r="B70" s="27" t="s">
        <v>34</v>
      </c>
      <c r="C70" s="28" t="s">
        <v>970</v>
      </c>
      <c r="D70" s="29" t="s">
        <v>29</v>
      </c>
      <c r="E70" s="30" t="s">
        <v>359</v>
      </c>
      <c r="F70" s="28" t="s">
        <v>356</v>
      </c>
      <c r="G70" s="30" t="s">
        <v>550</v>
      </c>
      <c r="H70" t="str">
        <f>CONCATENATE(Prequal[[#This Row],[CITY]], ", ",Prequal[[#This Row],[STATE]])</f>
        <v>Lincolnshire, IL</v>
      </c>
      <c r="J70" s="4" t="s">
        <v>217</v>
      </c>
    </row>
    <row r="71" spans="2:10" x14ac:dyDescent="0.2">
      <c r="B71" s="27" t="s">
        <v>34</v>
      </c>
      <c r="C71" s="28" t="s">
        <v>970</v>
      </c>
      <c r="D71" s="29" t="s">
        <v>37</v>
      </c>
      <c r="E71" s="30" t="s">
        <v>359</v>
      </c>
      <c r="F71" s="28" t="s">
        <v>356</v>
      </c>
      <c r="G71" s="30" t="s">
        <v>550</v>
      </c>
      <c r="H71" t="str">
        <f>CONCATENATE(Prequal[[#This Row],[CITY]], ", ",Prequal[[#This Row],[STATE]])</f>
        <v>Lincolnshire, IL</v>
      </c>
      <c r="J71" s="4" t="s">
        <v>220</v>
      </c>
    </row>
    <row r="72" spans="2:10" x14ac:dyDescent="0.2">
      <c r="B72" s="27" t="s">
        <v>34</v>
      </c>
      <c r="C72" s="28" t="s">
        <v>970</v>
      </c>
      <c r="D72" s="29" t="s">
        <v>13</v>
      </c>
      <c r="E72" s="30" t="s">
        <v>359</v>
      </c>
      <c r="F72" s="28" t="s">
        <v>356</v>
      </c>
      <c r="G72" s="30" t="s">
        <v>550</v>
      </c>
      <c r="H72" t="str">
        <f>CONCATENATE(Prequal[[#This Row],[CITY]], ", ",Prequal[[#This Row],[STATE]])</f>
        <v>Lincolnshire, IL</v>
      </c>
      <c r="J72" s="4" t="s">
        <v>224</v>
      </c>
    </row>
    <row r="73" spans="2:10" x14ac:dyDescent="0.2">
      <c r="B73" s="27" t="s">
        <v>34</v>
      </c>
      <c r="C73" s="28" t="s">
        <v>970</v>
      </c>
      <c r="D73" s="29" t="s">
        <v>14</v>
      </c>
      <c r="E73" s="30" t="s">
        <v>359</v>
      </c>
      <c r="F73" s="28" t="s">
        <v>356</v>
      </c>
      <c r="G73" s="30" t="s">
        <v>550</v>
      </c>
      <c r="H73" t="str">
        <f>CONCATENATE(Prequal[[#This Row],[CITY]], ", ",Prequal[[#This Row],[STATE]])</f>
        <v>Lincolnshire, IL</v>
      </c>
      <c r="J73" s="4" t="s">
        <v>226</v>
      </c>
    </row>
    <row r="74" spans="2:10" x14ac:dyDescent="0.2">
      <c r="B74" s="27" t="s">
        <v>34</v>
      </c>
      <c r="C74" s="28" t="s">
        <v>970</v>
      </c>
      <c r="D74" s="29" t="s">
        <v>15</v>
      </c>
      <c r="E74" s="30" t="s">
        <v>359</v>
      </c>
      <c r="F74" s="28" t="s">
        <v>356</v>
      </c>
      <c r="G74" s="30" t="s">
        <v>550</v>
      </c>
      <c r="H74" t="str">
        <f>CONCATENATE(Prequal[[#This Row],[CITY]], ", ",Prequal[[#This Row],[STATE]])</f>
        <v>Lincolnshire, IL</v>
      </c>
      <c r="J74" s="4" t="s">
        <v>229</v>
      </c>
    </row>
    <row r="75" spans="2:10" x14ac:dyDescent="0.2">
      <c r="B75" s="27" t="s">
        <v>34</v>
      </c>
      <c r="C75" s="28" t="s">
        <v>970</v>
      </c>
      <c r="D75" s="29" t="s">
        <v>30</v>
      </c>
      <c r="E75" s="30" t="s">
        <v>359</v>
      </c>
      <c r="F75" s="28" t="s">
        <v>356</v>
      </c>
      <c r="G75" s="30" t="s">
        <v>550</v>
      </c>
      <c r="H75" t="str">
        <f>CONCATENATE(Prequal[[#This Row],[CITY]], ", ",Prequal[[#This Row],[STATE]])</f>
        <v>Lincolnshire, IL</v>
      </c>
      <c r="J75" s="4" t="s">
        <v>233</v>
      </c>
    </row>
    <row r="76" spans="2:10" x14ac:dyDescent="0.2">
      <c r="B76" s="27" t="s">
        <v>34</v>
      </c>
      <c r="C76" s="28" t="s">
        <v>970</v>
      </c>
      <c r="D76" s="29" t="s">
        <v>31</v>
      </c>
      <c r="E76" s="30" t="s">
        <v>359</v>
      </c>
      <c r="F76" s="28" t="s">
        <v>356</v>
      </c>
      <c r="G76" s="30" t="s">
        <v>550</v>
      </c>
      <c r="H76" t="str">
        <f>CONCATENATE(Prequal[[#This Row],[CITY]], ", ",Prequal[[#This Row],[STATE]])</f>
        <v>Lincolnshire, IL</v>
      </c>
      <c r="J76" s="4" t="s">
        <v>234</v>
      </c>
    </row>
    <row r="77" spans="2:10" x14ac:dyDescent="0.2">
      <c r="B77" s="27" t="s">
        <v>34</v>
      </c>
      <c r="C77" s="28" t="s">
        <v>970</v>
      </c>
      <c r="D77" s="29" t="s">
        <v>32</v>
      </c>
      <c r="E77" s="30" t="s">
        <v>359</v>
      </c>
      <c r="F77" s="28" t="s">
        <v>356</v>
      </c>
      <c r="G77" s="30" t="s">
        <v>550</v>
      </c>
      <c r="H77" t="str">
        <f>CONCATENATE(Prequal[[#This Row],[CITY]], ", ",Prequal[[#This Row],[STATE]])</f>
        <v>Lincolnshire, IL</v>
      </c>
      <c r="J77" s="4" t="s">
        <v>239</v>
      </c>
    </row>
    <row r="78" spans="2:10" x14ac:dyDescent="0.2">
      <c r="B78" s="27" t="s">
        <v>34</v>
      </c>
      <c r="C78" s="28" t="s">
        <v>970</v>
      </c>
      <c r="D78" s="29" t="s">
        <v>38</v>
      </c>
      <c r="E78" s="30" t="s">
        <v>359</v>
      </c>
      <c r="F78" s="28" t="s">
        <v>356</v>
      </c>
      <c r="G78" s="30" t="s">
        <v>550</v>
      </c>
      <c r="H78" t="str">
        <f>CONCATENATE(Prequal[[#This Row],[CITY]], ", ",Prequal[[#This Row],[STATE]])</f>
        <v>Lincolnshire, IL</v>
      </c>
      <c r="J78" s="4" t="s">
        <v>245</v>
      </c>
    </row>
    <row r="79" spans="2:10" x14ac:dyDescent="0.2">
      <c r="B79" s="27" t="s">
        <v>34</v>
      </c>
      <c r="C79" s="28" t="s">
        <v>970</v>
      </c>
      <c r="D79" s="29" t="s">
        <v>33</v>
      </c>
      <c r="E79" s="30" t="s">
        <v>359</v>
      </c>
      <c r="F79" s="28" t="s">
        <v>356</v>
      </c>
      <c r="G79" s="30" t="s">
        <v>550</v>
      </c>
      <c r="H79" t="str">
        <f>CONCATENATE(Prequal[[#This Row],[CITY]], ", ",Prequal[[#This Row],[STATE]])</f>
        <v>Lincolnshire, IL</v>
      </c>
      <c r="J79" s="4" t="s">
        <v>250</v>
      </c>
    </row>
    <row r="80" spans="2:10" x14ac:dyDescent="0.2">
      <c r="B80" s="27" t="s">
        <v>1086</v>
      </c>
      <c r="C80" s="28" t="s">
        <v>970</v>
      </c>
      <c r="D80" s="29" t="s">
        <v>51</v>
      </c>
      <c r="E80" s="30" t="s">
        <v>1087</v>
      </c>
      <c r="F80" s="28" t="s">
        <v>868</v>
      </c>
      <c r="G80" s="30" t="s">
        <v>1088</v>
      </c>
      <c r="H80" t="str">
        <f>CONCATENATE(Prequal[[#This Row],[CITY]], ", ",Prequal[[#This Row],[STATE]])</f>
        <v>Oakland, CA</v>
      </c>
      <c r="J80" s="4" t="s">
        <v>251</v>
      </c>
    </row>
    <row r="81" spans="2:10" x14ac:dyDescent="0.2">
      <c r="B81" s="27" t="s">
        <v>825</v>
      </c>
      <c r="C81" s="28" t="s">
        <v>970</v>
      </c>
      <c r="D81" s="29" t="s">
        <v>39</v>
      </c>
      <c r="E81" s="30" t="s">
        <v>360</v>
      </c>
      <c r="F81" s="28" t="s">
        <v>361</v>
      </c>
      <c r="G81" s="30" t="s">
        <v>826</v>
      </c>
      <c r="H81" t="str">
        <f>CONCATENATE(Prequal[[#This Row],[CITY]], ", ",Prequal[[#This Row],[STATE]])</f>
        <v>St. Charles, MO</v>
      </c>
      <c r="J81" s="4" t="s">
        <v>252</v>
      </c>
    </row>
    <row r="82" spans="2:10" x14ac:dyDescent="0.2">
      <c r="B82" s="27" t="s">
        <v>966</v>
      </c>
      <c r="C82" s="28" t="s">
        <v>969</v>
      </c>
      <c r="D82" s="29" t="s">
        <v>27</v>
      </c>
      <c r="E82" s="30" t="s">
        <v>465</v>
      </c>
      <c r="F82" s="28" t="s">
        <v>356</v>
      </c>
      <c r="G82" s="30" t="s">
        <v>967</v>
      </c>
      <c r="H82" t="str">
        <f>CONCATENATE(Prequal[[#This Row],[CITY]], ", ",Prequal[[#This Row],[STATE]])</f>
        <v>South Elgin, IL</v>
      </c>
      <c r="J82" s="4" t="s">
        <v>256</v>
      </c>
    </row>
    <row r="83" spans="2:10" x14ac:dyDescent="0.2">
      <c r="B83" s="27" t="s">
        <v>966</v>
      </c>
      <c r="C83" s="28" t="s">
        <v>969</v>
      </c>
      <c r="D83" s="29" t="s">
        <v>21</v>
      </c>
      <c r="E83" s="30" t="s">
        <v>465</v>
      </c>
      <c r="F83" s="28" t="s">
        <v>356</v>
      </c>
      <c r="G83" s="30" t="s">
        <v>967</v>
      </c>
      <c r="H83" t="str">
        <f>CONCATENATE(Prequal[[#This Row],[CITY]], ", ",Prequal[[#This Row],[STATE]])</f>
        <v>South Elgin, IL</v>
      </c>
      <c r="J83" s="4" t="s">
        <v>259</v>
      </c>
    </row>
    <row r="84" spans="2:10" x14ac:dyDescent="0.2">
      <c r="B84" s="27" t="s">
        <v>40</v>
      </c>
      <c r="C84" s="28" t="s">
        <v>969</v>
      </c>
      <c r="D84" s="29" t="s">
        <v>20</v>
      </c>
      <c r="E84" s="30" t="s">
        <v>947</v>
      </c>
      <c r="F84" s="28" t="s">
        <v>356</v>
      </c>
      <c r="G84" s="30" t="s">
        <v>551</v>
      </c>
      <c r="H84" t="str">
        <f>CONCATENATE(Prequal[[#This Row],[CITY]], ", ",Prequal[[#This Row],[STATE]])</f>
        <v>Chicago, IL</v>
      </c>
      <c r="J84" s="4" t="s">
        <v>260</v>
      </c>
    </row>
    <row r="85" spans="2:10" x14ac:dyDescent="0.2">
      <c r="B85" s="27" t="s">
        <v>40</v>
      </c>
      <c r="C85" s="28" t="s">
        <v>969</v>
      </c>
      <c r="D85" s="29" t="s">
        <v>21</v>
      </c>
      <c r="E85" s="30" t="s">
        <v>947</v>
      </c>
      <c r="F85" s="28" t="s">
        <v>356</v>
      </c>
      <c r="G85" s="30" t="s">
        <v>551</v>
      </c>
      <c r="H85" t="str">
        <f>CONCATENATE(Prequal[[#This Row],[CITY]], ", ",Prequal[[#This Row],[STATE]])</f>
        <v>Chicago, IL</v>
      </c>
      <c r="J85" s="4" t="s">
        <v>262</v>
      </c>
    </row>
    <row r="86" spans="2:10" x14ac:dyDescent="0.2">
      <c r="B86" s="27" t="s">
        <v>41</v>
      </c>
      <c r="C86" s="28" t="s">
        <v>969</v>
      </c>
      <c r="D86" s="29" t="s">
        <v>35</v>
      </c>
      <c r="E86" s="30" t="s">
        <v>947</v>
      </c>
      <c r="F86" s="28" t="s">
        <v>356</v>
      </c>
      <c r="G86" s="30" t="s">
        <v>552</v>
      </c>
      <c r="H86" t="str">
        <f>CONCATENATE(Prequal[[#This Row],[CITY]], ", ",Prequal[[#This Row],[STATE]])</f>
        <v>Chicago, IL</v>
      </c>
      <c r="J86" s="4" t="s">
        <v>264</v>
      </c>
    </row>
    <row r="87" spans="2:10" x14ac:dyDescent="0.2">
      <c r="B87" s="27" t="s">
        <v>41</v>
      </c>
      <c r="C87" s="28" t="s">
        <v>969</v>
      </c>
      <c r="D87" s="29" t="s">
        <v>125</v>
      </c>
      <c r="E87" s="30" t="s">
        <v>947</v>
      </c>
      <c r="F87" s="28" t="s">
        <v>356</v>
      </c>
      <c r="G87" s="30" t="s">
        <v>552</v>
      </c>
      <c r="H87" t="str">
        <f>CONCATENATE(Prequal[[#This Row],[CITY]], ", ",Prequal[[#This Row],[STATE]])</f>
        <v>Chicago, IL</v>
      </c>
      <c r="J87" s="4" t="s">
        <v>266</v>
      </c>
    </row>
    <row r="88" spans="2:10" x14ac:dyDescent="0.2">
      <c r="B88" s="27" t="s">
        <v>41</v>
      </c>
      <c r="C88" s="28" t="s">
        <v>969</v>
      </c>
      <c r="D88" s="29" t="s">
        <v>42</v>
      </c>
      <c r="E88" s="30" t="s">
        <v>947</v>
      </c>
      <c r="F88" s="28" t="s">
        <v>356</v>
      </c>
      <c r="G88" s="30" t="s">
        <v>552</v>
      </c>
      <c r="H88" t="str">
        <f>CONCATENATE(Prequal[[#This Row],[CITY]], ", ",Prequal[[#This Row],[STATE]])</f>
        <v>Chicago, IL</v>
      </c>
      <c r="J88" s="4" t="s">
        <v>267</v>
      </c>
    </row>
    <row r="89" spans="2:10" x14ac:dyDescent="0.2">
      <c r="B89" s="27" t="s">
        <v>41</v>
      </c>
      <c r="C89" s="28" t="s">
        <v>969</v>
      </c>
      <c r="D89" s="29" t="s">
        <v>43</v>
      </c>
      <c r="E89" s="30" t="s">
        <v>947</v>
      </c>
      <c r="F89" s="28" t="s">
        <v>356</v>
      </c>
      <c r="G89" s="30" t="s">
        <v>552</v>
      </c>
      <c r="H89" t="str">
        <f>CONCATENATE(Prequal[[#This Row],[CITY]], ", ",Prequal[[#This Row],[STATE]])</f>
        <v>Chicago, IL</v>
      </c>
      <c r="J89" s="4" t="s">
        <v>268</v>
      </c>
    </row>
    <row r="90" spans="2:10" x14ac:dyDescent="0.2">
      <c r="B90" s="27" t="s">
        <v>41</v>
      </c>
      <c r="C90" s="28" t="s">
        <v>969</v>
      </c>
      <c r="D90" s="29" t="s">
        <v>44</v>
      </c>
      <c r="E90" s="30" t="s">
        <v>947</v>
      </c>
      <c r="F90" s="28" t="s">
        <v>356</v>
      </c>
      <c r="G90" s="30" t="s">
        <v>552</v>
      </c>
      <c r="H90" t="str">
        <f>CONCATENATE(Prequal[[#This Row],[CITY]], ", ",Prequal[[#This Row],[STATE]])</f>
        <v>Chicago, IL</v>
      </c>
      <c r="J90" s="4" t="s">
        <v>270</v>
      </c>
    </row>
    <row r="91" spans="2:10" x14ac:dyDescent="0.2">
      <c r="B91" s="27" t="s">
        <v>41</v>
      </c>
      <c r="C91" s="28" t="s">
        <v>969</v>
      </c>
      <c r="D91" s="29" t="s">
        <v>46</v>
      </c>
      <c r="E91" s="30" t="s">
        <v>947</v>
      </c>
      <c r="F91" s="28" t="s">
        <v>356</v>
      </c>
      <c r="G91" s="30" t="s">
        <v>552</v>
      </c>
      <c r="H91" t="str">
        <f>CONCATENATE(Prequal[[#This Row],[CITY]], ", ",Prequal[[#This Row],[STATE]])</f>
        <v>Chicago, IL</v>
      </c>
      <c r="J91" s="4" t="s">
        <v>271</v>
      </c>
    </row>
    <row r="92" spans="2:10" x14ac:dyDescent="0.2">
      <c r="B92" s="27" t="s">
        <v>41</v>
      </c>
      <c r="C92" s="28" t="s">
        <v>969</v>
      </c>
      <c r="D92" s="29" t="s">
        <v>47</v>
      </c>
      <c r="E92" s="30" t="s">
        <v>947</v>
      </c>
      <c r="F92" s="28" t="s">
        <v>356</v>
      </c>
      <c r="G92" s="30" t="s">
        <v>552</v>
      </c>
      <c r="H92" t="str">
        <f>CONCATENATE(Prequal[[#This Row],[CITY]], ", ",Prequal[[#This Row],[STATE]])</f>
        <v>Chicago, IL</v>
      </c>
      <c r="J92" s="4" t="s">
        <v>272</v>
      </c>
    </row>
    <row r="93" spans="2:10" x14ac:dyDescent="0.2">
      <c r="B93" s="27" t="s">
        <v>41</v>
      </c>
      <c r="C93" s="28" t="s">
        <v>969</v>
      </c>
      <c r="D93" s="29" t="s">
        <v>48</v>
      </c>
      <c r="E93" s="30" t="s">
        <v>947</v>
      </c>
      <c r="F93" s="28" t="s">
        <v>356</v>
      </c>
      <c r="G93" s="30" t="s">
        <v>552</v>
      </c>
      <c r="H93" t="str">
        <f>CONCATENATE(Prequal[[#This Row],[CITY]], ", ",Prequal[[#This Row],[STATE]])</f>
        <v>Chicago, IL</v>
      </c>
      <c r="J93" s="4" t="s">
        <v>278</v>
      </c>
    </row>
    <row r="94" spans="2:10" x14ac:dyDescent="0.2">
      <c r="B94" s="27" t="s">
        <v>41</v>
      </c>
      <c r="C94" s="28" t="s">
        <v>969</v>
      </c>
      <c r="D94" s="29" t="s">
        <v>4</v>
      </c>
      <c r="E94" s="30" t="s">
        <v>947</v>
      </c>
      <c r="F94" s="28" t="s">
        <v>356</v>
      </c>
      <c r="G94" s="30" t="s">
        <v>552</v>
      </c>
      <c r="H94" t="str">
        <f>CONCATENATE(Prequal[[#This Row],[CITY]], ", ",Prequal[[#This Row],[STATE]])</f>
        <v>Chicago, IL</v>
      </c>
      <c r="J94" s="4" t="s">
        <v>279</v>
      </c>
    </row>
    <row r="95" spans="2:10" x14ac:dyDescent="0.2">
      <c r="B95" s="27" t="s">
        <v>41</v>
      </c>
      <c r="C95" s="28" t="s">
        <v>969</v>
      </c>
      <c r="D95" s="29" t="s">
        <v>5</v>
      </c>
      <c r="E95" s="30" t="s">
        <v>947</v>
      </c>
      <c r="F95" s="28" t="s">
        <v>356</v>
      </c>
      <c r="G95" s="30" t="s">
        <v>552</v>
      </c>
      <c r="H95" t="str">
        <f>CONCATENATE(Prequal[[#This Row],[CITY]], ", ",Prequal[[#This Row],[STATE]])</f>
        <v>Chicago, IL</v>
      </c>
      <c r="J95" s="4" t="s">
        <v>281</v>
      </c>
    </row>
    <row r="96" spans="2:10" x14ac:dyDescent="0.2">
      <c r="B96" s="27" t="s">
        <v>41</v>
      </c>
      <c r="C96" s="28" t="s">
        <v>969</v>
      </c>
      <c r="D96" s="29" t="s">
        <v>6</v>
      </c>
      <c r="E96" s="30" t="s">
        <v>947</v>
      </c>
      <c r="F96" s="28" t="s">
        <v>356</v>
      </c>
      <c r="G96" s="30" t="s">
        <v>552</v>
      </c>
      <c r="H96" t="str">
        <f>CONCATENATE(Prequal[[#This Row],[CITY]], ", ",Prequal[[#This Row],[STATE]])</f>
        <v>Chicago, IL</v>
      </c>
      <c r="J96" s="4" t="s">
        <v>283</v>
      </c>
    </row>
    <row r="97" spans="2:10" x14ac:dyDescent="0.2">
      <c r="B97" s="27" t="s">
        <v>41</v>
      </c>
      <c r="C97" s="28" t="s">
        <v>969</v>
      </c>
      <c r="D97" s="29" t="s">
        <v>7</v>
      </c>
      <c r="E97" s="30" t="s">
        <v>947</v>
      </c>
      <c r="F97" s="28" t="s">
        <v>356</v>
      </c>
      <c r="G97" s="30" t="s">
        <v>552</v>
      </c>
      <c r="H97" t="str">
        <f>CONCATENATE(Prequal[[#This Row],[CITY]], ", ",Prequal[[#This Row],[STATE]])</f>
        <v>Chicago, IL</v>
      </c>
      <c r="J97" s="4" t="s">
        <v>289</v>
      </c>
    </row>
    <row r="98" spans="2:10" x14ac:dyDescent="0.2">
      <c r="B98" s="27" t="s">
        <v>41</v>
      </c>
      <c r="C98" s="28" t="s">
        <v>969</v>
      </c>
      <c r="D98" s="29" t="s">
        <v>8</v>
      </c>
      <c r="E98" s="30" t="s">
        <v>947</v>
      </c>
      <c r="F98" s="28" t="s">
        <v>356</v>
      </c>
      <c r="G98" s="30" t="s">
        <v>552</v>
      </c>
      <c r="H98" t="str">
        <f>CONCATENATE(Prequal[[#This Row],[CITY]], ", ",Prequal[[#This Row],[STATE]])</f>
        <v>Chicago, IL</v>
      </c>
      <c r="J98" s="4" t="s">
        <v>295</v>
      </c>
    </row>
    <row r="99" spans="2:10" x14ac:dyDescent="0.2">
      <c r="B99" s="27" t="s">
        <v>41</v>
      </c>
      <c r="C99" s="28" t="s">
        <v>969</v>
      </c>
      <c r="D99" s="29" t="s">
        <v>24</v>
      </c>
      <c r="E99" s="30" t="s">
        <v>947</v>
      </c>
      <c r="F99" s="28" t="s">
        <v>356</v>
      </c>
      <c r="G99" s="30" t="s">
        <v>552</v>
      </c>
      <c r="H99" t="str">
        <f>CONCATENATE(Prequal[[#This Row],[CITY]], ", ",Prequal[[#This Row],[STATE]])</f>
        <v>Chicago, IL</v>
      </c>
      <c r="J99" s="4" t="s">
        <v>299</v>
      </c>
    </row>
    <row r="100" spans="2:10" x14ac:dyDescent="0.2">
      <c r="B100" s="27" t="s">
        <v>41</v>
      </c>
      <c r="C100" s="28" t="s">
        <v>969</v>
      </c>
      <c r="D100" s="29" t="s">
        <v>25</v>
      </c>
      <c r="E100" s="30" t="s">
        <v>947</v>
      </c>
      <c r="F100" s="28" t="s">
        <v>356</v>
      </c>
      <c r="G100" s="30" t="s">
        <v>552</v>
      </c>
      <c r="H100" t="str">
        <f>CONCATENATE(Prequal[[#This Row],[CITY]], ", ",Prequal[[#This Row],[STATE]])</f>
        <v>Chicago, IL</v>
      </c>
      <c r="J100" s="4" t="s">
        <v>305</v>
      </c>
    </row>
    <row r="101" spans="2:10" x14ac:dyDescent="0.2">
      <c r="B101" s="27" t="s">
        <v>41</v>
      </c>
      <c r="C101" s="28" t="s">
        <v>969</v>
      </c>
      <c r="D101" s="29" t="s">
        <v>9</v>
      </c>
      <c r="E101" s="30" t="s">
        <v>947</v>
      </c>
      <c r="F101" s="28" t="s">
        <v>356</v>
      </c>
      <c r="G101" s="30" t="s">
        <v>552</v>
      </c>
      <c r="H101" t="str">
        <f>CONCATENATE(Prequal[[#This Row],[CITY]], ", ",Prequal[[#This Row],[STATE]])</f>
        <v>Chicago, IL</v>
      </c>
      <c r="J101" s="4" t="s">
        <v>306</v>
      </c>
    </row>
    <row r="102" spans="2:10" x14ac:dyDescent="0.2">
      <c r="B102" s="27" t="s">
        <v>41</v>
      </c>
      <c r="C102" s="28" t="s">
        <v>969</v>
      </c>
      <c r="D102" s="29" t="s">
        <v>26</v>
      </c>
      <c r="E102" s="30" t="s">
        <v>947</v>
      </c>
      <c r="F102" s="28" t="s">
        <v>356</v>
      </c>
      <c r="G102" s="30" t="s">
        <v>552</v>
      </c>
      <c r="H102" t="str">
        <f>CONCATENATE(Prequal[[#This Row],[CITY]], ", ",Prequal[[#This Row],[STATE]])</f>
        <v>Chicago, IL</v>
      </c>
      <c r="J102" s="4" t="s">
        <v>308</v>
      </c>
    </row>
    <row r="103" spans="2:10" x14ac:dyDescent="0.2">
      <c r="B103" s="27" t="s">
        <v>41</v>
      </c>
      <c r="C103" s="28" t="s">
        <v>969</v>
      </c>
      <c r="D103" s="29" t="s">
        <v>20</v>
      </c>
      <c r="E103" s="30" t="s">
        <v>947</v>
      </c>
      <c r="F103" s="28" t="s">
        <v>356</v>
      </c>
      <c r="G103" s="30" t="s">
        <v>552</v>
      </c>
      <c r="H103" t="str">
        <f>CONCATENATE(Prequal[[#This Row],[CITY]], ", ",Prequal[[#This Row],[STATE]])</f>
        <v>Chicago, IL</v>
      </c>
      <c r="J103" s="4" t="s">
        <v>309</v>
      </c>
    </row>
    <row r="104" spans="2:10" x14ac:dyDescent="0.2">
      <c r="B104" s="27" t="s">
        <v>41</v>
      </c>
      <c r="C104" s="28" t="s">
        <v>969</v>
      </c>
      <c r="D104" s="29" t="s">
        <v>49</v>
      </c>
      <c r="E104" s="30" t="s">
        <v>947</v>
      </c>
      <c r="F104" s="28" t="s">
        <v>356</v>
      </c>
      <c r="G104" s="30" t="s">
        <v>552</v>
      </c>
      <c r="H104" t="str">
        <f>CONCATENATE(Prequal[[#This Row],[CITY]], ", ",Prequal[[#This Row],[STATE]])</f>
        <v>Chicago, IL</v>
      </c>
      <c r="J104" s="4" t="s">
        <v>314</v>
      </c>
    </row>
    <row r="105" spans="2:10" x14ac:dyDescent="0.2">
      <c r="B105" s="27" t="s">
        <v>41</v>
      </c>
      <c r="C105" s="28" t="s">
        <v>969</v>
      </c>
      <c r="D105" s="29" t="s">
        <v>27</v>
      </c>
      <c r="E105" s="30" t="s">
        <v>947</v>
      </c>
      <c r="F105" s="28" t="s">
        <v>356</v>
      </c>
      <c r="G105" s="30" t="s">
        <v>552</v>
      </c>
      <c r="H105" t="str">
        <f>CONCATENATE(Prequal[[#This Row],[CITY]], ", ",Prequal[[#This Row],[STATE]])</f>
        <v>Chicago, IL</v>
      </c>
      <c r="J105" s="4" t="s">
        <v>315</v>
      </c>
    </row>
    <row r="106" spans="2:10" x14ac:dyDescent="0.2">
      <c r="B106" s="27" t="s">
        <v>41</v>
      </c>
      <c r="C106" s="28" t="s">
        <v>969</v>
      </c>
      <c r="D106" s="29" t="s">
        <v>10</v>
      </c>
      <c r="E106" s="30" t="s">
        <v>947</v>
      </c>
      <c r="F106" s="28" t="s">
        <v>356</v>
      </c>
      <c r="G106" s="30" t="s">
        <v>552</v>
      </c>
      <c r="H106" t="str">
        <f>CONCATENATE(Prequal[[#This Row],[CITY]], ", ",Prequal[[#This Row],[STATE]])</f>
        <v>Chicago, IL</v>
      </c>
      <c r="J106" s="4" t="s">
        <v>318</v>
      </c>
    </row>
    <row r="107" spans="2:10" x14ac:dyDescent="0.2">
      <c r="B107" s="27" t="s">
        <v>41</v>
      </c>
      <c r="C107" s="28" t="s">
        <v>969</v>
      </c>
      <c r="D107" s="29" t="s">
        <v>21</v>
      </c>
      <c r="E107" s="30" t="s">
        <v>947</v>
      </c>
      <c r="F107" s="28" t="s">
        <v>356</v>
      </c>
      <c r="G107" s="30" t="s">
        <v>552</v>
      </c>
      <c r="H107" t="str">
        <f>CONCATENATE(Prequal[[#This Row],[CITY]], ", ",Prequal[[#This Row],[STATE]])</f>
        <v>Chicago, IL</v>
      </c>
      <c r="J107" s="4" t="s">
        <v>322</v>
      </c>
    </row>
    <row r="108" spans="2:10" x14ac:dyDescent="0.2">
      <c r="B108" s="27" t="s">
        <v>41</v>
      </c>
      <c r="C108" s="28" t="s">
        <v>969</v>
      </c>
      <c r="D108" s="29" t="s">
        <v>11</v>
      </c>
      <c r="E108" s="30" t="s">
        <v>947</v>
      </c>
      <c r="F108" s="28" t="s">
        <v>356</v>
      </c>
      <c r="G108" s="30" t="s">
        <v>552</v>
      </c>
      <c r="H108" t="str">
        <f>CONCATENATE(Prequal[[#This Row],[CITY]], ", ",Prequal[[#This Row],[STATE]])</f>
        <v>Chicago, IL</v>
      </c>
      <c r="J108" s="4" t="s">
        <v>323</v>
      </c>
    </row>
    <row r="109" spans="2:10" x14ac:dyDescent="0.2">
      <c r="B109" s="27" t="s">
        <v>41</v>
      </c>
      <c r="C109" s="28" t="s">
        <v>969</v>
      </c>
      <c r="D109" s="29" t="s">
        <v>22</v>
      </c>
      <c r="E109" s="30" t="s">
        <v>947</v>
      </c>
      <c r="F109" s="28" t="s">
        <v>356</v>
      </c>
      <c r="G109" s="30" t="s">
        <v>552</v>
      </c>
      <c r="H109" t="str">
        <f>CONCATENATE(Prequal[[#This Row],[CITY]], ", ",Prequal[[#This Row],[STATE]])</f>
        <v>Chicago, IL</v>
      </c>
      <c r="J109" s="4" t="s">
        <v>325</v>
      </c>
    </row>
    <row r="110" spans="2:10" x14ac:dyDescent="0.2">
      <c r="B110" s="27" t="s">
        <v>41</v>
      </c>
      <c r="C110" s="28" t="s">
        <v>969</v>
      </c>
      <c r="D110" s="29" t="s">
        <v>51</v>
      </c>
      <c r="E110" s="30" t="s">
        <v>947</v>
      </c>
      <c r="F110" s="28" t="s">
        <v>356</v>
      </c>
      <c r="G110" s="30" t="s">
        <v>552</v>
      </c>
      <c r="H110" t="str">
        <f>CONCATENATE(Prequal[[#This Row],[CITY]], ", ",Prequal[[#This Row],[STATE]])</f>
        <v>Chicago, IL</v>
      </c>
      <c r="J110" s="4" t="s">
        <v>335</v>
      </c>
    </row>
    <row r="111" spans="2:10" x14ac:dyDescent="0.2">
      <c r="B111" s="27" t="s">
        <v>41</v>
      </c>
      <c r="C111" s="28" t="s">
        <v>969</v>
      </c>
      <c r="D111" s="29" t="s">
        <v>39</v>
      </c>
      <c r="E111" s="30" t="s">
        <v>947</v>
      </c>
      <c r="F111" s="28" t="s">
        <v>356</v>
      </c>
      <c r="G111" s="30" t="s">
        <v>552</v>
      </c>
      <c r="H111" t="str">
        <f>CONCATENATE(Prequal[[#This Row],[CITY]], ", ",Prequal[[#This Row],[STATE]])</f>
        <v>Chicago, IL</v>
      </c>
      <c r="J111" s="4" t="s">
        <v>336</v>
      </c>
    </row>
    <row r="112" spans="2:10" x14ac:dyDescent="0.2">
      <c r="B112" s="27" t="s">
        <v>41</v>
      </c>
      <c r="C112" s="28" t="s">
        <v>969</v>
      </c>
      <c r="D112" s="29" t="s">
        <v>12</v>
      </c>
      <c r="E112" s="30" t="s">
        <v>947</v>
      </c>
      <c r="F112" s="28" t="s">
        <v>356</v>
      </c>
      <c r="G112" s="30" t="s">
        <v>552</v>
      </c>
      <c r="H112" t="str">
        <f>CONCATENATE(Prequal[[#This Row],[CITY]], ", ",Prequal[[#This Row],[STATE]])</f>
        <v>Chicago, IL</v>
      </c>
      <c r="J112" s="4" t="s">
        <v>517</v>
      </c>
    </row>
    <row r="113" spans="2:10" x14ac:dyDescent="0.2">
      <c r="B113" s="27" t="s">
        <v>41</v>
      </c>
      <c r="C113" s="28" t="s">
        <v>969</v>
      </c>
      <c r="D113" s="29" t="s">
        <v>29</v>
      </c>
      <c r="E113" s="30" t="s">
        <v>947</v>
      </c>
      <c r="F113" s="28" t="s">
        <v>356</v>
      </c>
      <c r="G113" s="30" t="s">
        <v>552</v>
      </c>
      <c r="H113" t="str">
        <f>CONCATENATE(Prequal[[#This Row],[CITY]], ", ",Prequal[[#This Row],[STATE]])</f>
        <v>Chicago, IL</v>
      </c>
      <c r="J113" s="4" t="s">
        <v>528</v>
      </c>
    </row>
    <row r="114" spans="2:10" x14ac:dyDescent="0.2">
      <c r="B114" s="27" t="s">
        <v>41</v>
      </c>
      <c r="C114" s="28" t="s">
        <v>969</v>
      </c>
      <c r="D114" s="29" t="s">
        <v>37</v>
      </c>
      <c r="E114" s="30" t="s">
        <v>947</v>
      </c>
      <c r="F114" s="28" t="s">
        <v>356</v>
      </c>
      <c r="G114" s="30" t="s">
        <v>552</v>
      </c>
      <c r="H114" t="str">
        <f>CONCATENATE(Prequal[[#This Row],[CITY]], ", ",Prequal[[#This Row],[STATE]])</f>
        <v>Chicago, IL</v>
      </c>
      <c r="J114" s="4" t="s">
        <v>530</v>
      </c>
    </row>
    <row r="115" spans="2:10" x14ac:dyDescent="0.2">
      <c r="B115" s="27" t="s">
        <v>41</v>
      </c>
      <c r="C115" s="28" t="s">
        <v>969</v>
      </c>
      <c r="D115" s="29" t="s">
        <v>993</v>
      </c>
      <c r="E115" s="30" t="s">
        <v>947</v>
      </c>
      <c r="F115" s="28" t="s">
        <v>356</v>
      </c>
      <c r="G115" s="30" t="s">
        <v>552</v>
      </c>
      <c r="H115" t="str">
        <f>CONCATENATE(Prequal[[#This Row],[CITY]], ", ",Prequal[[#This Row],[STATE]])</f>
        <v>Chicago, IL</v>
      </c>
      <c r="J115" s="4" t="s">
        <v>531</v>
      </c>
    </row>
    <row r="116" spans="2:10" x14ac:dyDescent="0.2">
      <c r="B116" s="27" t="s">
        <v>41</v>
      </c>
      <c r="C116" s="28" t="s">
        <v>969</v>
      </c>
      <c r="D116" s="29" t="s">
        <v>13</v>
      </c>
      <c r="E116" s="30" t="s">
        <v>947</v>
      </c>
      <c r="F116" s="28" t="s">
        <v>356</v>
      </c>
      <c r="G116" s="30" t="s">
        <v>552</v>
      </c>
      <c r="H116" t="str">
        <f>CONCATENATE(Prequal[[#This Row],[CITY]], ", ",Prequal[[#This Row],[STATE]])</f>
        <v>Chicago, IL</v>
      </c>
      <c r="J116" s="4" t="s">
        <v>533</v>
      </c>
    </row>
    <row r="117" spans="2:10" x14ac:dyDescent="0.2">
      <c r="B117" s="27" t="s">
        <v>41</v>
      </c>
      <c r="C117" s="28" t="s">
        <v>969</v>
      </c>
      <c r="D117" s="29" t="s">
        <v>52</v>
      </c>
      <c r="E117" s="30" t="s">
        <v>947</v>
      </c>
      <c r="F117" s="28" t="s">
        <v>356</v>
      </c>
      <c r="G117" s="30" t="s">
        <v>552</v>
      </c>
      <c r="H117" t="str">
        <f>CONCATENATE(Prequal[[#This Row],[CITY]], ", ",Prequal[[#This Row],[STATE]])</f>
        <v>Chicago, IL</v>
      </c>
      <c r="J117" s="4" t="s">
        <v>536</v>
      </c>
    </row>
    <row r="118" spans="2:10" x14ac:dyDescent="0.2">
      <c r="B118" s="27" t="s">
        <v>41</v>
      </c>
      <c r="C118" s="28" t="s">
        <v>969</v>
      </c>
      <c r="D118" s="29" t="s">
        <v>14</v>
      </c>
      <c r="E118" s="30" t="s">
        <v>947</v>
      </c>
      <c r="F118" s="28" t="s">
        <v>356</v>
      </c>
      <c r="G118" s="30" t="s">
        <v>552</v>
      </c>
      <c r="H118" t="str">
        <f>CONCATENATE(Prequal[[#This Row],[CITY]], ", ",Prequal[[#This Row],[STATE]])</f>
        <v>Chicago, IL</v>
      </c>
      <c r="J118" s="4" t="s">
        <v>538</v>
      </c>
    </row>
    <row r="119" spans="2:10" x14ac:dyDescent="0.2">
      <c r="B119" s="27" t="s">
        <v>41</v>
      </c>
      <c r="C119" s="28" t="s">
        <v>969</v>
      </c>
      <c r="D119" s="29" t="s">
        <v>15</v>
      </c>
      <c r="E119" s="30" t="s">
        <v>947</v>
      </c>
      <c r="F119" s="28" t="s">
        <v>356</v>
      </c>
      <c r="G119" s="30" t="s">
        <v>552</v>
      </c>
      <c r="H119" t="str">
        <f>CONCATENATE(Prequal[[#This Row],[CITY]], ", ",Prequal[[#This Row],[STATE]])</f>
        <v>Chicago, IL</v>
      </c>
      <c r="J119" s="4" t="s">
        <v>812</v>
      </c>
    </row>
    <row r="120" spans="2:10" x14ac:dyDescent="0.2">
      <c r="B120" s="27" t="s">
        <v>41</v>
      </c>
      <c r="C120" s="28" t="s">
        <v>969</v>
      </c>
      <c r="D120" s="29" t="s">
        <v>30</v>
      </c>
      <c r="E120" s="30" t="s">
        <v>947</v>
      </c>
      <c r="F120" s="28" t="s">
        <v>356</v>
      </c>
      <c r="G120" s="30" t="s">
        <v>552</v>
      </c>
      <c r="H120" t="str">
        <f>CONCATENATE(Prequal[[#This Row],[CITY]], ", ",Prequal[[#This Row],[STATE]])</f>
        <v>Chicago, IL</v>
      </c>
      <c r="J120" s="4" t="s">
        <v>813</v>
      </c>
    </row>
    <row r="121" spans="2:10" x14ac:dyDescent="0.2">
      <c r="B121" s="27" t="s">
        <v>41</v>
      </c>
      <c r="C121" s="28" t="s">
        <v>969</v>
      </c>
      <c r="D121" s="29" t="s">
        <v>53</v>
      </c>
      <c r="E121" s="30" t="s">
        <v>947</v>
      </c>
      <c r="F121" s="28" t="s">
        <v>356</v>
      </c>
      <c r="G121" s="30" t="s">
        <v>552</v>
      </c>
      <c r="H121" t="str">
        <f>CONCATENATE(Prequal[[#This Row],[CITY]], ", ",Prequal[[#This Row],[STATE]])</f>
        <v>Chicago, IL</v>
      </c>
      <c r="J121" s="4" t="s">
        <v>815</v>
      </c>
    </row>
    <row r="122" spans="2:10" x14ac:dyDescent="0.2">
      <c r="B122" s="27" t="s">
        <v>41</v>
      </c>
      <c r="C122" s="28" t="s">
        <v>969</v>
      </c>
      <c r="D122" s="29" t="s">
        <v>31</v>
      </c>
      <c r="E122" s="30" t="s">
        <v>947</v>
      </c>
      <c r="F122" s="28" t="s">
        <v>356</v>
      </c>
      <c r="G122" s="30" t="s">
        <v>552</v>
      </c>
      <c r="H122" t="str">
        <f>CONCATENATE(Prequal[[#This Row],[CITY]], ", ",Prequal[[#This Row],[STATE]])</f>
        <v>Chicago, IL</v>
      </c>
      <c r="J122" s="4" t="s">
        <v>820</v>
      </c>
    </row>
    <row r="123" spans="2:10" x14ac:dyDescent="0.2">
      <c r="B123" s="27" t="s">
        <v>41</v>
      </c>
      <c r="C123" s="28" t="s">
        <v>969</v>
      </c>
      <c r="D123" s="29" t="s">
        <v>32</v>
      </c>
      <c r="E123" s="30" t="s">
        <v>947</v>
      </c>
      <c r="F123" s="28" t="s">
        <v>356</v>
      </c>
      <c r="G123" s="30" t="s">
        <v>552</v>
      </c>
      <c r="H123" t="str">
        <f>CONCATENATE(Prequal[[#This Row],[CITY]], ", ",Prequal[[#This Row],[STATE]])</f>
        <v>Chicago, IL</v>
      </c>
      <c r="J123" s="4" t="s">
        <v>822</v>
      </c>
    </row>
    <row r="124" spans="2:10" x14ac:dyDescent="0.2">
      <c r="B124" s="27" t="s">
        <v>41</v>
      </c>
      <c r="C124" s="28" t="s">
        <v>969</v>
      </c>
      <c r="D124" s="29" t="s">
        <v>54</v>
      </c>
      <c r="E124" s="30" t="s">
        <v>947</v>
      </c>
      <c r="F124" s="28" t="s">
        <v>356</v>
      </c>
      <c r="G124" s="30" t="s">
        <v>552</v>
      </c>
      <c r="H124" t="str">
        <f>CONCATENATE(Prequal[[#This Row],[CITY]], ", ",Prequal[[#This Row],[STATE]])</f>
        <v>Chicago, IL</v>
      </c>
      <c r="J124" s="4" t="s">
        <v>825</v>
      </c>
    </row>
    <row r="125" spans="2:10" x14ac:dyDescent="0.2">
      <c r="B125" s="27" t="s">
        <v>41</v>
      </c>
      <c r="C125" s="28" t="s">
        <v>969</v>
      </c>
      <c r="D125" s="29" t="s">
        <v>38</v>
      </c>
      <c r="E125" s="30" t="s">
        <v>947</v>
      </c>
      <c r="F125" s="28" t="s">
        <v>356</v>
      </c>
      <c r="G125" s="30" t="s">
        <v>552</v>
      </c>
      <c r="H125" t="str">
        <f>CONCATENATE(Prequal[[#This Row],[CITY]], ", ",Prequal[[#This Row],[STATE]])</f>
        <v>Chicago, IL</v>
      </c>
      <c r="J125" s="4" t="s">
        <v>830</v>
      </c>
    </row>
    <row r="126" spans="2:10" x14ac:dyDescent="0.2">
      <c r="B126" s="27" t="s">
        <v>41</v>
      </c>
      <c r="C126" s="28" t="s">
        <v>969</v>
      </c>
      <c r="D126" s="29" t="s">
        <v>55</v>
      </c>
      <c r="E126" s="30" t="s">
        <v>947</v>
      </c>
      <c r="F126" s="28" t="s">
        <v>356</v>
      </c>
      <c r="G126" s="30" t="s">
        <v>552</v>
      </c>
      <c r="H126" t="str">
        <f>CONCATENATE(Prequal[[#This Row],[CITY]], ", ",Prequal[[#This Row],[STATE]])</f>
        <v>Chicago, IL</v>
      </c>
      <c r="J126" s="4" t="s">
        <v>838</v>
      </c>
    </row>
    <row r="127" spans="2:10" x14ac:dyDescent="0.2">
      <c r="B127" s="27" t="s">
        <v>41</v>
      </c>
      <c r="C127" s="28" t="s">
        <v>969</v>
      </c>
      <c r="D127" s="29" t="s">
        <v>56</v>
      </c>
      <c r="E127" s="30" t="s">
        <v>947</v>
      </c>
      <c r="F127" s="28" t="s">
        <v>356</v>
      </c>
      <c r="G127" s="30" t="s">
        <v>552</v>
      </c>
      <c r="H127" t="str">
        <f>CONCATENATE(Prequal[[#This Row],[CITY]], ", ",Prequal[[#This Row],[STATE]])</f>
        <v>Chicago, IL</v>
      </c>
      <c r="J127" s="4" t="s">
        <v>840</v>
      </c>
    </row>
    <row r="128" spans="2:10" x14ac:dyDescent="0.2">
      <c r="B128" s="27" t="s">
        <v>41</v>
      </c>
      <c r="C128" s="28" t="s">
        <v>969</v>
      </c>
      <c r="D128" s="29" t="s">
        <v>33</v>
      </c>
      <c r="E128" s="30" t="s">
        <v>947</v>
      </c>
      <c r="F128" s="28" t="s">
        <v>356</v>
      </c>
      <c r="G128" s="30" t="s">
        <v>552</v>
      </c>
      <c r="H128" t="str">
        <f>CONCATENATE(Prequal[[#This Row],[CITY]], ", ",Prequal[[#This Row],[STATE]])</f>
        <v>Chicago, IL</v>
      </c>
      <c r="J128" s="4" t="s">
        <v>862</v>
      </c>
    </row>
    <row r="129" spans="2:10" x14ac:dyDescent="0.2">
      <c r="B129" s="27" t="s">
        <v>41</v>
      </c>
      <c r="C129" s="28" t="s">
        <v>969</v>
      </c>
      <c r="D129" s="29" t="s">
        <v>57</v>
      </c>
      <c r="E129" s="30" t="s">
        <v>947</v>
      </c>
      <c r="F129" s="28" t="s">
        <v>356</v>
      </c>
      <c r="G129" s="30" t="s">
        <v>552</v>
      </c>
      <c r="H129" t="str">
        <f>CONCATENATE(Prequal[[#This Row],[CITY]], ", ",Prequal[[#This Row],[STATE]])</f>
        <v>Chicago, IL</v>
      </c>
      <c r="J129" s="4" t="s">
        <v>866</v>
      </c>
    </row>
    <row r="130" spans="2:10" x14ac:dyDescent="0.2">
      <c r="B130" s="27" t="s">
        <v>530</v>
      </c>
      <c r="C130" s="28" t="s">
        <v>970</v>
      </c>
      <c r="D130" s="29" t="s">
        <v>10</v>
      </c>
      <c r="E130" s="30" t="s">
        <v>396</v>
      </c>
      <c r="F130" s="28" t="s">
        <v>356</v>
      </c>
      <c r="G130" s="30" t="s">
        <v>553</v>
      </c>
      <c r="H130" t="str">
        <f>CONCATENATE(Prequal[[#This Row],[CITY]], ", ",Prequal[[#This Row],[STATE]])</f>
        <v>Aurora, IL</v>
      </c>
      <c r="J130" s="4" t="s">
        <v>875</v>
      </c>
    </row>
    <row r="131" spans="2:10" x14ac:dyDescent="0.2">
      <c r="B131" s="27" t="s">
        <v>58</v>
      </c>
      <c r="C131" s="28" t="s">
        <v>970</v>
      </c>
      <c r="D131" s="29" t="s">
        <v>59</v>
      </c>
      <c r="E131" s="30" t="s">
        <v>947</v>
      </c>
      <c r="F131" s="28" t="s">
        <v>356</v>
      </c>
      <c r="G131" s="30" t="s">
        <v>1001</v>
      </c>
      <c r="H131" t="str">
        <f>CONCATENATE(Prequal[[#This Row],[CITY]], ", ",Prequal[[#This Row],[STATE]])</f>
        <v>Chicago, IL</v>
      </c>
      <c r="J131" s="4" t="s">
        <v>877</v>
      </c>
    </row>
    <row r="132" spans="2:10" x14ac:dyDescent="0.2">
      <c r="B132" s="27" t="s">
        <v>60</v>
      </c>
      <c r="C132" s="28" t="s">
        <v>970</v>
      </c>
      <c r="D132" s="29" t="s">
        <v>10</v>
      </c>
      <c r="E132" s="30" t="s">
        <v>947</v>
      </c>
      <c r="F132" s="28" t="s">
        <v>356</v>
      </c>
      <c r="G132" s="30" t="s">
        <v>554</v>
      </c>
      <c r="H132" t="str">
        <f>CONCATENATE(Prequal[[#This Row],[CITY]], ", ",Prequal[[#This Row],[STATE]])</f>
        <v>Chicago, IL</v>
      </c>
      <c r="J132" s="4" t="s">
        <v>884</v>
      </c>
    </row>
    <row r="133" spans="2:10" x14ac:dyDescent="0.2">
      <c r="B133" s="27" t="s">
        <v>61</v>
      </c>
      <c r="C133" s="28" t="s">
        <v>969</v>
      </c>
      <c r="D133" s="29" t="s">
        <v>46</v>
      </c>
      <c r="E133" s="30" t="s">
        <v>362</v>
      </c>
      <c r="F133" s="28" t="s">
        <v>363</v>
      </c>
      <c r="G133" s="30" t="s">
        <v>1098</v>
      </c>
      <c r="H133" t="str">
        <f>CONCATENATE(Prequal[[#This Row],[CITY]], ", ",Prequal[[#This Row],[STATE]])</f>
        <v>Saint Paul, MN</v>
      </c>
      <c r="J133" s="4" t="s">
        <v>882</v>
      </c>
    </row>
    <row r="134" spans="2:10" x14ac:dyDescent="0.2">
      <c r="B134" s="27" t="s">
        <v>61</v>
      </c>
      <c r="C134" s="28" t="s">
        <v>969</v>
      </c>
      <c r="D134" s="29" t="s">
        <v>48</v>
      </c>
      <c r="E134" s="30" t="s">
        <v>362</v>
      </c>
      <c r="F134" s="28" t="s">
        <v>363</v>
      </c>
      <c r="G134" s="30" t="s">
        <v>1098</v>
      </c>
      <c r="H134" t="str">
        <f>CONCATENATE(Prequal[[#This Row],[CITY]], ", ",Prequal[[#This Row],[STATE]])</f>
        <v>Saint Paul, MN</v>
      </c>
      <c r="J134" s="4" t="s">
        <v>900</v>
      </c>
    </row>
    <row r="135" spans="2:10" x14ac:dyDescent="0.2">
      <c r="B135" s="27" t="s">
        <v>62</v>
      </c>
      <c r="C135" s="28" t="s">
        <v>969</v>
      </c>
      <c r="D135" s="29" t="s">
        <v>4</v>
      </c>
      <c r="E135" s="30" t="s">
        <v>364</v>
      </c>
      <c r="F135" s="28" t="s">
        <v>365</v>
      </c>
      <c r="G135" s="30" t="s">
        <v>555</v>
      </c>
      <c r="H135" t="str">
        <f>CONCATENATE(Prequal[[#This Row],[CITY]], ", ",Prequal[[#This Row],[STATE]])</f>
        <v>Indianapolis, IN</v>
      </c>
      <c r="J135" s="4" t="s">
        <v>906</v>
      </c>
    </row>
    <row r="136" spans="2:10" x14ac:dyDescent="0.2">
      <c r="B136" s="27" t="s">
        <v>62</v>
      </c>
      <c r="C136" s="28" t="s">
        <v>969</v>
      </c>
      <c r="D136" s="29" t="s">
        <v>5</v>
      </c>
      <c r="E136" s="30" t="s">
        <v>364</v>
      </c>
      <c r="F136" s="28" t="s">
        <v>365</v>
      </c>
      <c r="G136" s="30" t="s">
        <v>555</v>
      </c>
      <c r="H136" t="str">
        <f>CONCATENATE(Prequal[[#This Row],[CITY]], ", ",Prequal[[#This Row],[STATE]])</f>
        <v>Indianapolis, IN</v>
      </c>
      <c r="J136" s="4" t="s">
        <v>907</v>
      </c>
    </row>
    <row r="137" spans="2:10" x14ac:dyDescent="0.2">
      <c r="B137" s="27" t="s">
        <v>62</v>
      </c>
      <c r="C137" s="28" t="s">
        <v>969</v>
      </c>
      <c r="D137" s="29" t="s">
        <v>24</v>
      </c>
      <c r="E137" s="30" t="s">
        <v>364</v>
      </c>
      <c r="F137" s="28" t="s">
        <v>365</v>
      </c>
      <c r="G137" s="30" t="s">
        <v>555</v>
      </c>
      <c r="H137" t="str">
        <f>CONCATENATE(Prequal[[#This Row],[CITY]], ", ",Prequal[[#This Row],[STATE]])</f>
        <v>Indianapolis, IN</v>
      </c>
      <c r="J137" s="4" t="s">
        <v>909</v>
      </c>
    </row>
    <row r="138" spans="2:10" x14ac:dyDescent="0.2">
      <c r="B138" s="27" t="s">
        <v>62</v>
      </c>
      <c r="C138" s="28" t="s">
        <v>969</v>
      </c>
      <c r="D138" s="29" t="s">
        <v>25</v>
      </c>
      <c r="E138" s="30" t="s">
        <v>364</v>
      </c>
      <c r="F138" s="28" t="s">
        <v>365</v>
      </c>
      <c r="G138" s="30" t="s">
        <v>555</v>
      </c>
      <c r="H138" t="str">
        <f>CONCATENATE(Prequal[[#This Row],[CITY]], ", ",Prequal[[#This Row],[STATE]])</f>
        <v>Indianapolis, IN</v>
      </c>
      <c r="J138" s="4" t="s">
        <v>920</v>
      </c>
    </row>
    <row r="139" spans="2:10" x14ac:dyDescent="0.2">
      <c r="B139" s="27" t="s">
        <v>62</v>
      </c>
      <c r="C139" s="28" t="s">
        <v>969</v>
      </c>
      <c r="D139" s="29" t="s">
        <v>9</v>
      </c>
      <c r="E139" s="30" t="s">
        <v>364</v>
      </c>
      <c r="F139" s="28" t="s">
        <v>365</v>
      </c>
      <c r="G139" s="30" t="s">
        <v>555</v>
      </c>
      <c r="H139" t="str">
        <f>CONCATENATE(Prequal[[#This Row],[CITY]], ", ",Prequal[[#This Row],[STATE]])</f>
        <v>Indianapolis, IN</v>
      </c>
      <c r="J139" s="4" t="s">
        <v>943</v>
      </c>
    </row>
    <row r="140" spans="2:10" x14ac:dyDescent="0.2">
      <c r="B140" s="27" t="s">
        <v>62</v>
      </c>
      <c r="C140" s="28" t="s">
        <v>969</v>
      </c>
      <c r="D140" s="29" t="s">
        <v>27</v>
      </c>
      <c r="E140" s="30" t="s">
        <v>364</v>
      </c>
      <c r="F140" s="28" t="s">
        <v>365</v>
      </c>
      <c r="G140" s="30" t="s">
        <v>555</v>
      </c>
      <c r="H140" t="str">
        <f>CONCATENATE(Prequal[[#This Row],[CITY]], ", ",Prequal[[#This Row],[STATE]])</f>
        <v>Indianapolis, IN</v>
      </c>
      <c r="J140" s="4" t="s">
        <v>940</v>
      </c>
    </row>
    <row r="141" spans="2:10" x14ac:dyDescent="0.2">
      <c r="B141" s="27" t="s">
        <v>62</v>
      </c>
      <c r="C141" s="28" t="s">
        <v>969</v>
      </c>
      <c r="D141" s="29" t="s">
        <v>13</v>
      </c>
      <c r="E141" s="30" t="s">
        <v>364</v>
      </c>
      <c r="F141" s="28" t="s">
        <v>365</v>
      </c>
      <c r="G141" s="30" t="s">
        <v>555</v>
      </c>
      <c r="H141" t="str">
        <f>CONCATENATE(Prequal[[#This Row],[CITY]], ", ",Prequal[[#This Row],[STATE]])</f>
        <v>Indianapolis, IN</v>
      </c>
      <c r="J141" s="4" t="s">
        <v>958</v>
      </c>
    </row>
    <row r="142" spans="2:10" x14ac:dyDescent="0.2">
      <c r="B142" s="27" t="s">
        <v>62</v>
      </c>
      <c r="C142" s="28" t="s">
        <v>969</v>
      </c>
      <c r="D142" s="29" t="s">
        <v>14</v>
      </c>
      <c r="E142" s="30" t="s">
        <v>364</v>
      </c>
      <c r="F142" s="28" t="s">
        <v>365</v>
      </c>
      <c r="G142" s="30" t="s">
        <v>555</v>
      </c>
      <c r="H142" t="str">
        <f>CONCATENATE(Prequal[[#This Row],[CITY]], ", ",Prequal[[#This Row],[STATE]])</f>
        <v>Indianapolis, IN</v>
      </c>
      <c r="J142" s="4" t="s">
        <v>949</v>
      </c>
    </row>
    <row r="143" spans="2:10" x14ac:dyDescent="0.2">
      <c r="B143" s="27" t="s">
        <v>62</v>
      </c>
      <c r="C143" s="28" t="s">
        <v>969</v>
      </c>
      <c r="D143" s="29" t="s">
        <v>30</v>
      </c>
      <c r="E143" s="30" t="s">
        <v>364</v>
      </c>
      <c r="F143" s="28" t="s">
        <v>365</v>
      </c>
      <c r="G143" s="30" t="s">
        <v>555</v>
      </c>
      <c r="H143" t="str">
        <f>CONCATENATE(Prequal[[#This Row],[CITY]], ", ",Prequal[[#This Row],[STATE]])</f>
        <v>Indianapolis, IN</v>
      </c>
      <c r="J143" s="4" t="s">
        <v>951</v>
      </c>
    </row>
    <row r="144" spans="2:10" x14ac:dyDescent="0.2">
      <c r="B144" s="27" t="s">
        <v>62</v>
      </c>
      <c r="C144" s="28" t="s">
        <v>969</v>
      </c>
      <c r="D144" s="29" t="s">
        <v>31</v>
      </c>
      <c r="E144" s="30" t="s">
        <v>364</v>
      </c>
      <c r="F144" s="28" t="s">
        <v>365</v>
      </c>
      <c r="G144" s="30" t="s">
        <v>555</v>
      </c>
      <c r="H144" t="str">
        <f>CONCATENATE(Prequal[[#This Row],[CITY]], ", ",Prequal[[#This Row],[STATE]])</f>
        <v>Indianapolis, IN</v>
      </c>
      <c r="J144" s="4" t="s">
        <v>960</v>
      </c>
    </row>
    <row r="145" spans="2:10" x14ac:dyDescent="0.2">
      <c r="B145" s="27" t="s">
        <v>62</v>
      </c>
      <c r="C145" s="28" t="s">
        <v>969</v>
      </c>
      <c r="D145" s="29" t="s">
        <v>32</v>
      </c>
      <c r="E145" s="30" t="s">
        <v>364</v>
      </c>
      <c r="F145" s="28" t="s">
        <v>365</v>
      </c>
      <c r="G145" s="30" t="s">
        <v>555</v>
      </c>
      <c r="H145" t="str">
        <f>CONCATENATE(Prequal[[#This Row],[CITY]], ", ",Prequal[[#This Row],[STATE]])</f>
        <v>Indianapolis, IN</v>
      </c>
      <c r="J145" s="4" t="s">
        <v>963</v>
      </c>
    </row>
    <row r="146" spans="2:10" x14ac:dyDescent="0.2">
      <c r="B146" s="27" t="s">
        <v>62</v>
      </c>
      <c r="C146" s="28" t="s">
        <v>969</v>
      </c>
      <c r="D146" s="29" t="s">
        <v>38</v>
      </c>
      <c r="E146" s="30" t="s">
        <v>364</v>
      </c>
      <c r="F146" s="28" t="s">
        <v>365</v>
      </c>
      <c r="G146" s="30" t="s">
        <v>555</v>
      </c>
      <c r="H146" t="str">
        <f>CONCATENATE(Prequal[[#This Row],[CITY]], ", ",Prequal[[#This Row],[STATE]])</f>
        <v>Indianapolis, IN</v>
      </c>
      <c r="J146" s="4" t="s">
        <v>980</v>
      </c>
    </row>
    <row r="147" spans="2:10" x14ac:dyDescent="0.2">
      <c r="B147" s="27" t="s">
        <v>822</v>
      </c>
      <c r="C147" s="28" t="s">
        <v>970</v>
      </c>
      <c r="D147" s="29" t="s">
        <v>4</v>
      </c>
      <c r="E147" s="30" t="s">
        <v>971</v>
      </c>
      <c r="F147" s="28" t="s">
        <v>356</v>
      </c>
      <c r="G147" s="30" t="s">
        <v>556</v>
      </c>
      <c r="H147" t="str">
        <f>CONCATENATE(Prequal[[#This Row],[CITY]], ", ",Prequal[[#This Row],[STATE]])</f>
        <v>CHICAGO, IL</v>
      </c>
      <c r="J147" s="4" t="s">
        <v>996</v>
      </c>
    </row>
    <row r="148" spans="2:10" x14ac:dyDescent="0.2">
      <c r="B148" s="27" t="s">
        <v>822</v>
      </c>
      <c r="C148" s="28" t="s">
        <v>970</v>
      </c>
      <c r="D148" s="29" t="s">
        <v>5</v>
      </c>
      <c r="E148" s="30" t="s">
        <v>971</v>
      </c>
      <c r="F148" s="28" t="s">
        <v>356</v>
      </c>
      <c r="G148" s="30" t="s">
        <v>556</v>
      </c>
      <c r="H148" t="str">
        <f>CONCATENATE(Prequal[[#This Row],[CITY]], ", ",Prequal[[#This Row],[STATE]])</f>
        <v>CHICAGO, IL</v>
      </c>
      <c r="J148" s="4" t="s">
        <v>1003</v>
      </c>
    </row>
    <row r="149" spans="2:10" x14ac:dyDescent="0.2">
      <c r="B149" s="27" t="s">
        <v>822</v>
      </c>
      <c r="C149" s="28" t="s">
        <v>970</v>
      </c>
      <c r="D149" s="29" t="s">
        <v>7</v>
      </c>
      <c r="E149" s="30" t="s">
        <v>971</v>
      </c>
      <c r="F149" s="28" t="s">
        <v>356</v>
      </c>
      <c r="G149" s="30" t="s">
        <v>556</v>
      </c>
      <c r="H149" t="str">
        <f>CONCATENATE(Prequal[[#This Row],[CITY]], ", ",Prequal[[#This Row],[STATE]])</f>
        <v>CHICAGO, IL</v>
      </c>
      <c r="J149" s="4" t="s">
        <v>1017</v>
      </c>
    </row>
    <row r="150" spans="2:10" x14ac:dyDescent="0.2">
      <c r="B150" s="27" t="s">
        <v>822</v>
      </c>
      <c r="C150" s="28" t="s">
        <v>970</v>
      </c>
      <c r="D150" s="29" t="s">
        <v>8</v>
      </c>
      <c r="E150" s="30" t="s">
        <v>971</v>
      </c>
      <c r="F150" s="28" t="s">
        <v>356</v>
      </c>
      <c r="G150" s="30" t="s">
        <v>556</v>
      </c>
      <c r="H150" t="str">
        <f>CONCATENATE(Prequal[[#This Row],[CITY]], ", ",Prequal[[#This Row],[STATE]])</f>
        <v>CHICAGO, IL</v>
      </c>
      <c r="J150" s="4" t="s">
        <v>1041</v>
      </c>
    </row>
    <row r="151" spans="2:10" x14ac:dyDescent="0.2">
      <c r="B151" s="27" t="s">
        <v>822</v>
      </c>
      <c r="C151" s="28" t="s">
        <v>970</v>
      </c>
      <c r="D151" s="29" t="s">
        <v>10</v>
      </c>
      <c r="E151" s="30" t="s">
        <v>971</v>
      </c>
      <c r="F151" s="28" t="s">
        <v>356</v>
      </c>
      <c r="G151" s="30" t="s">
        <v>556</v>
      </c>
      <c r="H151" t="str">
        <f>CONCATENATE(Prequal[[#This Row],[CITY]], ", ",Prequal[[#This Row],[STATE]])</f>
        <v>CHICAGO, IL</v>
      </c>
      <c r="J151" s="4" t="s">
        <v>1044</v>
      </c>
    </row>
    <row r="152" spans="2:10" x14ac:dyDescent="0.2">
      <c r="B152" s="27" t="s">
        <v>822</v>
      </c>
      <c r="C152" s="28" t="s">
        <v>970</v>
      </c>
      <c r="D152" s="29" t="s">
        <v>63</v>
      </c>
      <c r="E152" s="30" t="s">
        <v>971</v>
      </c>
      <c r="F152" s="28" t="s">
        <v>356</v>
      </c>
      <c r="G152" s="30" t="s">
        <v>556</v>
      </c>
      <c r="H152" t="str">
        <f>CONCATENATE(Prequal[[#This Row],[CITY]], ", ",Prequal[[#This Row],[STATE]])</f>
        <v>CHICAGO, IL</v>
      </c>
      <c r="J152" s="4" t="s">
        <v>1047</v>
      </c>
    </row>
    <row r="153" spans="2:10" x14ac:dyDescent="0.2">
      <c r="B153" s="27" t="s">
        <v>822</v>
      </c>
      <c r="C153" s="28" t="s">
        <v>970</v>
      </c>
      <c r="D153" s="29" t="s">
        <v>12</v>
      </c>
      <c r="E153" s="30" t="s">
        <v>971</v>
      </c>
      <c r="F153" s="28" t="s">
        <v>356</v>
      </c>
      <c r="G153" s="30" t="s">
        <v>556</v>
      </c>
      <c r="H153" t="str">
        <f>CONCATENATE(Prequal[[#This Row],[CITY]], ", ",Prequal[[#This Row],[STATE]])</f>
        <v>CHICAGO, IL</v>
      </c>
      <c r="J153" s="4" t="s">
        <v>1069</v>
      </c>
    </row>
    <row r="154" spans="2:10" x14ac:dyDescent="0.2">
      <c r="B154" s="27" t="s">
        <v>822</v>
      </c>
      <c r="C154" s="28" t="s">
        <v>970</v>
      </c>
      <c r="D154" s="29" t="s">
        <v>28</v>
      </c>
      <c r="E154" s="30" t="s">
        <v>971</v>
      </c>
      <c r="F154" s="28" t="s">
        <v>356</v>
      </c>
      <c r="G154" s="30" t="s">
        <v>556</v>
      </c>
      <c r="H154" t="str">
        <f>CONCATENATE(Prequal[[#This Row],[CITY]], ", ",Prequal[[#This Row],[STATE]])</f>
        <v>CHICAGO, IL</v>
      </c>
      <c r="J154" s="4" t="s">
        <v>1083</v>
      </c>
    </row>
    <row r="155" spans="2:10" x14ac:dyDescent="0.2">
      <c r="B155" s="27" t="s">
        <v>822</v>
      </c>
      <c r="C155" s="28" t="s">
        <v>970</v>
      </c>
      <c r="D155" s="29" t="s">
        <v>29</v>
      </c>
      <c r="E155" s="30" t="s">
        <v>971</v>
      </c>
      <c r="F155" s="28" t="s">
        <v>356</v>
      </c>
      <c r="G155" s="30" t="s">
        <v>556</v>
      </c>
      <c r="H155" t="str">
        <f>CONCATENATE(Prequal[[#This Row],[CITY]], ", ",Prequal[[#This Row],[STATE]])</f>
        <v>CHICAGO, IL</v>
      </c>
      <c r="J155" s="4" t="s">
        <v>1086</v>
      </c>
    </row>
    <row r="156" spans="2:10" x14ac:dyDescent="0.2">
      <c r="B156" s="27" t="s">
        <v>822</v>
      </c>
      <c r="C156" s="28" t="s">
        <v>970</v>
      </c>
      <c r="D156" s="29" t="s">
        <v>15</v>
      </c>
      <c r="E156" s="30" t="s">
        <v>971</v>
      </c>
      <c r="F156" s="28" t="s">
        <v>356</v>
      </c>
      <c r="G156" s="30" t="s">
        <v>556</v>
      </c>
      <c r="H156" t="str">
        <f>CONCATENATE(Prequal[[#This Row],[CITY]], ", ",Prequal[[#This Row],[STATE]])</f>
        <v>CHICAGO, IL</v>
      </c>
      <c r="J156" s="4" t="s">
        <v>1094</v>
      </c>
    </row>
    <row r="157" spans="2:10" x14ac:dyDescent="0.2">
      <c r="B157" s="27" t="s">
        <v>822</v>
      </c>
      <c r="C157" s="28" t="s">
        <v>970</v>
      </c>
      <c r="D157" s="29" t="s">
        <v>976</v>
      </c>
      <c r="E157" s="30" t="s">
        <v>971</v>
      </c>
      <c r="F157" s="28" t="s">
        <v>356</v>
      </c>
      <c r="G157" s="30" t="s">
        <v>556</v>
      </c>
      <c r="H157" t="str">
        <f>CONCATENATE(Prequal[[#This Row],[CITY]], ", ",Prequal[[#This Row],[STATE]])</f>
        <v>CHICAGO, IL</v>
      </c>
      <c r="J157" s="4" t="s">
        <v>1112</v>
      </c>
    </row>
    <row r="158" spans="2:10" x14ac:dyDescent="0.2">
      <c r="B158" s="27" t="s">
        <v>822</v>
      </c>
      <c r="C158" s="28" t="s">
        <v>970</v>
      </c>
      <c r="D158" s="29" t="s">
        <v>1004</v>
      </c>
      <c r="E158" s="30" t="s">
        <v>971</v>
      </c>
      <c r="F158" s="28" t="s">
        <v>356</v>
      </c>
      <c r="G158" s="30" t="s">
        <v>556</v>
      </c>
      <c r="H158" t="str">
        <f>CONCATENATE(Prequal[[#This Row],[CITY]], ", ",Prequal[[#This Row],[STATE]])</f>
        <v>CHICAGO, IL</v>
      </c>
      <c r="J158" s="4" t="s">
        <v>1119</v>
      </c>
    </row>
    <row r="159" spans="2:10" x14ac:dyDescent="0.2">
      <c r="B159" s="27" t="s">
        <v>822</v>
      </c>
      <c r="C159" s="28" t="s">
        <v>970</v>
      </c>
      <c r="D159" s="29" t="s">
        <v>978</v>
      </c>
      <c r="E159" s="30" t="s">
        <v>971</v>
      </c>
      <c r="F159" s="28" t="s">
        <v>356</v>
      </c>
      <c r="G159" s="30" t="s">
        <v>556</v>
      </c>
      <c r="H159" t="str">
        <f>CONCATENATE(Prequal[[#This Row],[CITY]], ", ",Prequal[[#This Row],[STATE]])</f>
        <v>CHICAGO, IL</v>
      </c>
    </row>
    <row r="160" spans="2:10" x14ac:dyDescent="0.2">
      <c r="B160" s="27" t="s">
        <v>991</v>
      </c>
      <c r="C160" s="28" t="s">
        <v>969</v>
      </c>
      <c r="D160" s="29" t="s">
        <v>5</v>
      </c>
      <c r="E160" s="30" t="s">
        <v>357</v>
      </c>
      <c r="F160" s="28" t="s">
        <v>356</v>
      </c>
      <c r="G160" s="30" t="s">
        <v>992</v>
      </c>
      <c r="H160" t="str">
        <f>CONCATENATE(Prequal[[#This Row],[CITY]], ", ",Prequal[[#This Row],[STATE]])</f>
        <v>Lombard, IL</v>
      </c>
    </row>
    <row r="161" spans="2:8" x14ac:dyDescent="0.2">
      <c r="B161" s="27" t="s">
        <v>991</v>
      </c>
      <c r="C161" s="28" t="s">
        <v>969</v>
      </c>
      <c r="D161" s="29" t="s">
        <v>10</v>
      </c>
      <c r="E161" s="30" t="s">
        <v>357</v>
      </c>
      <c r="F161" s="28" t="s">
        <v>356</v>
      </c>
      <c r="G161" s="30" t="s">
        <v>992</v>
      </c>
      <c r="H161" t="str">
        <f>CONCATENATE(Prequal[[#This Row],[CITY]], ", ",Prequal[[#This Row],[STATE]])</f>
        <v>Lombard, IL</v>
      </c>
    </row>
    <row r="162" spans="2:8" x14ac:dyDescent="0.2">
      <c r="B162" s="27" t="s">
        <v>64</v>
      </c>
      <c r="C162" s="28" t="s">
        <v>970</v>
      </c>
      <c r="D162" s="29" t="s">
        <v>4</v>
      </c>
      <c r="E162" s="30" t="s">
        <v>366</v>
      </c>
      <c r="F162" s="28" t="s">
        <v>356</v>
      </c>
      <c r="G162" s="30" t="s">
        <v>557</v>
      </c>
      <c r="H162" t="str">
        <f>CONCATENATE(Prequal[[#This Row],[CITY]], ", ",Prequal[[#This Row],[STATE]])</f>
        <v>DOWNERS GROVE, IL</v>
      </c>
    </row>
    <row r="163" spans="2:8" x14ac:dyDescent="0.2">
      <c r="B163" s="27" t="s">
        <v>64</v>
      </c>
      <c r="C163" s="28" t="s">
        <v>970</v>
      </c>
      <c r="D163" s="29" t="s">
        <v>5</v>
      </c>
      <c r="E163" s="30" t="s">
        <v>366</v>
      </c>
      <c r="F163" s="28" t="s">
        <v>356</v>
      </c>
      <c r="G163" s="30" t="s">
        <v>557</v>
      </c>
      <c r="H163" t="str">
        <f>CONCATENATE(Prequal[[#This Row],[CITY]], ", ",Prequal[[#This Row],[STATE]])</f>
        <v>DOWNERS GROVE, IL</v>
      </c>
    </row>
    <row r="164" spans="2:8" x14ac:dyDescent="0.2">
      <c r="B164" s="27" t="s">
        <v>64</v>
      </c>
      <c r="C164" s="28" t="s">
        <v>970</v>
      </c>
      <c r="D164" s="29" t="s">
        <v>9</v>
      </c>
      <c r="E164" s="30" t="s">
        <v>366</v>
      </c>
      <c r="F164" s="28" t="s">
        <v>356</v>
      </c>
      <c r="G164" s="30" t="s">
        <v>557</v>
      </c>
      <c r="H164" t="str">
        <f>CONCATENATE(Prequal[[#This Row],[CITY]], ", ",Prequal[[#This Row],[STATE]])</f>
        <v>DOWNERS GROVE, IL</v>
      </c>
    </row>
    <row r="165" spans="2:8" x14ac:dyDescent="0.2">
      <c r="B165" s="27" t="s">
        <v>64</v>
      </c>
      <c r="C165" s="28" t="s">
        <v>970</v>
      </c>
      <c r="D165" s="29" t="s">
        <v>26</v>
      </c>
      <c r="E165" s="30" t="s">
        <v>366</v>
      </c>
      <c r="F165" s="28" t="s">
        <v>356</v>
      </c>
      <c r="G165" s="30" t="s">
        <v>557</v>
      </c>
      <c r="H165" t="str">
        <f>CONCATENATE(Prequal[[#This Row],[CITY]], ", ",Prequal[[#This Row],[STATE]])</f>
        <v>DOWNERS GROVE, IL</v>
      </c>
    </row>
    <row r="166" spans="2:8" x14ac:dyDescent="0.2">
      <c r="B166" s="27" t="s">
        <v>64</v>
      </c>
      <c r="C166" s="28" t="s">
        <v>970</v>
      </c>
      <c r="D166" s="29" t="s">
        <v>20</v>
      </c>
      <c r="E166" s="30" t="s">
        <v>366</v>
      </c>
      <c r="F166" s="28" t="s">
        <v>356</v>
      </c>
      <c r="G166" s="30" t="s">
        <v>557</v>
      </c>
      <c r="H166" t="str">
        <f>CONCATENATE(Prequal[[#This Row],[CITY]], ", ",Prequal[[#This Row],[STATE]])</f>
        <v>DOWNERS GROVE, IL</v>
      </c>
    </row>
    <row r="167" spans="2:8" x14ac:dyDescent="0.2">
      <c r="B167" s="27" t="s">
        <v>64</v>
      </c>
      <c r="C167" s="28" t="s">
        <v>970</v>
      </c>
      <c r="D167" s="29" t="s">
        <v>27</v>
      </c>
      <c r="E167" s="30" t="s">
        <v>366</v>
      </c>
      <c r="F167" s="28" t="s">
        <v>356</v>
      </c>
      <c r="G167" s="30" t="s">
        <v>557</v>
      </c>
      <c r="H167" t="str">
        <f>CONCATENATE(Prequal[[#This Row],[CITY]], ", ",Prequal[[#This Row],[STATE]])</f>
        <v>DOWNERS GROVE, IL</v>
      </c>
    </row>
    <row r="168" spans="2:8" x14ac:dyDescent="0.2">
      <c r="B168" s="27" t="s">
        <v>64</v>
      </c>
      <c r="C168" s="28" t="s">
        <v>970</v>
      </c>
      <c r="D168" s="29" t="s">
        <v>10</v>
      </c>
      <c r="E168" s="30" t="s">
        <v>366</v>
      </c>
      <c r="F168" s="28" t="s">
        <v>356</v>
      </c>
      <c r="G168" s="30" t="s">
        <v>557</v>
      </c>
      <c r="H168" t="str">
        <f>CONCATENATE(Prequal[[#This Row],[CITY]], ", ",Prequal[[#This Row],[STATE]])</f>
        <v>DOWNERS GROVE, IL</v>
      </c>
    </row>
    <row r="169" spans="2:8" x14ac:dyDescent="0.2">
      <c r="B169" s="27" t="s">
        <v>64</v>
      </c>
      <c r="C169" s="28" t="s">
        <v>970</v>
      </c>
      <c r="D169" s="29" t="s">
        <v>21</v>
      </c>
      <c r="E169" s="30" t="s">
        <v>366</v>
      </c>
      <c r="F169" s="28" t="s">
        <v>356</v>
      </c>
      <c r="G169" s="30" t="s">
        <v>557</v>
      </c>
      <c r="H169" t="str">
        <f>CONCATENATE(Prequal[[#This Row],[CITY]], ", ",Prequal[[#This Row],[STATE]])</f>
        <v>DOWNERS GROVE, IL</v>
      </c>
    </row>
    <row r="170" spans="2:8" x14ac:dyDescent="0.2">
      <c r="B170" s="27" t="s">
        <v>64</v>
      </c>
      <c r="C170" s="28" t="s">
        <v>970</v>
      </c>
      <c r="D170" s="29" t="s">
        <v>11</v>
      </c>
      <c r="E170" s="30" t="s">
        <v>366</v>
      </c>
      <c r="F170" s="28" t="s">
        <v>356</v>
      </c>
      <c r="G170" s="30" t="s">
        <v>557</v>
      </c>
      <c r="H170" t="str">
        <f>CONCATENATE(Prequal[[#This Row],[CITY]], ", ",Prequal[[#This Row],[STATE]])</f>
        <v>DOWNERS GROVE, IL</v>
      </c>
    </row>
    <row r="171" spans="2:8" x14ac:dyDescent="0.2">
      <c r="B171" s="27" t="s">
        <v>64</v>
      </c>
      <c r="C171" s="28" t="s">
        <v>970</v>
      </c>
      <c r="D171" s="29" t="s">
        <v>13</v>
      </c>
      <c r="E171" s="30" t="s">
        <v>366</v>
      </c>
      <c r="F171" s="28" t="s">
        <v>356</v>
      </c>
      <c r="G171" s="30" t="s">
        <v>557</v>
      </c>
      <c r="H171" t="str">
        <f>CONCATENATE(Prequal[[#This Row],[CITY]], ", ",Prequal[[#This Row],[STATE]])</f>
        <v>DOWNERS GROVE, IL</v>
      </c>
    </row>
    <row r="172" spans="2:8" x14ac:dyDescent="0.2">
      <c r="B172" s="27" t="s">
        <v>64</v>
      </c>
      <c r="C172" s="28" t="s">
        <v>970</v>
      </c>
      <c r="D172" s="29" t="s">
        <v>14</v>
      </c>
      <c r="E172" s="30" t="s">
        <v>366</v>
      </c>
      <c r="F172" s="28" t="s">
        <v>356</v>
      </c>
      <c r="G172" s="30" t="s">
        <v>557</v>
      </c>
      <c r="H172" t="str">
        <f>CONCATENATE(Prequal[[#This Row],[CITY]], ", ",Prequal[[#This Row],[STATE]])</f>
        <v>DOWNERS GROVE, IL</v>
      </c>
    </row>
    <row r="173" spans="2:8" x14ac:dyDescent="0.2">
      <c r="B173" s="27" t="s">
        <v>65</v>
      </c>
      <c r="C173" s="28" t="s">
        <v>969</v>
      </c>
      <c r="D173" s="29" t="s">
        <v>5</v>
      </c>
      <c r="E173" s="30" t="s">
        <v>367</v>
      </c>
      <c r="F173" s="28" t="s">
        <v>356</v>
      </c>
      <c r="G173" s="30" t="s">
        <v>558</v>
      </c>
      <c r="H173" t="str">
        <f>CONCATENATE(Prequal[[#This Row],[CITY]], ", ",Prequal[[#This Row],[STATE]])</f>
        <v>Springfield, IL</v>
      </c>
    </row>
    <row r="174" spans="2:8" x14ac:dyDescent="0.2">
      <c r="B174" s="27" t="s">
        <v>65</v>
      </c>
      <c r="C174" s="28" t="s">
        <v>969</v>
      </c>
      <c r="D174" s="29" t="s">
        <v>8</v>
      </c>
      <c r="E174" s="30" t="s">
        <v>367</v>
      </c>
      <c r="F174" s="28" t="s">
        <v>356</v>
      </c>
      <c r="G174" s="30" t="s">
        <v>558</v>
      </c>
      <c r="H174" t="str">
        <f>CONCATENATE(Prequal[[#This Row],[CITY]], ", ",Prequal[[#This Row],[STATE]])</f>
        <v>Springfield, IL</v>
      </c>
    </row>
    <row r="175" spans="2:8" x14ac:dyDescent="0.2">
      <c r="B175" s="27" t="s">
        <v>65</v>
      </c>
      <c r="C175" s="28" t="s">
        <v>969</v>
      </c>
      <c r="D175" s="29" t="s">
        <v>50</v>
      </c>
      <c r="E175" s="30" t="s">
        <v>367</v>
      </c>
      <c r="F175" s="28" t="s">
        <v>356</v>
      </c>
      <c r="G175" s="30" t="s">
        <v>558</v>
      </c>
      <c r="H175" t="str">
        <f>CONCATENATE(Prequal[[#This Row],[CITY]], ", ",Prequal[[#This Row],[STATE]])</f>
        <v>Springfield, IL</v>
      </c>
    </row>
    <row r="176" spans="2:8" x14ac:dyDescent="0.2">
      <c r="B176" s="27" t="s">
        <v>65</v>
      </c>
      <c r="C176" s="28" t="s">
        <v>969</v>
      </c>
      <c r="D176" s="29" t="s">
        <v>18</v>
      </c>
      <c r="E176" s="30" t="s">
        <v>367</v>
      </c>
      <c r="F176" s="28" t="s">
        <v>356</v>
      </c>
      <c r="G176" s="30" t="s">
        <v>558</v>
      </c>
      <c r="H176" t="str">
        <f>CONCATENATE(Prequal[[#This Row],[CITY]], ", ",Prequal[[#This Row],[STATE]])</f>
        <v>Springfield, IL</v>
      </c>
    </row>
    <row r="177" spans="2:8" x14ac:dyDescent="0.2">
      <c r="B177" s="27" t="s">
        <v>65</v>
      </c>
      <c r="C177" s="28" t="s">
        <v>969</v>
      </c>
      <c r="D177" s="29" t="s">
        <v>15</v>
      </c>
      <c r="E177" s="30" t="s">
        <v>367</v>
      </c>
      <c r="F177" s="28" t="s">
        <v>356</v>
      </c>
      <c r="G177" s="30" t="s">
        <v>558</v>
      </c>
      <c r="H177" t="str">
        <f>CONCATENATE(Prequal[[#This Row],[CITY]], ", ",Prequal[[#This Row],[STATE]])</f>
        <v>Springfield, IL</v>
      </c>
    </row>
    <row r="178" spans="2:8" x14ac:dyDescent="0.2">
      <c r="B178" s="27" t="s">
        <v>66</v>
      </c>
      <c r="C178" s="28" t="s">
        <v>970</v>
      </c>
      <c r="D178" s="29" t="s">
        <v>10</v>
      </c>
      <c r="E178" s="30" t="s">
        <v>849</v>
      </c>
      <c r="F178" s="28" t="s">
        <v>356</v>
      </c>
      <c r="G178" s="30" t="s">
        <v>851</v>
      </c>
      <c r="H178" t="str">
        <f>CONCATENATE(Prequal[[#This Row],[CITY]], ", ",Prequal[[#This Row],[STATE]])</f>
        <v>Braodview, IL</v>
      </c>
    </row>
    <row r="179" spans="2:8" x14ac:dyDescent="0.2">
      <c r="B179" s="27" t="s">
        <v>67</v>
      </c>
      <c r="C179" s="28" t="s">
        <v>970</v>
      </c>
      <c r="D179" s="29" t="s">
        <v>27</v>
      </c>
      <c r="E179" s="30" t="s">
        <v>947</v>
      </c>
      <c r="F179" s="28" t="s">
        <v>356</v>
      </c>
      <c r="G179" s="30" t="s">
        <v>559</v>
      </c>
      <c r="H179" t="str">
        <f>CONCATENATE(Prequal[[#This Row],[CITY]], ", ",Prequal[[#This Row],[STATE]])</f>
        <v>Chicago, IL</v>
      </c>
    </row>
    <row r="180" spans="2:8" x14ac:dyDescent="0.2">
      <c r="B180" s="27" t="s">
        <v>67</v>
      </c>
      <c r="C180" s="28" t="s">
        <v>970</v>
      </c>
      <c r="D180" s="29" t="s">
        <v>10</v>
      </c>
      <c r="E180" s="30" t="s">
        <v>947</v>
      </c>
      <c r="F180" s="28" t="s">
        <v>356</v>
      </c>
      <c r="G180" s="30" t="s">
        <v>559</v>
      </c>
      <c r="H180" t="str">
        <f>CONCATENATE(Prequal[[#This Row],[CITY]], ", ",Prequal[[#This Row],[STATE]])</f>
        <v>Chicago, IL</v>
      </c>
    </row>
    <row r="181" spans="2:8" x14ac:dyDescent="0.2">
      <c r="B181" s="27" t="s">
        <v>67</v>
      </c>
      <c r="C181" s="28" t="s">
        <v>970</v>
      </c>
      <c r="D181" s="29" t="s">
        <v>14</v>
      </c>
      <c r="E181" s="30" t="s">
        <v>947</v>
      </c>
      <c r="F181" s="28" t="s">
        <v>356</v>
      </c>
      <c r="G181" s="30" t="s">
        <v>559</v>
      </c>
      <c r="H181" t="str">
        <f>CONCATENATE(Prequal[[#This Row],[CITY]], ", ",Prequal[[#This Row],[STATE]])</f>
        <v>Chicago, IL</v>
      </c>
    </row>
    <row r="182" spans="2:8" x14ac:dyDescent="0.2">
      <c r="B182" s="27" t="s">
        <v>67</v>
      </c>
      <c r="C182" s="28" t="s">
        <v>970</v>
      </c>
      <c r="D182" s="29" t="s">
        <v>31</v>
      </c>
      <c r="E182" s="30" t="s">
        <v>947</v>
      </c>
      <c r="F182" s="28" t="s">
        <v>356</v>
      </c>
      <c r="G182" s="30" t="s">
        <v>559</v>
      </c>
      <c r="H182" t="str">
        <f>CONCATENATE(Prequal[[#This Row],[CITY]], ", ",Prequal[[#This Row],[STATE]])</f>
        <v>Chicago, IL</v>
      </c>
    </row>
    <row r="183" spans="2:8" x14ac:dyDescent="0.2">
      <c r="B183" s="27" t="s">
        <v>68</v>
      </c>
      <c r="C183" s="28" t="s">
        <v>969</v>
      </c>
      <c r="D183" s="29" t="s">
        <v>29</v>
      </c>
      <c r="E183" s="30" t="s">
        <v>369</v>
      </c>
      <c r="F183" s="28" t="s">
        <v>356</v>
      </c>
      <c r="G183" s="30" t="s">
        <v>560</v>
      </c>
      <c r="H183" t="str">
        <f>CONCATENATE(Prequal[[#This Row],[CITY]], ", ",Prequal[[#This Row],[STATE]])</f>
        <v>Nashville, IL</v>
      </c>
    </row>
    <row r="184" spans="2:8" x14ac:dyDescent="0.2">
      <c r="B184" s="27" t="s">
        <v>823</v>
      </c>
      <c r="C184" s="28" t="s">
        <v>969</v>
      </c>
      <c r="D184" s="29" t="s">
        <v>46</v>
      </c>
      <c r="E184" s="30" t="s">
        <v>370</v>
      </c>
      <c r="F184" s="28" t="s">
        <v>356</v>
      </c>
      <c r="G184" s="30" t="s">
        <v>824</v>
      </c>
      <c r="H184" t="str">
        <f>CONCATENATE(Prequal[[#This Row],[CITY]], ", ",Prequal[[#This Row],[STATE]])</f>
        <v>Schaumburg, IL</v>
      </c>
    </row>
    <row r="185" spans="2:8" x14ac:dyDescent="0.2">
      <c r="B185" s="27" t="s">
        <v>535</v>
      </c>
      <c r="C185" s="28" t="s">
        <v>969</v>
      </c>
      <c r="D185" s="29" t="s">
        <v>993</v>
      </c>
      <c r="E185" s="30" t="s">
        <v>372</v>
      </c>
      <c r="F185" s="28" t="s">
        <v>356</v>
      </c>
      <c r="G185" s="30" t="s">
        <v>561</v>
      </c>
      <c r="H185" t="str">
        <f>CONCATENATE(Prequal[[#This Row],[CITY]], ", ",Prequal[[#This Row],[STATE]])</f>
        <v>Champaign, IL</v>
      </c>
    </row>
    <row r="186" spans="2:8" x14ac:dyDescent="0.2">
      <c r="B186" s="27" t="s">
        <v>69</v>
      </c>
      <c r="C186" s="28" t="s">
        <v>969</v>
      </c>
      <c r="D186" s="29" t="s">
        <v>993</v>
      </c>
      <c r="E186" s="30" t="s">
        <v>372</v>
      </c>
      <c r="F186" s="28" t="s">
        <v>356</v>
      </c>
      <c r="G186" s="30" t="s">
        <v>562</v>
      </c>
      <c r="H186" t="str">
        <f>CONCATENATE(Prequal[[#This Row],[CITY]], ", ",Prequal[[#This Row],[STATE]])</f>
        <v>Champaign, IL</v>
      </c>
    </row>
    <row r="187" spans="2:8" x14ac:dyDescent="0.2">
      <c r="B187" s="27" t="s">
        <v>71</v>
      </c>
      <c r="C187" s="28" t="s">
        <v>970</v>
      </c>
      <c r="D187" s="29" t="s">
        <v>4</v>
      </c>
      <c r="E187" s="30" t="s">
        <v>947</v>
      </c>
      <c r="F187" s="28" t="s">
        <v>356</v>
      </c>
      <c r="G187" s="30" t="s">
        <v>563</v>
      </c>
      <c r="H187" t="str">
        <f>CONCATENATE(Prequal[[#This Row],[CITY]], ", ",Prequal[[#This Row],[STATE]])</f>
        <v>Chicago, IL</v>
      </c>
    </row>
    <row r="188" spans="2:8" x14ac:dyDescent="0.2">
      <c r="B188" s="27" t="s">
        <v>71</v>
      </c>
      <c r="C188" s="28" t="s">
        <v>970</v>
      </c>
      <c r="D188" s="29" t="s">
        <v>5</v>
      </c>
      <c r="E188" s="30" t="s">
        <v>947</v>
      </c>
      <c r="F188" s="28" t="s">
        <v>356</v>
      </c>
      <c r="G188" s="30" t="s">
        <v>563</v>
      </c>
      <c r="H188" t="str">
        <f>CONCATENATE(Prequal[[#This Row],[CITY]], ", ",Prequal[[#This Row],[STATE]])</f>
        <v>Chicago, IL</v>
      </c>
    </row>
    <row r="189" spans="2:8" x14ac:dyDescent="0.2">
      <c r="B189" s="27" t="s">
        <v>71</v>
      </c>
      <c r="C189" s="28" t="s">
        <v>970</v>
      </c>
      <c r="D189" s="29" t="s">
        <v>8</v>
      </c>
      <c r="E189" s="30" t="s">
        <v>947</v>
      </c>
      <c r="F189" s="28" t="s">
        <v>356</v>
      </c>
      <c r="G189" s="30" t="s">
        <v>563</v>
      </c>
      <c r="H189" t="str">
        <f>CONCATENATE(Prequal[[#This Row],[CITY]], ", ",Prequal[[#This Row],[STATE]])</f>
        <v>Chicago, IL</v>
      </c>
    </row>
    <row r="190" spans="2:8" x14ac:dyDescent="0.2">
      <c r="B190" s="27" t="s">
        <v>71</v>
      </c>
      <c r="C190" s="28" t="s">
        <v>970</v>
      </c>
      <c r="D190" s="29" t="s">
        <v>10</v>
      </c>
      <c r="E190" s="30" t="s">
        <v>947</v>
      </c>
      <c r="F190" s="28" t="s">
        <v>356</v>
      </c>
      <c r="G190" s="30" t="s">
        <v>563</v>
      </c>
      <c r="H190" t="str">
        <f>CONCATENATE(Prequal[[#This Row],[CITY]], ", ",Prequal[[#This Row],[STATE]])</f>
        <v>Chicago, IL</v>
      </c>
    </row>
    <row r="191" spans="2:8" x14ac:dyDescent="0.2">
      <c r="B191" s="27" t="s">
        <v>71</v>
      </c>
      <c r="C191" s="28" t="s">
        <v>970</v>
      </c>
      <c r="D191" s="29" t="s">
        <v>15</v>
      </c>
      <c r="E191" s="30" t="s">
        <v>947</v>
      </c>
      <c r="F191" s="28" t="s">
        <v>356</v>
      </c>
      <c r="G191" s="30" t="s">
        <v>563</v>
      </c>
      <c r="H191" t="str">
        <f>CONCATENATE(Prequal[[#This Row],[CITY]], ", ",Prequal[[#This Row],[STATE]])</f>
        <v>Chicago, IL</v>
      </c>
    </row>
    <row r="192" spans="2:8" x14ac:dyDescent="0.2">
      <c r="B192" s="27" t="s">
        <v>72</v>
      </c>
      <c r="C192" s="28" t="s">
        <v>969</v>
      </c>
      <c r="D192" s="29" t="s">
        <v>10</v>
      </c>
      <c r="E192" s="30" t="s">
        <v>373</v>
      </c>
      <c r="F192" s="28" t="s">
        <v>356</v>
      </c>
      <c r="G192" s="30" t="s">
        <v>564</v>
      </c>
      <c r="H192" t="str">
        <f>CONCATENATE(Prequal[[#This Row],[CITY]], ", ",Prequal[[#This Row],[STATE]])</f>
        <v>Arlington Heights, IL</v>
      </c>
    </row>
    <row r="193" spans="2:8" x14ac:dyDescent="0.2">
      <c r="B193" s="27" t="s">
        <v>72</v>
      </c>
      <c r="C193" s="28" t="s">
        <v>969</v>
      </c>
      <c r="D193" s="29" t="s">
        <v>11</v>
      </c>
      <c r="E193" s="30" t="s">
        <v>373</v>
      </c>
      <c r="F193" s="28" t="s">
        <v>356</v>
      </c>
      <c r="G193" s="30" t="s">
        <v>564</v>
      </c>
      <c r="H193" t="str">
        <f>CONCATENATE(Prequal[[#This Row],[CITY]], ", ",Prequal[[#This Row],[STATE]])</f>
        <v>Arlington Heights, IL</v>
      </c>
    </row>
    <row r="194" spans="2:8" x14ac:dyDescent="0.2">
      <c r="B194" s="27" t="s">
        <v>73</v>
      </c>
      <c r="C194" s="28" t="s">
        <v>969</v>
      </c>
      <c r="D194" s="29" t="s">
        <v>5</v>
      </c>
      <c r="E194" s="30" t="s">
        <v>374</v>
      </c>
      <c r="F194" s="28" t="s">
        <v>356</v>
      </c>
      <c r="G194" s="30" t="s">
        <v>565</v>
      </c>
      <c r="H194" t="str">
        <f>CONCATENATE(Prequal[[#This Row],[CITY]], ", ",Prequal[[#This Row],[STATE]])</f>
        <v>Loves Park, IL</v>
      </c>
    </row>
    <row r="195" spans="2:8" x14ac:dyDescent="0.2">
      <c r="B195" s="27" t="s">
        <v>73</v>
      </c>
      <c r="C195" s="28" t="s">
        <v>969</v>
      </c>
      <c r="D195" s="29" t="s">
        <v>9</v>
      </c>
      <c r="E195" s="30" t="s">
        <v>374</v>
      </c>
      <c r="F195" s="28" t="s">
        <v>356</v>
      </c>
      <c r="G195" s="30" t="s">
        <v>565</v>
      </c>
      <c r="H195" t="str">
        <f>CONCATENATE(Prequal[[#This Row],[CITY]], ", ",Prequal[[#This Row],[STATE]])</f>
        <v>Loves Park, IL</v>
      </c>
    </row>
    <row r="196" spans="2:8" x14ac:dyDescent="0.2">
      <c r="B196" s="27" t="s">
        <v>73</v>
      </c>
      <c r="C196" s="28" t="s">
        <v>969</v>
      </c>
      <c r="D196" s="29" t="s">
        <v>27</v>
      </c>
      <c r="E196" s="30" t="s">
        <v>374</v>
      </c>
      <c r="F196" s="28" t="s">
        <v>356</v>
      </c>
      <c r="G196" s="30" t="s">
        <v>565</v>
      </c>
      <c r="H196" t="str">
        <f>CONCATENATE(Prequal[[#This Row],[CITY]], ", ",Prequal[[#This Row],[STATE]])</f>
        <v>Loves Park, IL</v>
      </c>
    </row>
    <row r="197" spans="2:8" x14ac:dyDescent="0.2">
      <c r="B197" s="27" t="s">
        <v>73</v>
      </c>
      <c r="C197" s="28" t="s">
        <v>969</v>
      </c>
      <c r="D197" s="29" t="s">
        <v>10</v>
      </c>
      <c r="E197" s="30" t="s">
        <v>374</v>
      </c>
      <c r="F197" s="28" t="s">
        <v>356</v>
      </c>
      <c r="G197" s="30" t="s">
        <v>565</v>
      </c>
      <c r="H197" t="str">
        <f>CONCATENATE(Prequal[[#This Row],[CITY]], ", ",Prequal[[#This Row],[STATE]])</f>
        <v>Loves Park, IL</v>
      </c>
    </row>
    <row r="198" spans="2:8" x14ac:dyDescent="0.2">
      <c r="B198" s="27" t="s">
        <v>73</v>
      </c>
      <c r="C198" s="28" t="s">
        <v>969</v>
      </c>
      <c r="D198" s="29" t="s">
        <v>11</v>
      </c>
      <c r="E198" s="30" t="s">
        <v>374</v>
      </c>
      <c r="F198" s="28" t="s">
        <v>356</v>
      </c>
      <c r="G198" s="30" t="s">
        <v>565</v>
      </c>
      <c r="H198" t="str">
        <f>CONCATENATE(Prequal[[#This Row],[CITY]], ", ",Prequal[[#This Row],[STATE]])</f>
        <v>Loves Park, IL</v>
      </c>
    </row>
    <row r="199" spans="2:8" x14ac:dyDescent="0.2">
      <c r="B199" s="27" t="s">
        <v>73</v>
      </c>
      <c r="C199" s="28" t="s">
        <v>969</v>
      </c>
      <c r="D199" s="29" t="s">
        <v>29</v>
      </c>
      <c r="E199" s="30" t="s">
        <v>374</v>
      </c>
      <c r="F199" s="28" t="s">
        <v>356</v>
      </c>
      <c r="G199" s="30" t="s">
        <v>565</v>
      </c>
      <c r="H199" t="str">
        <f>CONCATENATE(Prequal[[#This Row],[CITY]], ", ",Prequal[[#This Row],[STATE]])</f>
        <v>Loves Park, IL</v>
      </c>
    </row>
    <row r="200" spans="2:8" x14ac:dyDescent="0.2">
      <c r="B200" s="27" t="s">
        <v>73</v>
      </c>
      <c r="C200" s="28" t="s">
        <v>969</v>
      </c>
      <c r="D200" s="29" t="s">
        <v>14</v>
      </c>
      <c r="E200" s="30" t="s">
        <v>374</v>
      </c>
      <c r="F200" s="28" t="s">
        <v>356</v>
      </c>
      <c r="G200" s="30" t="s">
        <v>565</v>
      </c>
      <c r="H200" t="str">
        <f>CONCATENATE(Prequal[[#This Row],[CITY]], ", ",Prequal[[#This Row],[STATE]])</f>
        <v>Loves Park, IL</v>
      </c>
    </row>
    <row r="201" spans="2:8" x14ac:dyDescent="0.2">
      <c r="B201" s="27" t="s">
        <v>74</v>
      </c>
      <c r="C201" s="28" t="s">
        <v>969</v>
      </c>
      <c r="D201" s="29" t="s">
        <v>4</v>
      </c>
      <c r="E201" s="30" t="s">
        <v>972</v>
      </c>
      <c r="F201" s="28" t="s">
        <v>868</v>
      </c>
      <c r="G201" s="30" t="s">
        <v>973</v>
      </c>
      <c r="H201" t="str">
        <f>CONCATENATE(Prequal[[#This Row],[CITY]], ", ",Prequal[[#This Row],[STATE]])</f>
        <v>Los Angeles, CA</v>
      </c>
    </row>
    <row r="202" spans="2:8" x14ac:dyDescent="0.2">
      <c r="B202" s="27" t="s">
        <v>74</v>
      </c>
      <c r="C202" s="28" t="s">
        <v>969</v>
      </c>
      <c r="D202" s="29" t="s">
        <v>5</v>
      </c>
      <c r="E202" s="30" t="s">
        <v>972</v>
      </c>
      <c r="F202" s="28" t="s">
        <v>868</v>
      </c>
      <c r="G202" s="30" t="s">
        <v>973</v>
      </c>
      <c r="H202" t="str">
        <f>CONCATENATE(Prequal[[#This Row],[CITY]], ", ",Prequal[[#This Row],[STATE]])</f>
        <v>Los Angeles, CA</v>
      </c>
    </row>
    <row r="203" spans="2:8" x14ac:dyDescent="0.2">
      <c r="B203" s="27" t="s">
        <v>74</v>
      </c>
      <c r="C203" s="28" t="s">
        <v>969</v>
      </c>
      <c r="D203" s="29" t="s">
        <v>7</v>
      </c>
      <c r="E203" s="30" t="s">
        <v>972</v>
      </c>
      <c r="F203" s="28" t="s">
        <v>868</v>
      </c>
      <c r="G203" s="30" t="s">
        <v>973</v>
      </c>
      <c r="H203" t="str">
        <f>CONCATENATE(Prequal[[#This Row],[CITY]], ", ",Prequal[[#This Row],[STATE]])</f>
        <v>Los Angeles, CA</v>
      </c>
    </row>
    <row r="204" spans="2:8" x14ac:dyDescent="0.2">
      <c r="B204" s="27" t="s">
        <v>74</v>
      </c>
      <c r="C204" s="28" t="s">
        <v>969</v>
      </c>
      <c r="D204" s="29" t="s">
        <v>8</v>
      </c>
      <c r="E204" s="30" t="s">
        <v>972</v>
      </c>
      <c r="F204" s="28" t="s">
        <v>868</v>
      </c>
      <c r="G204" s="30" t="s">
        <v>973</v>
      </c>
      <c r="H204" t="str">
        <f>CONCATENATE(Prequal[[#This Row],[CITY]], ", ",Prequal[[#This Row],[STATE]])</f>
        <v>Los Angeles, CA</v>
      </c>
    </row>
    <row r="205" spans="2:8" x14ac:dyDescent="0.2">
      <c r="B205" s="27" t="s">
        <v>74</v>
      </c>
      <c r="C205" s="28" t="s">
        <v>969</v>
      </c>
      <c r="D205" s="29" t="s">
        <v>24</v>
      </c>
      <c r="E205" s="30" t="s">
        <v>972</v>
      </c>
      <c r="F205" s="28" t="s">
        <v>868</v>
      </c>
      <c r="G205" s="30" t="s">
        <v>973</v>
      </c>
      <c r="H205" t="str">
        <f>CONCATENATE(Prequal[[#This Row],[CITY]], ", ",Prequal[[#This Row],[STATE]])</f>
        <v>Los Angeles, CA</v>
      </c>
    </row>
    <row r="206" spans="2:8" x14ac:dyDescent="0.2">
      <c r="B206" s="27" t="s">
        <v>74</v>
      </c>
      <c r="C206" s="28" t="s">
        <v>969</v>
      </c>
      <c r="D206" s="29" t="s">
        <v>25</v>
      </c>
      <c r="E206" s="30" t="s">
        <v>972</v>
      </c>
      <c r="F206" s="28" t="s">
        <v>868</v>
      </c>
      <c r="G206" s="30" t="s">
        <v>973</v>
      </c>
      <c r="H206" t="str">
        <f>CONCATENATE(Prequal[[#This Row],[CITY]], ", ",Prequal[[#This Row],[STATE]])</f>
        <v>Los Angeles, CA</v>
      </c>
    </row>
    <row r="207" spans="2:8" x14ac:dyDescent="0.2">
      <c r="B207" s="27" t="s">
        <v>74</v>
      </c>
      <c r="C207" s="28" t="s">
        <v>969</v>
      </c>
      <c r="D207" s="29" t="s">
        <v>9</v>
      </c>
      <c r="E207" s="30" t="s">
        <v>972</v>
      </c>
      <c r="F207" s="28" t="s">
        <v>868</v>
      </c>
      <c r="G207" s="30" t="s">
        <v>973</v>
      </c>
      <c r="H207" t="str">
        <f>CONCATENATE(Prequal[[#This Row],[CITY]], ", ",Prequal[[#This Row],[STATE]])</f>
        <v>Los Angeles, CA</v>
      </c>
    </row>
    <row r="208" spans="2:8" x14ac:dyDescent="0.2">
      <c r="B208" s="27" t="s">
        <v>74</v>
      </c>
      <c r="C208" s="28" t="s">
        <v>969</v>
      </c>
      <c r="D208" s="29" t="s">
        <v>27</v>
      </c>
      <c r="E208" s="30" t="s">
        <v>972</v>
      </c>
      <c r="F208" s="28" t="s">
        <v>868</v>
      </c>
      <c r="G208" s="30" t="s">
        <v>973</v>
      </c>
      <c r="H208" t="str">
        <f>CONCATENATE(Prequal[[#This Row],[CITY]], ", ",Prequal[[#This Row],[STATE]])</f>
        <v>Los Angeles, CA</v>
      </c>
    </row>
    <row r="209" spans="2:8" x14ac:dyDescent="0.2">
      <c r="B209" s="27" t="s">
        <v>74</v>
      </c>
      <c r="C209" s="28" t="s">
        <v>969</v>
      </c>
      <c r="D209" s="29" t="s">
        <v>75</v>
      </c>
      <c r="E209" s="30" t="s">
        <v>972</v>
      </c>
      <c r="F209" s="28" t="s">
        <v>868</v>
      </c>
      <c r="G209" s="30" t="s">
        <v>973</v>
      </c>
      <c r="H209" t="str">
        <f>CONCATENATE(Prequal[[#This Row],[CITY]], ", ",Prequal[[#This Row],[STATE]])</f>
        <v>Los Angeles, CA</v>
      </c>
    </row>
    <row r="210" spans="2:8" x14ac:dyDescent="0.2">
      <c r="B210" s="27" t="s">
        <v>74</v>
      </c>
      <c r="C210" s="28" t="s">
        <v>969</v>
      </c>
      <c r="D210" s="29" t="s">
        <v>10</v>
      </c>
      <c r="E210" s="30" t="s">
        <v>972</v>
      </c>
      <c r="F210" s="28" t="s">
        <v>868</v>
      </c>
      <c r="G210" s="30" t="s">
        <v>973</v>
      </c>
      <c r="H210" t="str">
        <f>CONCATENATE(Prequal[[#This Row],[CITY]], ", ",Prequal[[#This Row],[STATE]])</f>
        <v>Los Angeles, CA</v>
      </c>
    </row>
    <row r="211" spans="2:8" x14ac:dyDescent="0.2">
      <c r="B211" s="27" t="s">
        <v>74</v>
      </c>
      <c r="C211" s="28" t="s">
        <v>969</v>
      </c>
      <c r="D211" s="29" t="s">
        <v>50</v>
      </c>
      <c r="E211" s="30" t="s">
        <v>972</v>
      </c>
      <c r="F211" s="28" t="s">
        <v>868</v>
      </c>
      <c r="G211" s="30" t="s">
        <v>973</v>
      </c>
      <c r="H211" t="str">
        <f>CONCATENATE(Prequal[[#This Row],[CITY]], ", ",Prequal[[#This Row],[STATE]])</f>
        <v>Los Angeles, CA</v>
      </c>
    </row>
    <row r="212" spans="2:8" x14ac:dyDescent="0.2">
      <c r="B212" s="27" t="s">
        <v>74</v>
      </c>
      <c r="C212" s="28" t="s">
        <v>969</v>
      </c>
      <c r="D212" s="29" t="s">
        <v>18</v>
      </c>
      <c r="E212" s="30" t="s">
        <v>972</v>
      </c>
      <c r="F212" s="28" t="s">
        <v>868</v>
      </c>
      <c r="G212" s="30" t="s">
        <v>973</v>
      </c>
      <c r="H212" t="str">
        <f>CONCATENATE(Prequal[[#This Row],[CITY]], ", ",Prequal[[#This Row],[STATE]])</f>
        <v>Los Angeles, CA</v>
      </c>
    </row>
    <row r="213" spans="2:8" x14ac:dyDescent="0.2">
      <c r="B213" s="27" t="s">
        <v>74</v>
      </c>
      <c r="C213" s="28" t="s">
        <v>969</v>
      </c>
      <c r="D213" s="29" t="s">
        <v>11</v>
      </c>
      <c r="E213" s="30" t="s">
        <v>972</v>
      </c>
      <c r="F213" s="28" t="s">
        <v>868</v>
      </c>
      <c r="G213" s="30" t="s">
        <v>973</v>
      </c>
      <c r="H213" t="str">
        <f>CONCATENATE(Prequal[[#This Row],[CITY]], ", ",Prequal[[#This Row],[STATE]])</f>
        <v>Los Angeles, CA</v>
      </c>
    </row>
    <row r="214" spans="2:8" x14ac:dyDescent="0.2">
      <c r="B214" s="27" t="s">
        <v>74</v>
      </c>
      <c r="C214" s="28" t="s">
        <v>969</v>
      </c>
      <c r="D214" s="29" t="s">
        <v>51</v>
      </c>
      <c r="E214" s="30" t="s">
        <v>972</v>
      </c>
      <c r="F214" s="28" t="s">
        <v>868</v>
      </c>
      <c r="G214" s="30" t="s">
        <v>973</v>
      </c>
      <c r="H214" t="str">
        <f>CONCATENATE(Prequal[[#This Row],[CITY]], ", ",Prequal[[#This Row],[STATE]])</f>
        <v>Los Angeles, CA</v>
      </c>
    </row>
    <row r="215" spans="2:8" x14ac:dyDescent="0.2">
      <c r="B215" s="27" t="s">
        <v>74</v>
      </c>
      <c r="C215" s="28" t="s">
        <v>969</v>
      </c>
      <c r="D215" s="29" t="s">
        <v>12</v>
      </c>
      <c r="E215" s="30" t="s">
        <v>972</v>
      </c>
      <c r="F215" s="28" t="s">
        <v>868</v>
      </c>
      <c r="G215" s="30" t="s">
        <v>973</v>
      </c>
      <c r="H215" t="str">
        <f>CONCATENATE(Prequal[[#This Row],[CITY]], ", ",Prequal[[#This Row],[STATE]])</f>
        <v>Los Angeles, CA</v>
      </c>
    </row>
    <row r="216" spans="2:8" x14ac:dyDescent="0.2">
      <c r="B216" s="27" t="s">
        <v>74</v>
      </c>
      <c r="C216" s="28" t="s">
        <v>969</v>
      </c>
      <c r="D216" s="29" t="s">
        <v>37</v>
      </c>
      <c r="E216" s="30" t="s">
        <v>972</v>
      </c>
      <c r="F216" s="28" t="s">
        <v>868</v>
      </c>
      <c r="G216" s="30" t="s">
        <v>973</v>
      </c>
      <c r="H216" t="str">
        <f>CONCATENATE(Prequal[[#This Row],[CITY]], ", ",Prequal[[#This Row],[STATE]])</f>
        <v>Los Angeles, CA</v>
      </c>
    </row>
    <row r="217" spans="2:8" x14ac:dyDescent="0.2">
      <c r="B217" s="27" t="s">
        <v>74</v>
      </c>
      <c r="C217" s="28" t="s">
        <v>969</v>
      </c>
      <c r="D217" s="29" t="s">
        <v>13</v>
      </c>
      <c r="E217" s="30" t="s">
        <v>972</v>
      </c>
      <c r="F217" s="28" t="s">
        <v>868</v>
      </c>
      <c r="G217" s="30" t="s">
        <v>973</v>
      </c>
      <c r="H217" t="str">
        <f>CONCATENATE(Prequal[[#This Row],[CITY]], ", ",Prequal[[#This Row],[STATE]])</f>
        <v>Los Angeles, CA</v>
      </c>
    </row>
    <row r="218" spans="2:8" x14ac:dyDescent="0.2">
      <c r="B218" s="27" t="s">
        <v>74</v>
      </c>
      <c r="C218" s="28" t="s">
        <v>969</v>
      </c>
      <c r="D218" s="29" t="s">
        <v>52</v>
      </c>
      <c r="E218" s="30" t="s">
        <v>972</v>
      </c>
      <c r="F218" s="28" t="s">
        <v>868</v>
      </c>
      <c r="G218" s="30" t="s">
        <v>973</v>
      </c>
      <c r="H218" t="str">
        <f>CONCATENATE(Prequal[[#This Row],[CITY]], ", ",Prequal[[#This Row],[STATE]])</f>
        <v>Los Angeles, CA</v>
      </c>
    </row>
    <row r="219" spans="2:8" x14ac:dyDescent="0.2">
      <c r="B219" s="27" t="s">
        <v>74</v>
      </c>
      <c r="C219" s="28" t="s">
        <v>969</v>
      </c>
      <c r="D219" s="29" t="s">
        <v>14</v>
      </c>
      <c r="E219" s="30" t="s">
        <v>972</v>
      </c>
      <c r="F219" s="28" t="s">
        <v>868</v>
      </c>
      <c r="G219" s="30" t="s">
        <v>973</v>
      </c>
      <c r="H219" t="str">
        <f>CONCATENATE(Prequal[[#This Row],[CITY]], ", ",Prequal[[#This Row],[STATE]])</f>
        <v>Los Angeles, CA</v>
      </c>
    </row>
    <row r="220" spans="2:8" x14ac:dyDescent="0.2">
      <c r="B220" s="27" t="s">
        <v>74</v>
      </c>
      <c r="C220" s="28" t="s">
        <v>969</v>
      </c>
      <c r="D220" s="29" t="s">
        <v>15</v>
      </c>
      <c r="E220" s="30" t="s">
        <v>972</v>
      </c>
      <c r="F220" s="28" t="s">
        <v>868</v>
      </c>
      <c r="G220" s="30" t="s">
        <v>973</v>
      </c>
      <c r="H220" t="str">
        <f>CONCATENATE(Prequal[[#This Row],[CITY]], ", ",Prequal[[#This Row],[STATE]])</f>
        <v>Los Angeles, CA</v>
      </c>
    </row>
    <row r="221" spans="2:8" x14ac:dyDescent="0.2">
      <c r="B221" s="27" t="s">
        <v>74</v>
      </c>
      <c r="C221" s="28" t="s">
        <v>969</v>
      </c>
      <c r="D221" s="29" t="s">
        <v>30</v>
      </c>
      <c r="E221" s="30" t="s">
        <v>972</v>
      </c>
      <c r="F221" s="28" t="s">
        <v>868</v>
      </c>
      <c r="G221" s="30" t="s">
        <v>973</v>
      </c>
      <c r="H221" t="str">
        <f>CONCATENATE(Prequal[[#This Row],[CITY]], ", ",Prequal[[#This Row],[STATE]])</f>
        <v>Los Angeles, CA</v>
      </c>
    </row>
    <row r="222" spans="2:8" x14ac:dyDescent="0.2">
      <c r="B222" s="27" t="s">
        <v>74</v>
      </c>
      <c r="C222" s="28" t="s">
        <v>969</v>
      </c>
      <c r="D222" s="29" t="s">
        <v>31</v>
      </c>
      <c r="E222" s="30" t="s">
        <v>972</v>
      </c>
      <c r="F222" s="28" t="s">
        <v>868</v>
      </c>
      <c r="G222" s="30" t="s">
        <v>973</v>
      </c>
      <c r="H222" t="str">
        <f>CONCATENATE(Prequal[[#This Row],[CITY]], ", ",Prequal[[#This Row],[STATE]])</f>
        <v>Los Angeles, CA</v>
      </c>
    </row>
    <row r="223" spans="2:8" x14ac:dyDescent="0.2">
      <c r="B223" s="27" t="s">
        <v>74</v>
      </c>
      <c r="C223" s="28" t="s">
        <v>969</v>
      </c>
      <c r="D223" s="29" t="s">
        <v>32</v>
      </c>
      <c r="E223" s="30" t="s">
        <v>972</v>
      </c>
      <c r="F223" s="28" t="s">
        <v>868</v>
      </c>
      <c r="G223" s="30" t="s">
        <v>973</v>
      </c>
      <c r="H223" t="str">
        <f>CONCATENATE(Prequal[[#This Row],[CITY]], ", ",Prequal[[#This Row],[STATE]])</f>
        <v>Los Angeles, CA</v>
      </c>
    </row>
    <row r="224" spans="2:8" x14ac:dyDescent="0.2">
      <c r="B224" s="27" t="s">
        <v>74</v>
      </c>
      <c r="C224" s="28" t="s">
        <v>969</v>
      </c>
      <c r="D224" s="29" t="s">
        <v>56</v>
      </c>
      <c r="E224" s="30" t="s">
        <v>972</v>
      </c>
      <c r="F224" s="28" t="s">
        <v>868</v>
      </c>
      <c r="G224" s="30" t="s">
        <v>973</v>
      </c>
      <c r="H224" t="str">
        <f>CONCATENATE(Prequal[[#This Row],[CITY]], ", ",Prequal[[#This Row],[STATE]])</f>
        <v>Los Angeles, CA</v>
      </c>
    </row>
    <row r="225" spans="2:8" x14ac:dyDescent="0.2">
      <c r="B225" s="27" t="s">
        <v>74</v>
      </c>
      <c r="C225" s="28" t="s">
        <v>969</v>
      </c>
      <c r="D225" s="29" t="s">
        <v>33</v>
      </c>
      <c r="E225" s="30" t="s">
        <v>972</v>
      </c>
      <c r="F225" s="28" t="s">
        <v>868</v>
      </c>
      <c r="G225" s="30" t="s">
        <v>973</v>
      </c>
      <c r="H225" t="str">
        <f>CONCATENATE(Prequal[[#This Row],[CITY]], ", ",Prequal[[#This Row],[STATE]])</f>
        <v>Los Angeles, CA</v>
      </c>
    </row>
    <row r="226" spans="2:8" x14ac:dyDescent="0.2">
      <c r="B226" s="27" t="s">
        <v>76</v>
      </c>
      <c r="C226" s="28" t="s">
        <v>970</v>
      </c>
      <c r="D226" s="29" t="s">
        <v>10</v>
      </c>
      <c r="E226" s="30" t="s">
        <v>947</v>
      </c>
      <c r="F226" s="28" t="s">
        <v>356</v>
      </c>
      <c r="G226" s="30" t="s">
        <v>852</v>
      </c>
      <c r="H226" t="str">
        <f>CONCATENATE(Prequal[[#This Row],[CITY]], ", ",Prequal[[#This Row],[STATE]])</f>
        <v>Chicago, IL</v>
      </c>
    </row>
    <row r="227" spans="2:8" x14ac:dyDescent="0.2">
      <c r="B227" s="27" t="s">
        <v>77</v>
      </c>
      <c r="C227" s="28" t="s">
        <v>969</v>
      </c>
      <c r="D227" s="29" t="s">
        <v>4</v>
      </c>
      <c r="E227" s="30" t="s">
        <v>367</v>
      </c>
      <c r="F227" s="28" t="s">
        <v>356</v>
      </c>
      <c r="G227" s="30" t="s">
        <v>860</v>
      </c>
      <c r="H227" t="str">
        <f>CONCATENATE(Prequal[[#This Row],[CITY]], ", ",Prequal[[#This Row],[STATE]])</f>
        <v>Springfield, IL</v>
      </c>
    </row>
    <row r="228" spans="2:8" x14ac:dyDescent="0.2">
      <c r="B228" s="27" t="s">
        <v>77</v>
      </c>
      <c r="C228" s="28" t="s">
        <v>969</v>
      </c>
      <c r="D228" s="29" t="s">
        <v>5</v>
      </c>
      <c r="E228" s="30" t="s">
        <v>367</v>
      </c>
      <c r="F228" s="28" t="s">
        <v>356</v>
      </c>
      <c r="G228" s="30" t="s">
        <v>860</v>
      </c>
      <c r="H228" t="str">
        <f>CONCATENATE(Prequal[[#This Row],[CITY]], ", ",Prequal[[#This Row],[STATE]])</f>
        <v>Springfield, IL</v>
      </c>
    </row>
    <row r="229" spans="2:8" x14ac:dyDescent="0.2">
      <c r="B229" s="27" t="s">
        <v>77</v>
      </c>
      <c r="C229" s="28" t="s">
        <v>969</v>
      </c>
      <c r="D229" s="29" t="s">
        <v>7</v>
      </c>
      <c r="E229" s="30" t="s">
        <v>367</v>
      </c>
      <c r="F229" s="28" t="s">
        <v>356</v>
      </c>
      <c r="G229" s="30" t="s">
        <v>860</v>
      </c>
      <c r="H229" t="str">
        <f>CONCATENATE(Prequal[[#This Row],[CITY]], ", ",Prequal[[#This Row],[STATE]])</f>
        <v>Springfield, IL</v>
      </c>
    </row>
    <row r="230" spans="2:8" x14ac:dyDescent="0.2">
      <c r="B230" s="27" t="s">
        <v>77</v>
      </c>
      <c r="C230" s="28" t="s">
        <v>969</v>
      </c>
      <c r="D230" s="29" t="s">
        <v>8</v>
      </c>
      <c r="E230" s="30" t="s">
        <v>367</v>
      </c>
      <c r="F230" s="28" t="s">
        <v>356</v>
      </c>
      <c r="G230" s="30" t="s">
        <v>860</v>
      </c>
      <c r="H230" t="str">
        <f>CONCATENATE(Prequal[[#This Row],[CITY]], ", ",Prequal[[#This Row],[STATE]])</f>
        <v>Springfield, IL</v>
      </c>
    </row>
    <row r="231" spans="2:8" x14ac:dyDescent="0.2">
      <c r="B231" s="27" t="s">
        <v>77</v>
      </c>
      <c r="C231" s="28" t="s">
        <v>969</v>
      </c>
      <c r="D231" s="29" t="s">
        <v>25</v>
      </c>
      <c r="E231" s="30" t="s">
        <v>367</v>
      </c>
      <c r="F231" s="28" t="s">
        <v>356</v>
      </c>
      <c r="G231" s="30" t="s">
        <v>860</v>
      </c>
      <c r="H231" t="str">
        <f>CONCATENATE(Prequal[[#This Row],[CITY]], ", ",Prequal[[#This Row],[STATE]])</f>
        <v>Springfield, IL</v>
      </c>
    </row>
    <row r="232" spans="2:8" x14ac:dyDescent="0.2">
      <c r="B232" s="27" t="s">
        <v>77</v>
      </c>
      <c r="C232" s="28" t="s">
        <v>969</v>
      </c>
      <c r="D232" s="29" t="s">
        <v>9</v>
      </c>
      <c r="E232" s="30" t="s">
        <v>367</v>
      </c>
      <c r="F232" s="28" t="s">
        <v>356</v>
      </c>
      <c r="G232" s="30" t="s">
        <v>860</v>
      </c>
      <c r="H232" t="str">
        <f>CONCATENATE(Prequal[[#This Row],[CITY]], ", ",Prequal[[#This Row],[STATE]])</f>
        <v>Springfield, IL</v>
      </c>
    </row>
    <row r="233" spans="2:8" x14ac:dyDescent="0.2">
      <c r="B233" s="27" t="s">
        <v>77</v>
      </c>
      <c r="C233" s="28" t="s">
        <v>969</v>
      </c>
      <c r="D233" s="29" t="s">
        <v>27</v>
      </c>
      <c r="E233" s="30" t="s">
        <v>367</v>
      </c>
      <c r="F233" s="28" t="s">
        <v>356</v>
      </c>
      <c r="G233" s="30" t="s">
        <v>860</v>
      </c>
      <c r="H233" t="str">
        <f>CONCATENATE(Prequal[[#This Row],[CITY]], ", ",Prequal[[#This Row],[STATE]])</f>
        <v>Springfield, IL</v>
      </c>
    </row>
    <row r="234" spans="2:8" x14ac:dyDescent="0.2">
      <c r="B234" s="27" t="s">
        <v>77</v>
      </c>
      <c r="C234" s="28" t="s">
        <v>969</v>
      </c>
      <c r="D234" s="29" t="s">
        <v>13</v>
      </c>
      <c r="E234" s="30" t="s">
        <v>367</v>
      </c>
      <c r="F234" s="28" t="s">
        <v>356</v>
      </c>
      <c r="G234" s="30" t="s">
        <v>860</v>
      </c>
      <c r="H234" t="str">
        <f>CONCATENATE(Prequal[[#This Row],[CITY]], ", ",Prequal[[#This Row],[STATE]])</f>
        <v>Springfield, IL</v>
      </c>
    </row>
    <row r="235" spans="2:8" x14ac:dyDescent="0.2">
      <c r="B235" s="27" t="s">
        <v>77</v>
      </c>
      <c r="C235" s="28" t="s">
        <v>969</v>
      </c>
      <c r="D235" s="29" t="s">
        <v>14</v>
      </c>
      <c r="E235" s="30" t="s">
        <v>367</v>
      </c>
      <c r="F235" s="28" t="s">
        <v>356</v>
      </c>
      <c r="G235" s="30" t="s">
        <v>860</v>
      </c>
      <c r="H235" t="str">
        <f>CONCATENATE(Prequal[[#This Row],[CITY]], ", ",Prequal[[#This Row],[STATE]])</f>
        <v>Springfield, IL</v>
      </c>
    </row>
    <row r="236" spans="2:8" x14ac:dyDescent="0.2">
      <c r="B236" s="27" t="s">
        <v>77</v>
      </c>
      <c r="C236" s="28" t="s">
        <v>969</v>
      </c>
      <c r="D236" s="29" t="s">
        <v>15</v>
      </c>
      <c r="E236" s="30" t="s">
        <v>367</v>
      </c>
      <c r="F236" s="28" t="s">
        <v>356</v>
      </c>
      <c r="G236" s="30" t="s">
        <v>860</v>
      </c>
      <c r="H236" t="str">
        <f>CONCATENATE(Prequal[[#This Row],[CITY]], ", ",Prequal[[#This Row],[STATE]])</f>
        <v>Springfield, IL</v>
      </c>
    </row>
    <row r="237" spans="2:8" x14ac:dyDescent="0.2">
      <c r="B237" s="27" t="s">
        <v>78</v>
      </c>
      <c r="C237" s="28" t="s">
        <v>970</v>
      </c>
      <c r="D237" s="29" t="s">
        <v>5</v>
      </c>
      <c r="E237" s="30" t="s">
        <v>375</v>
      </c>
      <c r="F237" s="28" t="s">
        <v>356</v>
      </c>
      <c r="G237" s="30" t="s">
        <v>566</v>
      </c>
      <c r="H237" t="str">
        <f>CONCATENATE(Prequal[[#This Row],[CITY]], ", ",Prequal[[#This Row],[STATE]])</f>
        <v>Chapin, IL</v>
      </c>
    </row>
    <row r="238" spans="2:8" x14ac:dyDescent="0.2">
      <c r="B238" s="27" t="s">
        <v>78</v>
      </c>
      <c r="C238" s="28" t="s">
        <v>970</v>
      </c>
      <c r="D238" s="29" t="s">
        <v>7</v>
      </c>
      <c r="E238" s="30" t="s">
        <v>375</v>
      </c>
      <c r="F238" s="28" t="s">
        <v>356</v>
      </c>
      <c r="G238" s="30" t="s">
        <v>566</v>
      </c>
      <c r="H238" t="str">
        <f>CONCATENATE(Prequal[[#This Row],[CITY]], ", ",Prequal[[#This Row],[STATE]])</f>
        <v>Chapin, IL</v>
      </c>
    </row>
    <row r="239" spans="2:8" x14ac:dyDescent="0.2">
      <c r="B239" s="27" t="s">
        <v>78</v>
      </c>
      <c r="C239" s="28" t="s">
        <v>970</v>
      </c>
      <c r="D239" s="29" t="s">
        <v>8</v>
      </c>
      <c r="E239" s="30" t="s">
        <v>375</v>
      </c>
      <c r="F239" s="28" t="s">
        <v>356</v>
      </c>
      <c r="G239" s="30" t="s">
        <v>566</v>
      </c>
      <c r="H239" t="str">
        <f>CONCATENATE(Prequal[[#This Row],[CITY]], ", ",Prequal[[#This Row],[STATE]])</f>
        <v>Chapin, IL</v>
      </c>
    </row>
    <row r="240" spans="2:8" x14ac:dyDescent="0.2">
      <c r="B240" s="27" t="s">
        <v>78</v>
      </c>
      <c r="C240" s="28" t="s">
        <v>970</v>
      </c>
      <c r="D240" s="29" t="s">
        <v>9</v>
      </c>
      <c r="E240" s="30" t="s">
        <v>375</v>
      </c>
      <c r="F240" s="28" t="s">
        <v>356</v>
      </c>
      <c r="G240" s="30" t="s">
        <v>566</v>
      </c>
      <c r="H240" t="str">
        <f>CONCATENATE(Prequal[[#This Row],[CITY]], ", ",Prequal[[#This Row],[STATE]])</f>
        <v>Chapin, IL</v>
      </c>
    </row>
    <row r="241" spans="2:8" x14ac:dyDescent="0.2">
      <c r="B241" s="27" t="s">
        <v>78</v>
      </c>
      <c r="C241" s="28" t="s">
        <v>970</v>
      </c>
      <c r="D241" s="29" t="s">
        <v>27</v>
      </c>
      <c r="E241" s="30" t="s">
        <v>375</v>
      </c>
      <c r="F241" s="28" t="s">
        <v>356</v>
      </c>
      <c r="G241" s="30" t="s">
        <v>566</v>
      </c>
      <c r="H241" t="str">
        <f>CONCATENATE(Prequal[[#This Row],[CITY]], ", ",Prequal[[#This Row],[STATE]])</f>
        <v>Chapin, IL</v>
      </c>
    </row>
    <row r="242" spans="2:8" x14ac:dyDescent="0.2">
      <c r="B242" s="27" t="s">
        <v>78</v>
      </c>
      <c r="C242" s="28" t="s">
        <v>970</v>
      </c>
      <c r="D242" s="29" t="s">
        <v>12</v>
      </c>
      <c r="E242" s="30" t="s">
        <v>375</v>
      </c>
      <c r="F242" s="28" t="s">
        <v>356</v>
      </c>
      <c r="G242" s="30" t="s">
        <v>566</v>
      </c>
      <c r="H242" t="str">
        <f>CONCATENATE(Prequal[[#This Row],[CITY]], ", ",Prequal[[#This Row],[STATE]])</f>
        <v>Chapin, IL</v>
      </c>
    </row>
    <row r="243" spans="2:8" x14ac:dyDescent="0.2">
      <c r="B243" s="27" t="s">
        <v>78</v>
      </c>
      <c r="C243" s="28" t="s">
        <v>970</v>
      </c>
      <c r="D243" s="29" t="s">
        <v>29</v>
      </c>
      <c r="E243" s="30" t="s">
        <v>375</v>
      </c>
      <c r="F243" s="28" t="s">
        <v>356</v>
      </c>
      <c r="G243" s="30" t="s">
        <v>566</v>
      </c>
      <c r="H243" t="str">
        <f>CONCATENATE(Prequal[[#This Row],[CITY]], ", ",Prequal[[#This Row],[STATE]])</f>
        <v>Chapin, IL</v>
      </c>
    </row>
    <row r="244" spans="2:8" x14ac:dyDescent="0.2">
      <c r="B244" s="27" t="s">
        <v>78</v>
      </c>
      <c r="C244" s="28" t="s">
        <v>970</v>
      </c>
      <c r="D244" s="29" t="s">
        <v>14</v>
      </c>
      <c r="E244" s="30" t="s">
        <v>375</v>
      </c>
      <c r="F244" s="28" t="s">
        <v>356</v>
      </c>
      <c r="G244" s="30" t="s">
        <v>566</v>
      </c>
      <c r="H244" t="str">
        <f>CONCATENATE(Prequal[[#This Row],[CITY]], ", ",Prequal[[#This Row],[STATE]])</f>
        <v>Chapin, IL</v>
      </c>
    </row>
    <row r="245" spans="2:8" x14ac:dyDescent="0.2">
      <c r="B245" s="27" t="s">
        <v>78</v>
      </c>
      <c r="C245" s="28" t="s">
        <v>970</v>
      </c>
      <c r="D245" s="29" t="s">
        <v>15</v>
      </c>
      <c r="E245" s="30" t="s">
        <v>375</v>
      </c>
      <c r="F245" s="28" t="s">
        <v>356</v>
      </c>
      <c r="G245" s="30" t="s">
        <v>566</v>
      </c>
      <c r="H245" t="str">
        <f>CONCATENATE(Prequal[[#This Row],[CITY]], ", ",Prequal[[#This Row],[STATE]])</f>
        <v>Chapin, IL</v>
      </c>
    </row>
    <row r="246" spans="2:8" x14ac:dyDescent="0.2">
      <c r="B246" s="27" t="s">
        <v>1089</v>
      </c>
      <c r="C246" s="28" t="s">
        <v>969</v>
      </c>
      <c r="D246" s="29" t="s">
        <v>31</v>
      </c>
      <c r="E246" s="30" t="s">
        <v>1090</v>
      </c>
      <c r="F246" s="28" t="s">
        <v>356</v>
      </c>
      <c r="G246" s="30" t="s">
        <v>1091</v>
      </c>
      <c r="H246" t="str">
        <f>CONCATENATE(Prequal[[#This Row],[CITY]], ", ",Prequal[[#This Row],[STATE]])</f>
        <v>Glen Ellyn, IL</v>
      </c>
    </row>
    <row r="247" spans="2:8" x14ac:dyDescent="0.2">
      <c r="B247" s="27" t="s">
        <v>1089</v>
      </c>
      <c r="C247" s="28" t="s">
        <v>969</v>
      </c>
      <c r="D247" s="29" t="s">
        <v>32</v>
      </c>
      <c r="E247" s="30" t="s">
        <v>1090</v>
      </c>
      <c r="F247" s="28" t="s">
        <v>356</v>
      </c>
      <c r="G247" s="30" t="s">
        <v>1091</v>
      </c>
      <c r="H247" t="str">
        <f>CONCATENATE(Prequal[[#This Row],[CITY]], ", ",Prequal[[#This Row],[STATE]])</f>
        <v>Glen Ellyn, IL</v>
      </c>
    </row>
    <row r="248" spans="2:8" x14ac:dyDescent="0.2">
      <c r="B248" s="27" t="s">
        <v>1089</v>
      </c>
      <c r="C248" s="28" t="s">
        <v>969</v>
      </c>
      <c r="D248" s="29" t="s">
        <v>38</v>
      </c>
      <c r="E248" s="30" t="s">
        <v>1090</v>
      </c>
      <c r="F248" s="28" t="s">
        <v>356</v>
      </c>
      <c r="G248" s="30" t="s">
        <v>1091</v>
      </c>
      <c r="H248" t="str">
        <f>CONCATENATE(Prequal[[#This Row],[CITY]], ", ",Prequal[[#This Row],[STATE]])</f>
        <v>Glen Ellyn, IL</v>
      </c>
    </row>
    <row r="249" spans="2:8" x14ac:dyDescent="0.2">
      <c r="B249" s="27" t="s">
        <v>528</v>
      </c>
      <c r="C249" s="28" t="s">
        <v>970</v>
      </c>
      <c r="D249" s="29" t="s">
        <v>29</v>
      </c>
      <c r="E249" s="30" t="s">
        <v>529</v>
      </c>
      <c r="F249" s="28" t="s">
        <v>356</v>
      </c>
      <c r="G249" s="30" t="s">
        <v>567</v>
      </c>
      <c r="H249" t="str">
        <f>CONCATENATE(Prequal[[#This Row],[CITY]], ", ",Prequal[[#This Row],[STATE]])</f>
        <v>Batavia, IL</v>
      </c>
    </row>
    <row r="250" spans="2:8" x14ac:dyDescent="0.2">
      <c r="B250" s="27" t="s">
        <v>848</v>
      </c>
      <c r="C250" s="28" t="s">
        <v>969</v>
      </c>
      <c r="D250" s="29" t="s">
        <v>42</v>
      </c>
      <c r="E250" s="30" t="s">
        <v>1009</v>
      </c>
      <c r="F250" s="28" t="s">
        <v>356</v>
      </c>
      <c r="G250" s="30" t="s">
        <v>1010</v>
      </c>
      <c r="H250" t="str">
        <f>CONCATENATE(Prequal[[#This Row],[CITY]], ", ",Prequal[[#This Row],[STATE]])</f>
        <v>chicago, IL</v>
      </c>
    </row>
    <row r="251" spans="2:8" x14ac:dyDescent="0.2">
      <c r="B251" s="27" t="s">
        <v>848</v>
      </c>
      <c r="C251" s="28" t="s">
        <v>969</v>
      </c>
      <c r="D251" s="29" t="s">
        <v>43</v>
      </c>
      <c r="E251" s="30" t="s">
        <v>1009</v>
      </c>
      <c r="F251" s="28" t="s">
        <v>356</v>
      </c>
      <c r="G251" s="30" t="s">
        <v>1010</v>
      </c>
      <c r="H251" t="str">
        <f>CONCATENATE(Prequal[[#This Row],[CITY]], ", ",Prequal[[#This Row],[STATE]])</f>
        <v>chicago, IL</v>
      </c>
    </row>
    <row r="252" spans="2:8" x14ac:dyDescent="0.2">
      <c r="B252" s="27" t="s">
        <v>848</v>
      </c>
      <c r="C252" s="28" t="s">
        <v>969</v>
      </c>
      <c r="D252" s="29" t="s">
        <v>44</v>
      </c>
      <c r="E252" s="30" t="s">
        <v>1009</v>
      </c>
      <c r="F252" s="28" t="s">
        <v>356</v>
      </c>
      <c r="G252" s="30" t="s">
        <v>1010</v>
      </c>
      <c r="H252" t="str">
        <f>CONCATENATE(Prequal[[#This Row],[CITY]], ", ",Prequal[[#This Row],[STATE]])</f>
        <v>chicago, IL</v>
      </c>
    </row>
    <row r="253" spans="2:8" x14ac:dyDescent="0.2">
      <c r="B253" s="27" t="s">
        <v>848</v>
      </c>
      <c r="C253" s="28" t="s">
        <v>969</v>
      </c>
      <c r="D253" s="29" t="s">
        <v>4</v>
      </c>
      <c r="E253" s="30" t="s">
        <v>1009</v>
      </c>
      <c r="F253" s="28" t="s">
        <v>356</v>
      </c>
      <c r="G253" s="30" t="s">
        <v>1010</v>
      </c>
      <c r="H253" t="str">
        <f>CONCATENATE(Prequal[[#This Row],[CITY]], ", ",Prequal[[#This Row],[STATE]])</f>
        <v>chicago, IL</v>
      </c>
    </row>
    <row r="254" spans="2:8" x14ac:dyDescent="0.2">
      <c r="B254" s="27" t="s">
        <v>848</v>
      </c>
      <c r="C254" s="28" t="s">
        <v>969</v>
      </c>
      <c r="D254" s="29" t="s">
        <v>5</v>
      </c>
      <c r="E254" s="30" t="s">
        <v>1009</v>
      </c>
      <c r="F254" s="28" t="s">
        <v>356</v>
      </c>
      <c r="G254" s="30" t="s">
        <v>1010</v>
      </c>
      <c r="H254" t="str">
        <f>CONCATENATE(Prequal[[#This Row],[CITY]], ", ",Prequal[[#This Row],[STATE]])</f>
        <v>chicago, IL</v>
      </c>
    </row>
    <row r="255" spans="2:8" x14ac:dyDescent="0.2">
      <c r="B255" s="27" t="s">
        <v>848</v>
      </c>
      <c r="C255" s="28" t="s">
        <v>969</v>
      </c>
      <c r="D255" s="29" t="s">
        <v>24</v>
      </c>
      <c r="E255" s="30" t="s">
        <v>1009</v>
      </c>
      <c r="F255" s="28" t="s">
        <v>356</v>
      </c>
      <c r="G255" s="30" t="s">
        <v>1010</v>
      </c>
      <c r="H255" t="str">
        <f>CONCATENATE(Prequal[[#This Row],[CITY]], ", ",Prequal[[#This Row],[STATE]])</f>
        <v>chicago, IL</v>
      </c>
    </row>
    <row r="256" spans="2:8" x14ac:dyDescent="0.2">
      <c r="B256" s="27" t="s">
        <v>848</v>
      </c>
      <c r="C256" s="28" t="s">
        <v>969</v>
      </c>
      <c r="D256" s="29" t="s">
        <v>25</v>
      </c>
      <c r="E256" s="30" t="s">
        <v>1009</v>
      </c>
      <c r="F256" s="28" t="s">
        <v>356</v>
      </c>
      <c r="G256" s="30" t="s">
        <v>1010</v>
      </c>
      <c r="H256" t="str">
        <f>CONCATENATE(Prequal[[#This Row],[CITY]], ", ",Prequal[[#This Row],[STATE]])</f>
        <v>chicago, IL</v>
      </c>
    </row>
    <row r="257" spans="2:8" x14ac:dyDescent="0.2">
      <c r="B257" s="27" t="s">
        <v>848</v>
      </c>
      <c r="C257" s="28" t="s">
        <v>969</v>
      </c>
      <c r="D257" s="29" t="s">
        <v>9</v>
      </c>
      <c r="E257" s="30" t="s">
        <v>1009</v>
      </c>
      <c r="F257" s="28" t="s">
        <v>356</v>
      </c>
      <c r="G257" s="30" t="s">
        <v>1010</v>
      </c>
      <c r="H257" t="str">
        <f>CONCATENATE(Prequal[[#This Row],[CITY]], ", ",Prequal[[#This Row],[STATE]])</f>
        <v>chicago, IL</v>
      </c>
    </row>
    <row r="258" spans="2:8" x14ac:dyDescent="0.2">
      <c r="B258" s="27" t="s">
        <v>848</v>
      </c>
      <c r="C258" s="28" t="s">
        <v>969</v>
      </c>
      <c r="D258" s="29" t="s">
        <v>27</v>
      </c>
      <c r="E258" s="30" t="s">
        <v>1009</v>
      </c>
      <c r="F258" s="28" t="s">
        <v>356</v>
      </c>
      <c r="G258" s="30" t="s">
        <v>1010</v>
      </c>
      <c r="H258" t="str">
        <f>CONCATENATE(Prequal[[#This Row],[CITY]], ", ",Prequal[[#This Row],[STATE]])</f>
        <v>chicago, IL</v>
      </c>
    </row>
    <row r="259" spans="2:8" x14ac:dyDescent="0.2">
      <c r="B259" s="27" t="s">
        <v>848</v>
      </c>
      <c r="C259" s="28" t="s">
        <v>969</v>
      </c>
      <c r="D259" s="29" t="s">
        <v>59</v>
      </c>
      <c r="E259" s="30" t="s">
        <v>1009</v>
      </c>
      <c r="F259" s="28" t="s">
        <v>356</v>
      </c>
      <c r="G259" s="30" t="s">
        <v>1010</v>
      </c>
      <c r="H259" t="str">
        <f>CONCATENATE(Prequal[[#This Row],[CITY]], ", ",Prequal[[#This Row],[STATE]])</f>
        <v>chicago, IL</v>
      </c>
    </row>
    <row r="260" spans="2:8" x14ac:dyDescent="0.2">
      <c r="B260" s="27" t="s">
        <v>848</v>
      </c>
      <c r="C260" s="28" t="s">
        <v>969</v>
      </c>
      <c r="D260" s="29" t="s">
        <v>21</v>
      </c>
      <c r="E260" s="30" t="s">
        <v>1009</v>
      </c>
      <c r="F260" s="28" t="s">
        <v>356</v>
      </c>
      <c r="G260" s="30" t="s">
        <v>1010</v>
      </c>
      <c r="H260" t="str">
        <f>CONCATENATE(Prequal[[#This Row],[CITY]], ", ",Prequal[[#This Row],[STATE]])</f>
        <v>chicago, IL</v>
      </c>
    </row>
    <row r="261" spans="2:8" x14ac:dyDescent="0.2">
      <c r="B261" s="27" t="s">
        <v>848</v>
      </c>
      <c r="C261" s="28" t="s">
        <v>969</v>
      </c>
      <c r="D261" s="29" t="s">
        <v>51</v>
      </c>
      <c r="E261" s="30" t="s">
        <v>1009</v>
      </c>
      <c r="F261" s="28" t="s">
        <v>356</v>
      </c>
      <c r="G261" s="30" t="s">
        <v>1010</v>
      </c>
      <c r="H261" t="str">
        <f>CONCATENATE(Prequal[[#This Row],[CITY]], ", ",Prequal[[#This Row],[STATE]])</f>
        <v>chicago, IL</v>
      </c>
    </row>
    <row r="262" spans="2:8" x14ac:dyDescent="0.2">
      <c r="B262" s="27" t="s">
        <v>848</v>
      </c>
      <c r="C262" s="28" t="s">
        <v>969</v>
      </c>
      <c r="D262" s="29" t="s">
        <v>39</v>
      </c>
      <c r="E262" s="30" t="s">
        <v>1009</v>
      </c>
      <c r="F262" s="28" t="s">
        <v>356</v>
      </c>
      <c r="G262" s="30" t="s">
        <v>1010</v>
      </c>
      <c r="H262" t="str">
        <f>CONCATENATE(Prequal[[#This Row],[CITY]], ", ",Prequal[[#This Row],[STATE]])</f>
        <v>chicago, IL</v>
      </c>
    </row>
    <row r="263" spans="2:8" x14ac:dyDescent="0.2">
      <c r="B263" s="27" t="s">
        <v>848</v>
      </c>
      <c r="C263" s="28" t="s">
        <v>969</v>
      </c>
      <c r="D263" s="29" t="s">
        <v>37</v>
      </c>
      <c r="E263" s="30" t="s">
        <v>1009</v>
      </c>
      <c r="F263" s="28" t="s">
        <v>356</v>
      </c>
      <c r="G263" s="30" t="s">
        <v>1010</v>
      </c>
      <c r="H263" t="str">
        <f>CONCATENATE(Prequal[[#This Row],[CITY]], ", ",Prequal[[#This Row],[STATE]])</f>
        <v>chicago, IL</v>
      </c>
    </row>
    <row r="264" spans="2:8" x14ac:dyDescent="0.2">
      <c r="B264" s="27" t="s">
        <v>848</v>
      </c>
      <c r="C264" s="28" t="s">
        <v>969</v>
      </c>
      <c r="D264" s="29" t="s">
        <v>13</v>
      </c>
      <c r="E264" s="30" t="s">
        <v>1009</v>
      </c>
      <c r="F264" s="28" t="s">
        <v>356</v>
      </c>
      <c r="G264" s="30" t="s">
        <v>1010</v>
      </c>
      <c r="H264" t="str">
        <f>CONCATENATE(Prequal[[#This Row],[CITY]], ", ",Prequal[[#This Row],[STATE]])</f>
        <v>chicago, IL</v>
      </c>
    </row>
    <row r="265" spans="2:8" x14ac:dyDescent="0.2">
      <c r="B265" s="27" t="s">
        <v>848</v>
      </c>
      <c r="C265" s="28" t="s">
        <v>969</v>
      </c>
      <c r="D265" s="29" t="s">
        <v>52</v>
      </c>
      <c r="E265" s="30" t="s">
        <v>1009</v>
      </c>
      <c r="F265" s="28" t="s">
        <v>356</v>
      </c>
      <c r="G265" s="30" t="s">
        <v>1010</v>
      </c>
      <c r="H265" t="str">
        <f>CONCATENATE(Prequal[[#This Row],[CITY]], ", ",Prequal[[#This Row],[STATE]])</f>
        <v>chicago, IL</v>
      </c>
    </row>
    <row r="266" spans="2:8" x14ac:dyDescent="0.2">
      <c r="B266" s="27" t="s">
        <v>848</v>
      </c>
      <c r="C266" s="28" t="s">
        <v>969</v>
      </c>
      <c r="D266" s="29" t="s">
        <v>14</v>
      </c>
      <c r="E266" s="30" t="s">
        <v>1009</v>
      </c>
      <c r="F266" s="28" t="s">
        <v>356</v>
      </c>
      <c r="G266" s="30" t="s">
        <v>1010</v>
      </c>
      <c r="H266" t="str">
        <f>CONCATENATE(Prequal[[#This Row],[CITY]], ", ",Prequal[[#This Row],[STATE]])</f>
        <v>chicago, IL</v>
      </c>
    </row>
    <row r="267" spans="2:8" x14ac:dyDescent="0.2">
      <c r="B267" s="27" t="s">
        <v>848</v>
      </c>
      <c r="C267" s="28" t="s">
        <v>969</v>
      </c>
      <c r="D267" s="29" t="s">
        <v>30</v>
      </c>
      <c r="E267" s="30" t="s">
        <v>1009</v>
      </c>
      <c r="F267" s="28" t="s">
        <v>356</v>
      </c>
      <c r="G267" s="30" t="s">
        <v>1010</v>
      </c>
      <c r="H267" t="str">
        <f>CONCATENATE(Prequal[[#This Row],[CITY]], ", ",Prequal[[#This Row],[STATE]])</f>
        <v>chicago, IL</v>
      </c>
    </row>
    <row r="268" spans="2:8" x14ac:dyDescent="0.2">
      <c r="B268" s="27" t="s">
        <v>848</v>
      </c>
      <c r="C268" s="28" t="s">
        <v>969</v>
      </c>
      <c r="D268" s="29" t="s">
        <v>53</v>
      </c>
      <c r="E268" s="30" t="s">
        <v>1009</v>
      </c>
      <c r="F268" s="28" t="s">
        <v>356</v>
      </c>
      <c r="G268" s="30" t="s">
        <v>1010</v>
      </c>
      <c r="H268" t="str">
        <f>CONCATENATE(Prequal[[#This Row],[CITY]], ", ",Prequal[[#This Row],[STATE]])</f>
        <v>chicago, IL</v>
      </c>
    </row>
    <row r="269" spans="2:8" x14ac:dyDescent="0.2">
      <c r="B269" s="27" t="s">
        <v>848</v>
      </c>
      <c r="C269" s="28" t="s">
        <v>969</v>
      </c>
      <c r="D269" s="29" t="s">
        <v>31</v>
      </c>
      <c r="E269" s="30" t="s">
        <v>1009</v>
      </c>
      <c r="F269" s="28" t="s">
        <v>356</v>
      </c>
      <c r="G269" s="30" t="s">
        <v>1010</v>
      </c>
      <c r="H269" t="str">
        <f>CONCATENATE(Prequal[[#This Row],[CITY]], ", ",Prequal[[#This Row],[STATE]])</f>
        <v>chicago, IL</v>
      </c>
    </row>
    <row r="270" spans="2:8" x14ac:dyDescent="0.2">
      <c r="B270" s="27" t="s">
        <v>848</v>
      </c>
      <c r="C270" s="28" t="s">
        <v>969</v>
      </c>
      <c r="D270" s="29" t="s">
        <v>32</v>
      </c>
      <c r="E270" s="30" t="s">
        <v>1009</v>
      </c>
      <c r="F270" s="28" t="s">
        <v>356</v>
      </c>
      <c r="G270" s="30" t="s">
        <v>1010</v>
      </c>
      <c r="H270" t="str">
        <f>CONCATENATE(Prequal[[#This Row],[CITY]], ", ",Prequal[[#This Row],[STATE]])</f>
        <v>chicago, IL</v>
      </c>
    </row>
    <row r="271" spans="2:8" x14ac:dyDescent="0.2">
      <c r="B271" s="27" t="s">
        <v>848</v>
      </c>
      <c r="C271" s="28" t="s">
        <v>969</v>
      </c>
      <c r="D271" s="29" t="s">
        <v>38</v>
      </c>
      <c r="E271" s="30" t="s">
        <v>1009</v>
      </c>
      <c r="F271" s="28" t="s">
        <v>356</v>
      </c>
      <c r="G271" s="30" t="s">
        <v>1010</v>
      </c>
      <c r="H271" t="str">
        <f>CONCATENATE(Prequal[[#This Row],[CITY]], ", ",Prequal[[#This Row],[STATE]])</f>
        <v>chicago, IL</v>
      </c>
    </row>
    <row r="272" spans="2:8" x14ac:dyDescent="0.2">
      <c r="B272" s="27" t="s">
        <v>848</v>
      </c>
      <c r="C272" s="28" t="s">
        <v>969</v>
      </c>
      <c r="D272" s="29" t="s">
        <v>56</v>
      </c>
      <c r="E272" s="30" t="s">
        <v>1009</v>
      </c>
      <c r="F272" s="28" t="s">
        <v>356</v>
      </c>
      <c r="G272" s="30" t="s">
        <v>1010</v>
      </c>
      <c r="H272" t="str">
        <f>CONCATENATE(Prequal[[#This Row],[CITY]], ", ",Prequal[[#This Row],[STATE]])</f>
        <v>chicago, IL</v>
      </c>
    </row>
    <row r="273" spans="2:8" x14ac:dyDescent="0.2">
      <c r="B273" s="27" t="s">
        <v>848</v>
      </c>
      <c r="C273" s="28" t="s">
        <v>969</v>
      </c>
      <c r="D273" s="29" t="s">
        <v>57</v>
      </c>
      <c r="E273" s="30" t="s">
        <v>1009</v>
      </c>
      <c r="F273" s="28" t="s">
        <v>356</v>
      </c>
      <c r="G273" s="30" t="s">
        <v>1010</v>
      </c>
      <c r="H273" t="str">
        <f>CONCATENATE(Prequal[[#This Row],[CITY]], ", ",Prequal[[#This Row],[STATE]])</f>
        <v>chicago, IL</v>
      </c>
    </row>
    <row r="274" spans="2:8" x14ac:dyDescent="0.2">
      <c r="B274" s="27" t="s">
        <v>79</v>
      </c>
      <c r="C274" s="28" t="s">
        <v>970</v>
      </c>
      <c r="D274" s="29" t="s">
        <v>35</v>
      </c>
      <c r="E274" s="30" t="s">
        <v>532</v>
      </c>
      <c r="F274" s="28" t="s">
        <v>356</v>
      </c>
      <c r="G274" s="30" t="s">
        <v>568</v>
      </c>
      <c r="H274" t="str">
        <f>CONCATENATE(Prequal[[#This Row],[CITY]], ", ",Prequal[[#This Row],[STATE]])</f>
        <v>Deerfield, IL</v>
      </c>
    </row>
    <row r="275" spans="2:8" x14ac:dyDescent="0.2">
      <c r="B275" s="27" t="s">
        <v>79</v>
      </c>
      <c r="C275" s="28" t="s">
        <v>970</v>
      </c>
      <c r="D275" s="29" t="s">
        <v>36</v>
      </c>
      <c r="E275" s="30" t="s">
        <v>532</v>
      </c>
      <c r="F275" s="28" t="s">
        <v>356</v>
      </c>
      <c r="G275" s="30" t="s">
        <v>568</v>
      </c>
      <c r="H275" t="str">
        <f>CONCATENATE(Prequal[[#This Row],[CITY]], ", ",Prequal[[#This Row],[STATE]])</f>
        <v>Deerfield, IL</v>
      </c>
    </row>
    <row r="276" spans="2:8" x14ac:dyDescent="0.2">
      <c r="B276" s="27" t="s">
        <v>79</v>
      </c>
      <c r="C276" s="28" t="s">
        <v>970</v>
      </c>
      <c r="D276" s="29" t="s">
        <v>4</v>
      </c>
      <c r="E276" s="30" t="s">
        <v>532</v>
      </c>
      <c r="F276" s="28" t="s">
        <v>356</v>
      </c>
      <c r="G276" s="30" t="s">
        <v>568</v>
      </c>
      <c r="H276" t="str">
        <f>CONCATENATE(Prequal[[#This Row],[CITY]], ", ",Prequal[[#This Row],[STATE]])</f>
        <v>Deerfield, IL</v>
      </c>
    </row>
    <row r="277" spans="2:8" x14ac:dyDescent="0.2">
      <c r="B277" s="27" t="s">
        <v>79</v>
      </c>
      <c r="C277" s="28" t="s">
        <v>970</v>
      </c>
      <c r="D277" s="29" t="s">
        <v>5</v>
      </c>
      <c r="E277" s="30" t="s">
        <v>532</v>
      </c>
      <c r="F277" s="28" t="s">
        <v>356</v>
      </c>
      <c r="G277" s="30" t="s">
        <v>568</v>
      </c>
      <c r="H277" t="str">
        <f>CONCATENATE(Prequal[[#This Row],[CITY]], ", ",Prequal[[#This Row],[STATE]])</f>
        <v>Deerfield, IL</v>
      </c>
    </row>
    <row r="278" spans="2:8" x14ac:dyDescent="0.2">
      <c r="B278" s="27" t="s">
        <v>79</v>
      </c>
      <c r="C278" s="28" t="s">
        <v>970</v>
      </c>
      <c r="D278" s="29" t="s">
        <v>6</v>
      </c>
      <c r="E278" s="30" t="s">
        <v>532</v>
      </c>
      <c r="F278" s="28" t="s">
        <v>356</v>
      </c>
      <c r="G278" s="30" t="s">
        <v>568</v>
      </c>
      <c r="H278" t="str">
        <f>CONCATENATE(Prequal[[#This Row],[CITY]], ", ",Prequal[[#This Row],[STATE]])</f>
        <v>Deerfield, IL</v>
      </c>
    </row>
    <row r="279" spans="2:8" x14ac:dyDescent="0.2">
      <c r="B279" s="27" t="s">
        <v>79</v>
      </c>
      <c r="C279" s="28" t="s">
        <v>970</v>
      </c>
      <c r="D279" s="29" t="s">
        <v>7</v>
      </c>
      <c r="E279" s="30" t="s">
        <v>532</v>
      </c>
      <c r="F279" s="28" t="s">
        <v>356</v>
      </c>
      <c r="G279" s="30" t="s">
        <v>568</v>
      </c>
      <c r="H279" t="str">
        <f>CONCATENATE(Prequal[[#This Row],[CITY]], ", ",Prequal[[#This Row],[STATE]])</f>
        <v>Deerfield, IL</v>
      </c>
    </row>
    <row r="280" spans="2:8" x14ac:dyDescent="0.2">
      <c r="B280" s="27" t="s">
        <v>79</v>
      </c>
      <c r="C280" s="28" t="s">
        <v>970</v>
      </c>
      <c r="D280" s="29" t="s">
        <v>8</v>
      </c>
      <c r="E280" s="30" t="s">
        <v>532</v>
      </c>
      <c r="F280" s="28" t="s">
        <v>356</v>
      </c>
      <c r="G280" s="30" t="s">
        <v>568</v>
      </c>
      <c r="H280" t="str">
        <f>CONCATENATE(Prequal[[#This Row],[CITY]], ", ",Prequal[[#This Row],[STATE]])</f>
        <v>Deerfield, IL</v>
      </c>
    </row>
    <row r="281" spans="2:8" x14ac:dyDescent="0.2">
      <c r="B281" s="27" t="s">
        <v>79</v>
      </c>
      <c r="C281" s="28" t="s">
        <v>970</v>
      </c>
      <c r="D281" s="29" t="s">
        <v>24</v>
      </c>
      <c r="E281" s="30" t="s">
        <v>532</v>
      </c>
      <c r="F281" s="28" t="s">
        <v>356</v>
      </c>
      <c r="G281" s="30" t="s">
        <v>568</v>
      </c>
      <c r="H281" t="str">
        <f>CONCATENATE(Prequal[[#This Row],[CITY]], ", ",Prequal[[#This Row],[STATE]])</f>
        <v>Deerfield, IL</v>
      </c>
    </row>
    <row r="282" spans="2:8" x14ac:dyDescent="0.2">
      <c r="B282" s="27" t="s">
        <v>79</v>
      </c>
      <c r="C282" s="28" t="s">
        <v>970</v>
      </c>
      <c r="D282" s="29" t="s">
        <v>25</v>
      </c>
      <c r="E282" s="30" t="s">
        <v>532</v>
      </c>
      <c r="F282" s="28" t="s">
        <v>356</v>
      </c>
      <c r="G282" s="30" t="s">
        <v>568</v>
      </c>
      <c r="H282" t="str">
        <f>CONCATENATE(Prequal[[#This Row],[CITY]], ", ",Prequal[[#This Row],[STATE]])</f>
        <v>Deerfield, IL</v>
      </c>
    </row>
    <row r="283" spans="2:8" x14ac:dyDescent="0.2">
      <c r="B283" s="27" t="s">
        <v>79</v>
      </c>
      <c r="C283" s="28" t="s">
        <v>970</v>
      </c>
      <c r="D283" s="29" t="s">
        <v>9</v>
      </c>
      <c r="E283" s="30" t="s">
        <v>532</v>
      </c>
      <c r="F283" s="28" t="s">
        <v>356</v>
      </c>
      <c r="G283" s="30" t="s">
        <v>568</v>
      </c>
      <c r="H283" t="str">
        <f>CONCATENATE(Prequal[[#This Row],[CITY]], ", ",Prequal[[#This Row],[STATE]])</f>
        <v>Deerfield, IL</v>
      </c>
    </row>
    <row r="284" spans="2:8" x14ac:dyDescent="0.2">
      <c r="B284" s="27" t="s">
        <v>79</v>
      </c>
      <c r="C284" s="28" t="s">
        <v>970</v>
      </c>
      <c r="D284" s="29" t="s">
        <v>27</v>
      </c>
      <c r="E284" s="30" t="s">
        <v>532</v>
      </c>
      <c r="F284" s="28" t="s">
        <v>356</v>
      </c>
      <c r="G284" s="30" t="s">
        <v>568</v>
      </c>
      <c r="H284" t="str">
        <f>CONCATENATE(Prequal[[#This Row],[CITY]], ", ",Prequal[[#This Row],[STATE]])</f>
        <v>Deerfield, IL</v>
      </c>
    </row>
    <row r="285" spans="2:8" x14ac:dyDescent="0.2">
      <c r="B285" s="27" t="s">
        <v>79</v>
      </c>
      <c r="C285" s="28" t="s">
        <v>970</v>
      </c>
      <c r="D285" s="29" t="s">
        <v>10</v>
      </c>
      <c r="E285" s="30" t="s">
        <v>532</v>
      </c>
      <c r="F285" s="28" t="s">
        <v>356</v>
      </c>
      <c r="G285" s="30" t="s">
        <v>568</v>
      </c>
      <c r="H285" t="str">
        <f>CONCATENATE(Prequal[[#This Row],[CITY]], ", ",Prequal[[#This Row],[STATE]])</f>
        <v>Deerfield, IL</v>
      </c>
    </row>
    <row r="286" spans="2:8" x14ac:dyDescent="0.2">
      <c r="B286" s="27" t="s">
        <v>79</v>
      </c>
      <c r="C286" s="28" t="s">
        <v>970</v>
      </c>
      <c r="D286" s="29" t="s">
        <v>28</v>
      </c>
      <c r="E286" s="30" t="s">
        <v>532</v>
      </c>
      <c r="F286" s="28" t="s">
        <v>356</v>
      </c>
      <c r="G286" s="30" t="s">
        <v>568</v>
      </c>
      <c r="H286" t="str">
        <f>CONCATENATE(Prequal[[#This Row],[CITY]], ", ",Prequal[[#This Row],[STATE]])</f>
        <v>Deerfield, IL</v>
      </c>
    </row>
    <row r="287" spans="2:8" x14ac:dyDescent="0.2">
      <c r="B287" s="27" t="s">
        <v>79</v>
      </c>
      <c r="C287" s="28" t="s">
        <v>970</v>
      </c>
      <c r="D287" s="29" t="s">
        <v>29</v>
      </c>
      <c r="E287" s="30" t="s">
        <v>532</v>
      </c>
      <c r="F287" s="28" t="s">
        <v>356</v>
      </c>
      <c r="G287" s="30" t="s">
        <v>568</v>
      </c>
      <c r="H287" t="str">
        <f>CONCATENATE(Prequal[[#This Row],[CITY]], ", ",Prequal[[#This Row],[STATE]])</f>
        <v>Deerfield, IL</v>
      </c>
    </row>
    <row r="288" spans="2:8" x14ac:dyDescent="0.2">
      <c r="B288" s="27" t="s">
        <v>79</v>
      </c>
      <c r="C288" s="28" t="s">
        <v>970</v>
      </c>
      <c r="D288" s="29" t="s">
        <v>13</v>
      </c>
      <c r="E288" s="30" t="s">
        <v>532</v>
      </c>
      <c r="F288" s="28" t="s">
        <v>356</v>
      </c>
      <c r="G288" s="30" t="s">
        <v>568</v>
      </c>
      <c r="H288" t="str">
        <f>CONCATENATE(Prequal[[#This Row],[CITY]], ", ",Prequal[[#This Row],[STATE]])</f>
        <v>Deerfield, IL</v>
      </c>
    </row>
    <row r="289" spans="2:8" x14ac:dyDescent="0.2">
      <c r="B289" s="27" t="s">
        <v>79</v>
      </c>
      <c r="C289" s="28" t="s">
        <v>970</v>
      </c>
      <c r="D289" s="29" t="s">
        <v>14</v>
      </c>
      <c r="E289" s="30" t="s">
        <v>532</v>
      </c>
      <c r="F289" s="28" t="s">
        <v>356</v>
      </c>
      <c r="G289" s="30" t="s">
        <v>568</v>
      </c>
      <c r="H289" t="str">
        <f>CONCATENATE(Prequal[[#This Row],[CITY]], ", ",Prequal[[#This Row],[STATE]])</f>
        <v>Deerfield, IL</v>
      </c>
    </row>
    <row r="290" spans="2:8" x14ac:dyDescent="0.2">
      <c r="B290" s="27" t="s">
        <v>79</v>
      </c>
      <c r="C290" s="28" t="s">
        <v>970</v>
      </c>
      <c r="D290" s="29" t="s">
        <v>15</v>
      </c>
      <c r="E290" s="30" t="s">
        <v>532</v>
      </c>
      <c r="F290" s="28" t="s">
        <v>356</v>
      </c>
      <c r="G290" s="30" t="s">
        <v>568</v>
      </c>
      <c r="H290" t="str">
        <f>CONCATENATE(Prequal[[#This Row],[CITY]], ", ",Prequal[[#This Row],[STATE]])</f>
        <v>Deerfield, IL</v>
      </c>
    </row>
    <row r="291" spans="2:8" x14ac:dyDescent="0.2">
      <c r="B291" s="27" t="s">
        <v>79</v>
      </c>
      <c r="C291" s="28" t="s">
        <v>970</v>
      </c>
      <c r="D291" s="29" t="s">
        <v>30</v>
      </c>
      <c r="E291" s="30" t="s">
        <v>532</v>
      </c>
      <c r="F291" s="28" t="s">
        <v>356</v>
      </c>
      <c r="G291" s="30" t="s">
        <v>568</v>
      </c>
      <c r="H291" t="str">
        <f>CONCATENATE(Prequal[[#This Row],[CITY]], ", ",Prequal[[#This Row],[STATE]])</f>
        <v>Deerfield, IL</v>
      </c>
    </row>
    <row r="292" spans="2:8" x14ac:dyDescent="0.2">
      <c r="B292" s="27" t="s">
        <v>79</v>
      </c>
      <c r="C292" s="28" t="s">
        <v>970</v>
      </c>
      <c r="D292" s="29" t="s">
        <v>53</v>
      </c>
      <c r="E292" s="30" t="s">
        <v>532</v>
      </c>
      <c r="F292" s="28" t="s">
        <v>356</v>
      </c>
      <c r="G292" s="30" t="s">
        <v>568</v>
      </c>
      <c r="H292" t="str">
        <f>CONCATENATE(Prequal[[#This Row],[CITY]], ", ",Prequal[[#This Row],[STATE]])</f>
        <v>Deerfield, IL</v>
      </c>
    </row>
    <row r="293" spans="2:8" x14ac:dyDescent="0.2">
      <c r="B293" s="27" t="s">
        <v>79</v>
      </c>
      <c r="C293" s="28" t="s">
        <v>970</v>
      </c>
      <c r="D293" s="29" t="s">
        <v>31</v>
      </c>
      <c r="E293" s="30" t="s">
        <v>532</v>
      </c>
      <c r="F293" s="28" t="s">
        <v>356</v>
      </c>
      <c r="G293" s="30" t="s">
        <v>568</v>
      </c>
      <c r="H293" t="str">
        <f>CONCATENATE(Prequal[[#This Row],[CITY]], ", ",Prequal[[#This Row],[STATE]])</f>
        <v>Deerfield, IL</v>
      </c>
    </row>
    <row r="294" spans="2:8" x14ac:dyDescent="0.2">
      <c r="B294" s="27" t="s">
        <v>79</v>
      </c>
      <c r="C294" s="28" t="s">
        <v>970</v>
      </c>
      <c r="D294" s="29" t="s">
        <v>32</v>
      </c>
      <c r="E294" s="30" t="s">
        <v>532</v>
      </c>
      <c r="F294" s="28" t="s">
        <v>356</v>
      </c>
      <c r="G294" s="30" t="s">
        <v>568</v>
      </c>
      <c r="H294" t="str">
        <f>CONCATENATE(Prequal[[#This Row],[CITY]], ", ",Prequal[[#This Row],[STATE]])</f>
        <v>Deerfield, IL</v>
      </c>
    </row>
    <row r="295" spans="2:8" x14ac:dyDescent="0.2">
      <c r="B295" s="27" t="s">
        <v>79</v>
      </c>
      <c r="C295" s="28" t="s">
        <v>970</v>
      </c>
      <c r="D295" s="29" t="s">
        <v>54</v>
      </c>
      <c r="E295" s="30" t="s">
        <v>532</v>
      </c>
      <c r="F295" s="28" t="s">
        <v>356</v>
      </c>
      <c r="G295" s="30" t="s">
        <v>568</v>
      </c>
      <c r="H295" t="str">
        <f>CONCATENATE(Prequal[[#This Row],[CITY]], ", ",Prequal[[#This Row],[STATE]])</f>
        <v>Deerfield, IL</v>
      </c>
    </row>
    <row r="296" spans="2:8" x14ac:dyDescent="0.2">
      <c r="B296" s="27" t="s">
        <v>79</v>
      </c>
      <c r="C296" s="28" t="s">
        <v>970</v>
      </c>
      <c r="D296" s="29" t="s">
        <v>38</v>
      </c>
      <c r="E296" s="30" t="s">
        <v>532</v>
      </c>
      <c r="F296" s="28" t="s">
        <v>356</v>
      </c>
      <c r="G296" s="30" t="s">
        <v>568</v>
      </c>
      <c r="H296" t="str">
        <f>CONCATENATE(Prequal[[#This Row],[CITY]], ", ",Prequal[[#This Row],[STATE]])</f>
        <v>Deerfield, IL</v>
      </c>
    </row>
    <row r="297" spans="2:8" x14ac:dyDescent="0.2">
      <c r="B297" s="27" t="s">
        <v>79</v>
      </c>
      <c r="C297" s="28" t="s">
        <v>970</v>
      </c>
      <c r="D297" s="29" t="s">
        <v>33</v>
      </c>
      <c r="E297" s="30" t="s">
        <v>532</v>
      </c>
      <c r="F297" s="28" t="s">
        <v>356</v>
      </c>
      <c r="G297" s="30" t="s">
        <v>568</v>
      </c>
      <c r="H297" t="str">
        <f>CONCATENATE(Prequal[[#This Row],[CITY]], ", ",Prequal[[#This Row],[STATE]])</f>
        <v>Deerfield, IL</v>
      </c>
    </row>
    <row r="298" spans="2:8" x14ac:dyDescent="0.2">
      <c r="B298" s="27" t="s">
        <v>1064</v>
      </c>
      <c r="C298" s="28" t="s">
        <v>969</v>
      </c>
      <c r="D298" s="29" t="s">
        <v>4</v>
      </c>
      <c r="E298" s="30" t="s">
        <v>974</v>
      </c>
      <c r="F298" s="28" t="s">
        <v>356</v>
      </c>
      <c r="G298" s="30" t="s">
        <v>1065</v>
      </c>
      <c r="H298" t="str">
        <f>CONCATENATE(Prequal[[#This Row],[CITY]], ", ",Prequal[[#This Row],[STATE]])</f>
        <v>Chicago , IL</v>
      </c>
    </row>
    <row r="299" spans="2:8" x14ac:dyDescent="0.2">
      <c r="B299" s="27" t="s">
        <v>1064</v>
      </c>
      <c r="C299" s="28" t="s">
        <v>969</v>
      </c>
      <c r="D299" s="29" t="s">
        <v>5</v>
      </c>
      <c r="E299" s="30" t="s">
        <v>974</v>
      </c>
      <c r="F299" s="28" t="s">
        <v>356</v>
      </c>
      <c r="G299" s="30" t="s">
        <v>1065</v>
      </c>
      <c r="H299" t="str">
        <f>CONCATENATE(Prequal[[#This Row],[CITY]], ", ",Prequal[[#This Row],[STATE]])</f>
        <v>Chicago , IL</v>
      </c>
    </row>
    <row r="300" spans="2:8" x14ac:dyDescent="0.2">
      <c r="B300" s="27" t="s">
        <v>1064</v>
      </c>
      <c r="C300" s="28" t="s">
        <v>969</v>
      </c>
      <c r="D300" s="29" t="s">
        <v>8</v>
      </c>
      <c r="E300" s="30" t="s">
        <v>974</v>
      </c>
      <c r="F300" s="28" t="s">
        <v>356</v>
      </c>
      <c r="G300" s="30" t="s">
        <v>1065</v>
      </c>
      <c r="H300" t="str">
        <f>CONCATENATE(Prequal[[#This Row],[CITY]], ", ",Prequal[[#This Row],[STATE]])</f>
        <v>Chicago , IL</v>
      </c>
    </row>
    <row r="301" spans="2:8" x14ac:dyDescent="0.2">
      <c r="B301" s="27" t="s">
        <v>1064</v>
      </c>
      <c r="C301" s="28" t="s">
        <v>969</v>
      </c>
      <c r="D301" s="29" t="s">
        <v>25</v>
      </c>
      <c r="E301" s="30" t="s">
        <v>974</v>
      </c>
      <c r="F301" s="28" t="s">
        <v>356</v>
      </c>
      <c r="G301" s="30" t="s">
        <v>1065</v>
      </c>
      <c r="H301" t="str">
        <f>CONCATENATE(Prequal[[#This Row],[CITY]], ", ",Prequal[[#This Row],[STATE]])</f>
        <v>Chicago , IL</v>
      </c>
    </row>
    <row r="302" spans="2:8" x14ac:dyDescent="0.2">
      <c r="B302" s="27" t="s">
        <v>1064</v>
      </c>
      <c r="C302" s="28" t="s">
        <v>969</v>
      </c>
      <c r="D302" s="29" t="s">
        <v>9</v>
      </c>
      <c r="E302" s="30" t="s">
        <v>974</v>
      </c>
      <c r="F302" s="28" t="s">
        <v>356</v>
      </c>
      <c r="G302" s="30" t="s">
        <v>1065</v>
      </c>
      <c r="H302" t="str">
        <f>CONCATENATE(Prequal[[#This Row],[CITY]], ", ",Prequal[[#This Row],[STATE]])</f>
        <v>Chicago , IL</v>
      </c>
    </row>
    <row r="303" spans="2:8" x14ac:dyDescent="0.2">
      <c r="B303" s="27" t="s">
        <v>1064</v>
      </c>
      <c r="C303" s="28" t="s">
        <v>969</v>
      </c>
      <c r="D303" s="29" t="s">
        <v>26</v>
      </c>
      <c r="E303" s="30" t="s">
        <v>974</v>
      </c>
      <c r="F303" s="28" t="s">
        <v>356</v>
      </c>
      <c r="G303" s="30" t="s">
        <v>1065</v>
      </c>
      <c r="H303" t="str">
        <f>CONCATENATE(Prequal[[#This Row],[CITY]], ", ",Prequal[[#This Row],[STATE]])</f>
        <v>Chicago , IL</v>
      </c>
    </row>
    <row r="304" spans="2:8" x14ac:dyDescent="0.2">
      <c r="B304" s="27" t="s">
        <v>1064</v>
      </c>
      <c r="C304" s="28" t="s">
        <v>969</v>
      </c>
      <c r="D304" s="29" t="s">
        <v>20</v>
      </c>
      <c r="E304" s="30" t="s">
        <v>974</v>
      </c>
      <c r="F304" s="28" t="s">
        <v>356</v>
      </c>
      <c r="G304" s="30" t="s">
        <v>1065</v>
      </c>
      <c r="H304" t="str">
        <f>CONCATENATE(Prequal[[#This Row],[CITY]], ", ",Prequal[[#This Row],[STATE]])</f>
        <v>Chicago , IL</v>
      </c>
    </row>
    <row r="305" spans="2:8" x14ac:dyDescent="0.2">
      <c r="B305" s="27" t="s">
        <v>1064</v>
      </c>
      <c r="C305" s="28" t="s">
        <v>969</v>
      </c>
      <c r="D305" s="29" t="s">
        <v>27</v>
      </c>
      <c r="E305" s="30" t="s">
        <v>974</v>
      </c>
      <c r="F305" s="28" t="s">
        <v>356</v>
      </c>
      <c r="G305" s="30" t="s">
        <v>1065</v>
      </c>
      <c r="H305" t="str">
        <f>CONCATENATE(Prequal[[#This Row],[CITY]], ", ",Prequal[[#This Row],[STATE]])</f>
        <v>Chicago , IL</v>
      </c>
    </row>
    <row r="306" spans="2:8" x14ac:dyDescent="0.2">
      <c r="B306" s="27" t="s">
        <v>1064</v>
      </c>
      <c r="C306" s="28" t="s">
        <v>969</v>
      </c>
      <c r="D306" s="29" t="s">
        <v>10</v>
      </c>
      <c r="E306" s="30" t="s">
        <v>974</v>
      </c>
      <c r="F306" s="28" t="s">
        <v>356</v>
      </c>
      <c r="G306" s="30" t="s">
        <v>1065</v>
      </c>
      <c r="H306" t="str">
        <f>CONCATENATE(Prequal[[#This Row],[CITY]], ", ",Prequal[[#This Row],[STATE]])</f>
        <v>Chicago , IL</v>
      </c>
    </row>
    <row r="307" spans="2:8" x14ac:dyDescent="0.2">
      <c r="B307" s="27" t="s">
        <v>1064</v>
      </c>
      <c r="C307" s="28" t="s">
        <v>969</v>
      </c>
      <c r="D307" s="29" t="s">
        <v>21</v>
      </c>
      <c r="E307" s="30" t="s">
        <v>974</v>
      </c>
      <c r="F307" s="28" t="s">
        <v>356</v>
      </c>
      <c r="G307" s="30" t="s">
        <v>1065</v>
      </c>
      <c r="H307" t="str">
        <f>CONCATENATE(Prequal[[#This Row],[CITY]], ", ",Prequal[[#This Row],[STATE]])</f>
        <v>Chicago , IL</v>
      </c>
    </row>
    <row r="308" spans="2:8" x14ac:dyDescent="0.2">
      <c r="B308" s="27" t="s">
        <v>1064</v>
      </c>
      <c r="C308" s="28" t="s">
        <v>969</v>
      </c>
      <c r="D308" s="29" t="s">
        <v>37</v>
      </c>
      <c r="E308" s="30" t="s">
        <v>974</v>
      </c>
      <c r="F308" s="28" t="s">
        <v>356</v>
      </c>
      <c r="G308" s="30" t="s">
        <v>1065</v>
      </c>
      <c r="H308" t="str">
        <f>CONCATENATE(Prequal[[#This Row],[CITY]], ", ",Prequal[[#This Row],[STATE]])</f>
        <v>Chicago , IL</v>
      </c>
    </row>
    <row r="309" spans="2:8" x14ac:dyDescent="0.2">
      <c r="B309" s="27" t="s">
        <v>1064</v>
      </c>
      <c r="C309" s="28" t="s">
        <v>969</v>
      </c>
      <c r="D309" s="29" t="s">
        <v>13</v>
      </c>
      <c r="E309" s="30" t="s">
        <v>974</v>
      </c>
      <c r="F309" s="28" t="s">
        <v>356</v>
      </c>
      <c r="G309" s="30" t="s">
        <v>1065</v>
      </c>
      <c r="H309" t="str">
        <f>CONCATENATE(Prequal[[#This Row],[CITY]], ", ",Prequal[[#This Row],[STATE]])</f>
        <v>Chicago , IL</v>
      </c>
    </row>
    <row r="310" spans="2:8" x14ac:dyDescent="0.2">
      <c r="B310" s="27" t="s">
        <v>1064</v>
      </c>
      <c r="C310" s="28" t="s">
        <v>969</v>
      </c>
      <c r="D310" s="29" t="s">
        <v>52</v>
      </c>
      <c r="E310" s="30" t="s">
        <v>974</v>
      </c>
      <c r="F310" s="28" t="s">
        <v>356</v>
      </c>
      <c r="G310" s="30" t="s">
        <v>1065</v>
      </c>
      <c r="H310" t="str">
        <f>CONCATENATE(Prequal[[#This Row],[CITY]], ", ",Prequal[[#This Row],[STATE]])</f>
        <v>Chicago , IL</v>
      </c>
    </row>
    <row r="311" spans="2:8" x14ac:dyDescent="0.2">
      <c r="B311" s="27" t="s">
        <v>1064</v>
      </c>
      <c r="C311" s="28" t="s">
        <v>969</v>
      </c>
      <c r="D311" s="29" t="s">
        <v>14</v>
      </c>
      <c r="E311" s="30" t="s">
        <v>974</v>
      </c>
      <c r="F311" s="28" t="s">
        <v>356</v>
      </c>
      <c r="G311" s="30" t="s">
        <v>1065</v>
      </c>
      <c r="H311" t="str">
        <f>CONCATENATE(Prequal[[#This Row],[CITY]], ", ",Prequal[[#This Row],[STATE]])</f>
        <v>Chicago , IL</v>
      </c>
    </row>
    <row r="312" spans="2:8" x14ac:dyDescent="0.2">
      <c r="B312" s="27" t="s">
        <v>1064</v>
      </c>
      <c r="C312" s="28" t="s">
        <v>969</v>
      </c>
      <c r="D312" s="29" t="s">
        <v>15</v>
      </c>
      <c r="E312" s="30" t="s">
        <v>974</v>
      </c>
      <c r="F312" s="28" t="s">
        <v>356</v>
      </c>
      <c r="G312" s="30" t="s">
        <v>1065</v>
      </c>
      <c r="H312" t="str">
        <f>CONCATENATE(Prequal[[#This Row],[CITY]], ", ",Prequal[[#This Row],[STATE]])</f>
        <v>Chicago , IL</v>
      </c>
    </row>
    <row r="313" spans="2:8" x14ac:dyDescent="0.2">
      <c r="B313" s="27" t="s">
        <v>1064</v>
      </c>
      <c r="C313" s="28" t="s">
        <v>969</v>
      </c>
      <c r="D313" s="29" t="s">
        <v>31</v>
      </c>
      <c r="E313" s="30" t="s">
        <v>974</v>
      </c>
      <c r="F313" s="28" t="s">
        <v>356</v>
      </c>
      <c r="G313" s="30" t="s">
        <v>1065</v>
      </c>
      <c r="H313" t="str">
        <f>CONCATENATE(Prequal[[#This Row],[CITY]], ", ",Prequal[[#This Row],[STATE]])</f>
        <v>Chicago , IL</v>
      </c>
    </row>
    <row r="314" spans="2:8" x14ac:dyDescent="0.2">
      <c r="B314" s="27" t="s">
        <v>1064</v>
      </c>
      <c r="C314" s="28" t="s">
        <v>969</v>
      </c>
      <c r="D314" s="29" t="s">
        <v>32</v>
      </c>
      <c r="E314" s="30" t="s">
        <v>974</v>
      </c>
      <c r="F314" s="28" t="s">
        <v>356</v>
      </c>
      <c r="G314" s="30" t="s">
        <v>1065</v>
      </c>
      <c r="H314" t="str">
        <f>CONCATENATE(Prequal[[#This Row],[CITY]], ", ",Prequal[[#This Row],[STATE]])</f>
        <v>Chicago , IL</v>
      </c>
    </row>
    <row r="315" spans="2:8" x14ac:dyDescent="0.2">
      <c r="B315" s="27" t="s">
        <v>1064</v>
      </c>
      <c r="C315" s="28" t="s">
        <v>969</v>
      </c>
      <c r="D315" s="29" t="s">
        <v>56</v>
      </c>
      <c r="E315" s="30" t="s">
        <v>974</v>
      </c>
      <c r="F315" s="28" t="s">
        <v>356</v>
      </c>
      <c r="G315" s="30" t="s">
        <v>1065</v>
      </c>
      <c r="H315" t="str">
        <f>CONCATENATE(Prequal[[#This Row],[CITY]], ", ",Prequal[[#This Row],[STATE]])</f>
        <v>Chicago , IL</v>
      </c>
    </row>
    <row r="316" spans="2:8" x14ac:dyDescent="0.2">
      <c r="B316" s="27" t="s">
        <v>80</v>
      </c>
      <c r="C316" s="28" t="s">
        <v>969</v>
      </c>
      <c r="D316" s="29" t="s">
        <v>81</v>
      </c>
      <c r="E316" s="30" t="s">
        <v>377</v>
      </c>
      <c r="F316" s="28" t="s">
        <v>378</v>
      </c>
      <c r="G316" s="30" t="s">
        <v>569</v>
      </c>
      <c r="H316" t="str">
        <f>CONCATENATE(Prequal[[#This Row],[CITY]], ", ",Prequal[[#This Row],[STATE]])</f>
        <v>Eau Claire, WI</v>
      </c>
    </row>
    <row r="317" spans="2:8" x14ac:dyDescent="0.2">
      <c r="B317" s="27" t="s">
        <v>80</v>
      </c>
      <c r="C317" s="28" t="s">
        <v>969</v>
      </c>
      <c r="D317" s="29" t="s">
        <v>63</v>
      </c>
      <c r="E317" s="30" t="s">
        <v>377</v>
      </c>
      <c r="F317" s="28" t="s">
        <v>378</v>
      </c>
      <c r="G317" s="30" t="s">
        <v>569</v>
      </c>
      <c r="H317" t="str">
        <f>CONCATENATE(Prequal[[#This Row],[CITY]], ", ",Prequal[[#This Row],[STATE]])</f>
        <v>Eau Claire, WI</v>
      </c>
    </row>
    <row r="318" spans="2:8" x14ac:dyDescent="0.2">
      <c r="B318" s="27" t="s">
        <v>82</v>
      </c>
      <c r="C318" s="28" t="s">
        <v>969</v>
      </c>
      <c r="D318" s="29" t="s">
        <v>46</v>
      </c>
      <c r="E318" s="30" t="s">
        <v>379</v>
      </c>
      <c r="F318" s="28" t="s">
        <v>380</v>
      </c>
      <c r="G318" s="30" t="s">
        <v>570</v>
      </c>
      <c r="H318" t="str">
        <f>CONCATENATE(Prequal[[#This Row],[CITY]], ", ",Prequal[[#This Row],[STATE]])</f>
        <v>Paducah, KY</v>
      </c>
    </row>
    <row r="319" spans="2:8" x14ac:dyDescent="0.2">
      <c r="B319" s="27" t="s">
        <v>82</v>
      </c>
      <c r="C319" s="28" t="s">
        <v>969</v>
      </c>
      <c r="D319" s="29" t="s">
        <v>47</v>
      </c>
      <c r="E319" s="30" t="s">
        <v>379</v>
      </c>
      <c r="F319" s="28" t="s">
        <v>380</v>
      </c>
      <c r="G319" s="30" t="s">
        <v>570</v>
      </c>
      <c r="H319" t="str">
        <f>CONCATENATE(Prequal[[#This Row],[CITY]], ", ",Prequal[[#This Row],[STATE]])</f>
        <v>Paducah, KY</v>
      </c>
    </row>
    <row r="320" spans="2:8" x14ac:dyDescent="0.2">
      <c r="B320" s="27" t="s">
        <v>82</v>
      </c>
      <c r="C320" s="28" t="s">
        <v>969</v>
      </c>
      <c r="D320" s="29" t="s">
        <v>48</v>
      </c>
      <c r="E320" s="30" t="s">
        <v>379</v>
      </c>
      <c r="F320" s="28" t="s">
        <v>380</v>
      </c>
      <c r="G320" s="30" t="s">
        <v>570</v>
      </c>
      <c r="H320" t="str">
        <f>CONCATENATE(Prequal[[#This Row],[CITY]], ", ",Prequal[[#This Row],[STATE]])</f>
        <v>Paducah, KY</v>
      </c>
    </row>
    <row r="321" spans="2:8" x14ac:dyDescent="0.2">
      <c r="B321" s="27" t="s">
        <v>82</v>
      </c>
      <c r="C321" s="28" t="s">
        <v>969</v>
      </c>
      <c r="D321" s="29" t="s">
        <v>4</v>
      </c>
      <c r="E321" s="30" t="s">
        <v>379</v>
      </c>
      <c r="F321" s="28" t="s">
        <v>380</v>
      </c>
      <c r="G321" s="30" t="s">
        <v>570</v>
      </c>
      <c r="H321" t="str">
        <f>CONCATENATE(Prequal[[#This Row],[CITY]], ", ",Prequal[[#This Row],[STATE]])</f>
        <v>Paducah, KY</v>
      </c>
    </row>
    <row r="322" spans="2:8" x14ac:dyDescent="0.2">
      <c r="B322" s="31" t="s">
        <v>82</v>
      </c>
      <c r="C322" s="32" t="s">
        <v>969</v>
      </c>
      <c r="D322" s="33" t="s">
        <v>5</v>
      </c>
      <c r="E322" s="30" t="s">
        <v>379</v>
      </c>
      <c r="F322" s="32" t="s">
        <v>380</v>
      </c>
      <c r="G322" s="30" t="s">
        <v>570</v>
      </c>
      <c r="H322" t="str">
        <f>CONCATENATE(Prequal[[#This Row],[CITY]], ", ",Prequal[[#This Row],[STATE]])</f>
        <v>Paducah, KY</v>
      </c>
    </row>
    <row r="323" spans="2:8" x14ac:dyDescent="0.2">
      <c r="B323" s="31" t="s">
        <v>82</v>
      </c>
      <c r="C323" s="32" t="s">
        <v>969</v>
      </c>
      <c r="D323" s="33" t="s">
        <v>7</v>
      </c>
      <c r="E323" s="30" t="s">
        <v>379</v>
      </c>
      <c r="F323" s="32" t="s">
        <v>380</v>
      </c>
      <c r="G323" s="30" t="s">
        <v>570</v>
      </c>
      <c r="H323" t="str">
        <f>CONCATENATE(Prequal[[#This Row],[CITY]], ", ",Prequal[[#This Row],[STATE]])</f>
        <v>Paducah, KY</v>
      </c>
    </row>
    <row r="324" spans="2:8" x14ac:dyDescent="0.2">
      <c r="B324" s="27" t="s">
        <v>82</v>
      </c>
      <c r="C324" s="28" t="s">
        <v>969</v>
      </c>
      <c r="D324" s="29" t="s">
        <v>8</v>
      </c>
      <c r="E324" s="30" t="s">
        <v>379</v>
      </c>
      <c r="F324" s="28" t="s">
        <v>380</v>
      </c>
      <c r="G324" s="30" t="s">
        <v>570</v>
      </c>
      <c r="H324" t="str">
        <f>CONCATENATE(Prequal[[#This Row],[CITY]], ", ",Prequal[[#This Row],[STATE]])</f>
        <v>Paducah, KY</v>
      </c>
    </row>
    <row r="325" spans="2:8" x14ac:dyDescent="0.2">
      <c r="B325" s="27" t="s">
        <v>82</v>
      </c>
      <c r="C325" s="28" t="s">
        <v>969</v>
      </c>
      <c r="D325" s="29" t="s">
        <v>24</v>
      </c>
      <c r="E325" s="30" t="s">
        <v>379</v>
      </c>
      <c r="F325" s="28" t="s">
        <v>380</v>
      </c>
      <c r="G325" s="30" t="s">
        <v>570</v>
      </c>
      <c r="H325" t="str">
        <f>CONCATENATE(Prequal[[#This Row],[CITY]], ", ",Prequal[[#This Row],[STATE]])</f>
        <v>Paducah, KY</v>
      </c>
    </row>
    <row r="326" spans="2:8" x14ac:dyDescent="0.2">
      <c r="B326" s="27" t="s">
        <v>82</v>
      </c>
      <c r="C326" s="28" t="s">
        <v>969</v>
      </c>
      <c r="D326" s="29" t="s">
        <v>25</v>
      </c>
      <c r="E326" s="30" t="s">
        <v>379</v>
      </c>
      <c r="F326" s="28" t="s">
        <v>380</v>
      </c>
      <c r="G326" s="30" t="s">
        <v>570</v>
      </c>
      <c r="H326" t="str">
        <f>CONCATENATE(Prequal[[#This Row],[CITY]], ", ",Prequal[[#This Row],[STATE]])</f>
        <v>Paducah, KY</v>
      </c>
    </row>
    <row r="327" spans="2:8" x14ac:dyDescent="0.2">
      <c r="B327" s="27" t="s">
        <v>82</v>
      </c>
      <c r="C327" s="28" t="s">
        <v>969</v>
      </c>
      <c r="D327" s="29" t="s">
        <v>9</v>
      </c>
      <c r="E327" s="30" t="s">
        <v>379</v>
      </c>
      <c r="F327" s="28" t="s">
        <v>380</v>
      </c>
      <c r="G327" s="30" t="s">
        <v>570</v>
      </c>
      <c r="H327" t="str">
        <f>CONCATENATE(Prequal[[#This Row],[CITY]], ", ",Prequal[[#This Row],[STATE]])</f>
        <v>Paducah, KY</v>
      </c>
    </row>
    <row r="328" spans="2:8" x14ac:dyDescent="0.2">
      <c r="B328" s="27" t="s">
        <v>82</v>
      </c>
      <c r="C328" s="28" t="s">
        <v>969</v>
      </c>
      <c r="D328" s="29" t="s">
        <v>27</v>
      </c>
      <c r="E328" s="30" t="s">
        <v>379</v>
      </c>
      <c r="F328" s="28" t="s">
        <v>380</v>
      </c>
      <c r="G328" s="30" t="s">
        <v>570</v>
      </c>
      <c r="H328" t="str">
        <f>CONCATENATE(Prequal[[#This Row],[CITY]], ", ",Prequal[[#This Row],[STATE]])</f>
        <v>Paducah, KY</v>
      </c>
    </row>
    <row r="329" spans="2:8" x14ac:dyDescent="0.2">
      <c r="B329" s="27" t="s">
        <v>82</v>
      </c>
      <c r="C329" s="28" t="s">
        <v>969</v>
      </c>
      <c r="D329" s="29" t="s">
        <v>10</v>
      </c>
      <c r="E329" s="30" t="s">
        <v>379</v>
      </c>
      <c r="F329" s="28" t="s">
        <v>380</v>
      </c>
      <c r="G329" s="30" t="s">
        <v>570</v>
      </c>
      <c r="H329" t="str">
        <f>CONCATENATE(Prequal[[#This Row],[CITY]], ", ",Prequal[[#This Row],[STATE]])</f>
        <v>Paducah, KY</v>
      </c>
    </row>
    <row r="330" spans="2:8" x14ac:dyDescent="0.2">
      <c r="B330" s="27" t="s">
        <v>82</v>
      </c>
      <c r="C330" s="28" t="s">
        <v>969</v>
      </c>
      <c r="D330" s="29" t="s">
        <v>21</v>
      </c>
      <c r="E330" s="30" t="s">
        <v>379</v>
      </c>
      <c r="F330" s="28" t="s">
        <v>380</v>
      </c>
      <c r="G330" s="30" t="s">
        <v>570</v>
      </c>
      <c r="H330" t="str">
        <f>CONCATENATE(Prequal[[#This Row],[CITY]], ", ",Prequal[[#This Row],[STATE]])</f>
        <v>Paducah, KY</v>
      </c>
    </row>
    <row r="331" spans="2:8" x14ac:dyDescent="0.2">
      <c r="B331" s="27" t="s">
        <v>82</v>
      </c>
      <c r="C331" s="28" t="s">
        <v>969</v>
      </c>
      <c r="D331" s="29" t="s">
        <v>11</v>
      </c>
      <c r="E331" s="30" t="s">
        <v>379</v>
      </c>
      <c r="F331" s="28" t="s">
        <v>380</v>
      </c>
      <c r="G331" s="30" t="s">
        <v>570</v>
      </c>
      <c r="H331" t="str">
        <f>CONCATENATE(Prequal[[#This Row],[CITY]], ", ",Prequal[[#This Row],[STATE]])</f>
        <v>Paducah, KY</v>
      </c>
    </row>
    <row r="332" spans="2:8" x14ac:dyDescent="0.2">
      <c r="B332" s="27" t="s">
        <v>82</v>
      </c>
      <c r="C332" s="28" t="s">
        <v>969</v>
      </c>
      <c r="D332" s="29" t="s">
        <v>63</v>
      </c>
      <c r="E332" s="30" t="s">
        <v>379</v>
      </c>
      <c r="F332" s="28" t="s">
        <v>380</v>
      </c>
      <c r="G332" s="30" t="s">
        <v>570</v>
      </c>
      <c r="H332" t="str">
        <f>CONCATENATE(Prequal[[#This Row],[CITY]], ", ",Prequal[[#This Row],[STATE]])</f>
        <v>Paducah, KY</v>
      </c>
    </row>
    <row r="333" spans="2:8" x14ac:dyDescent="0.2">
      <c r="B333" s="27" t="s">
        <v>82</v>
      </c>
      <c r="C333" s="28" t="s">
        <v>969</v>
      </c>
      <c r="D333" s="29" t="s">
        <v>12</v>
      </c>
      <c r="E333" s="30" t="s">
        <v>379</v>
      </c>
      <c r="F333" s="28" t="s">
        <v>380</v>
      </c>
      <c r="G333" s="30" t="s">
        <v>570</v>
      </c>
      <c r="H333" t="str">
        <f>CONCATENATE(Prequal[[#This Row],[CITY]], ", ",Prequal[[#This Row],[STATE]])</f>
        <v>Paducah, KY</v>
      </c>
    </row>
    <row r="334" spans="2:8" x14ac:dyDescent="0.2">
      <c r="B334" s="27" t="s">
        <v>82</v>
      </c>
      <c r="C334" s="28" t="s">
        <v>969</v>
      </c>
      <c r="D334" s="29" t="s">
        <v>29</v>
      </c>
      <c r="E334" s="30" t="s">
        <v>379</v>
      </c>
      <c r="F334" s="28" t="s">
        <v>380</v>
      </c>
      <c r="G334" s="30" t="s">
        <v>570</v>
      </c>
      <c r="H334" t="str">
        <f>CONCATENATE(Prequal[[#This Row],[CITY]], ", ",Prequal[[#This Row],[STATE]])</f>
        <v>Paducah, KY</v>
      </c>
    </row>
    <row r="335" spans="2:8" x14ac:dyDescent="0.2">
      <c r="B335" s="27" t="s">
        <v>82</v>
      </c>
      <c r="C335" s="28" t="s">
        <v>969</v>
      </c>
      <c r="D335" s="29" t="s">
        <v>37</v>
      </c>
      <c r="E335" s="30" t="s">
        <v>379</v>
      </c>
      <c r="F335" s="28" t="s">
        <v>380</v>
      </c>
      <c r="G335" s="30" t="s">
        <v>570</v>
      </c>
      <c r="H335" t="str">
        <f>CONCATENATE(Prequal[[#This Row],[CITY]], ", ",Prequal[[#This Row],[STATE]])</f>
        <v>Paducah, KY</v>
      </c>
    </row>
    <row r="336" spans="2:8" x14ac:dyDescent="0.2">
      <c r="B336" s="27" t="s">
        <v>82</v>
      </c>
      <c r="C336" s="28" t="s">
        <v>969</v>
      </c>
      <c r="D336" s="29" t="s">
        <v>13</v>
      </c>
      <c r="E336" s="30" t="s">
        <v>379</v>
      </c>
      <c r="F336" s="28" t="s">
        <v>380</v>
      </c>
      <c r="G336" s="30" t="s">
        <v>570</v>
      </c>
      <c r="H336" t="str">
        <f>CONCATENATE(Prequal[[#This Row],[CITY]], ", ",Prequal[[#This Row],[STATE]])</f>
        <v>Paducah, KY</v>
      </c>
    </row>
    <row r="337" spans="2:8" x14ac:dyDescent="0.2">
      <c r="B337" s="27" t="s">
        <v>82</v>
      </c>
      <c r="C337" s="28" t="s">
        <v>969</v>
      </c>
      <c r="D337" s="29" t="s">
        <v>14</v>
      </c>
      <c r="E337" s="30" t="s">
        <v>379</v>
      </c>
      <c r="F337" s="28" t="s">
        <v>380</v>
      </c>
      <c r="G337" s="30" t="s">
        <v>570</v>
      </c>
      <c r="H337" t="str">
        <f>CONCATENATE(Prequal[[#This Row],[CITY]], ", ",Prequal[[#This Row],[STATE]])</f>
        <v>Paducah, KY</v>
      </c>
    </row>
    <row r="338" spans="2:8" x14ac:dyDescent="0.2">
      <c r="B338" s="27" t="s">
        <v>82</v>
      </c>
      <c r="C338" s="28" t="s">
        <v>969</v>
      </c>
      <c r="D338" s="29" t="s">
        <v>15</v>
      </c>
      <c r="E338" s="30" t="s">
        <v>379</v>
      </c>
      <c r="F338" s="28" t="s">
        <v>380</v>
      </c>
      <c r="G338" s="30" t="s">
        <v>570</v>
      </c>
      <c r="H338" t="str">
        <f>CONCATENATE(Prequal[[#This Row],[CITY]], ", ",Prequal[[#This Row],[STATE]])</f>
        <v>Paducah, KY</v>
      </c>
    </row>
    <row r="339" spans="2:8" x14ac:dyDescent="0.2">
      <c r="B339" s="27" t="s">
        <v>82</v>
      </c>
      <c r="C339" s="28" t="s">
        <v>969</v>
      </c>
      <c r="D339" s="29" t="s">
        <v>30</v>
      </c>
      <c r="E339" s="30" t="s">
        <v>379</v>
      </c>
      <c r="F339" s="28" t="s">
        <v>380</v>
      </c>
      <c r="G339" s="30" t="s">
        <v>570</v>
      </c>
      <c r="H339" t="str">
        <f>CONCATENATE(Prequal[[#This Row],[CITY]], ", ",Prequal[[#This Row],[STATE]])</f>
        <v>Paducah, KY</v>
      </c>
    </row>
    <row r="340" spans="2:8" x14ac:dyDescent="0.2">
      <c r="B340" s="27" t="s">
        <v>82</v>
      </c>
      <c r="C340" s="28" t="s">
        <v>969</v>
      </c>
      <c r="D340" s="29" t="s">
        <v>31</v>
      </c>
      <c r="E340" s="30" t="s">
        <v>379</v>
      </c>
      <c r="F340" s="28" t="s">
        <v>380</v>
      </c>
      <c r="G340" s="30" t="s">
        <v>570</v>
      </c>
      <c r="H340" t="str">
        <f>CONCATENATE(Prequal[[#This Row],[CITY]], ", ",Prequal[[#This Row],[STATE]])</f>
        <v>Paducah, KY</v>
      </c>
    </row>
    <row r="341" spans="2:8" x14ac:dyDescent="0.2">
      <c r="B341" s="27" t="s">
        <v>82</v>
      </c>
      <c r="C341" s="28" t="s">
        <v>969</v>
      </c>
      <c r="D341" s="29" t="s">
        <v>32</v>
      </c>
      <c r="E341" s="30" t="s">
        <v>379</v>
      </c>
      <c r="F341" s="28" t="s">
        <v>380</v>
      </c>
      <c r="G341" s="30" t="s">
        <v>570</v>
      </c>
      <c r="H341" t="str">
        <f>CONCATENATE(Prequal[[#This Row],[CITY]], ", ",Prequal[[#This Row],[STATE]])</f>
        <v>Paducah, KY</v>
      </c>
    </row>
    <row r="342" spans="2:8" x14ac:dyDescent="0.2">
      <c r="B342" s="27" t="s">
        <v>83</v>
      </c>
      <c r="C342" s="28" t="s">
        <v>969</v>
      </c>
      <c r="D342" s="29" t="s">
        <v>4</v>
      </c>
      <c r="E342" s="30" t="s">
        <v>381</v>
      </c>
      <c r="F342" s="28" t="s">
        <v>361</v>
      </c>
      <c r="G342" s="30" t="s">
        <v>571</v>
      </c>
      <c r="H342" t="str">
        <f>CONCATENATE(Prequal[[#This Row],[CITY]], ", ",Prequal[[#This Row],[STATE]])</f>
        <v>Jefferson City, MO</v>
      </c>
    </row>
    <row r="343" spans="2:8" x14ac:dyDescent="0.2">
      <c r="B343" s="27" t="s">
        <v>83</v>
      </c>
      <c r="C343" s="28" t="s">
        <v>969</v>
      </c>
      <c r="D343" s="29" t="s">
        <v>5</v>
      </c>
      <c r="E343" s="30" t="s">
        <v>381</v>
      </c>
      <c r="F343" s="28" t="s">
        <v>361</v>
      </c>
      <c r="G343" s="30" t="s">
        <v>571</v>
      </c>
      <c r="H343" t="str">
        <f>CONCATENATE(Prequal[[#This Row],[CITY]], ", ",Prequal[[#This Row],[STATE]])</f>
        <v>Jefferson City, MO</v>
      </c>
    </row>
    <row r="344" spans="2:8" x14ac:dyDescent="0.2">
      <c r="B344" s="27" t="s">
        <v>83</v>
      </c>
      <c r="C344" s="28" t="s">
        <v>969</v>
      </c>
      <c r="D344" s="29" t="s">
        <v>8</v>
      </c>
      <c r="E344" s="30" t="s">
        <v>381</v>
      </c>
      <c r="F344" s="28" t="s">
        <v>361</v>
      </c>
      <c r="G344" s="30" t="s">
        <v>571</v>
      </c>
      <c r="H344" t="str">
        <f>CONCATENATE(Prequal[[#This Row],[CITY]], ", ",Prequal[[#This Row],[STATE]])</f>
        <v>Jefferson City, MO</v>
      </c>
    </row>
    <row r="345" spans="2:8" x14ac:dyDescent="0.2">
      <c r="B345" s="27" t="s">
        <v>83</v>
      </c>
      <c r="C345" s="28" t="s">
        <v>969</v>
      </c>
      <c r="D345" s="29" t="s">
        <v>25</v>
      </c>
      <c r="E345" s="30" t="s">
        <v>381</v>
      </c>
      <c r="F345" s="28" t="s">
        <v>361</v>
      </c>
      <c r="G345" s="30" t="s">
        <v>571</v>
      </c>
      <c r="H345" t="str">
        <f>CONCATENATE(Prequal[[#This Row],[CITY]], ", ",Prequal[[#This Row],[STATE]])</f>
        <v>Jefferson City, MO</v>
      </c>
    </row>
    <row r="346" spans="2:8" x14ac:dyDescent="0.2">
      <c r="B346" s="27" t="s">
        <v>83</v>
      </c>
      <c r="C346" s="28" t="s">
        <v>969</v>
      </c>
      <c r="D346" s="29" t="s">
        <v>9</v>
      </c>
      <c r="E346" s="30" t="s">
        <v>381</v>
      </c>
      <c r="F346" s="28" t="s">
        <v>361</v>
      </c>
      <c r="G346" s="30" t="s">
        <v>571</v>
      </c>
      <c r="H346" t="str">
        <f>CONCATENATE(Prequal[[#This Row],[CITY]], ", ",Prequal[[#This Row],[STATE]])</f>
        <v>Jefferson City, MO</v>
      </c>
    </row>
    <row r="347" spans="2:8" x14ac:dyDescent="0.2">
      <c r="B347" s="27" t="s">
        <v>83</v>
      </c>
      <c r="C347" s="28" t="s">
        <v>969</v>
      </c>
      <c r="D347" s="29" t="s">
        <v>27</v>
      </c>
      <c r="E347" s="30" t="s">
        <v>381</v>
      </c>
      <c r="F347" s="28" t="s">
        <v>361</v>
      </c>
      <c r="G347" s="30" t="s">
        <v>571</v>
      </c>
      <c r="H347" t="str">
        <f>CONCATENATE(Prequal[[#This Row],[CITY]], ", ",Prequal[[#This Row],[STATE]])</f>
        <v>Jefferson City, MO</v>
      </c>
    </row>
    <row r="348" spans="2:8" x14ac:dyDescent="0.2">
      <c r="B348" s="27" t="s">
        <v>83</v>
      </c>
      <c r="C348" s="28" t="s">
        <v>969</v>
      </c>
      <c r="D348" s="29" t="s">
        <v>81</v>
      </c>
      <c r="E348" s="30" t="s">
        <v>381</v>
      </c>
      <c r="F348" s="28" t="s">
        <v>361</v>
      </c>
      <c r="G348" s="30" t="s">
        <v>571</v>
      </c>
      <c r="H348" t="str">
        <f>CONCATENATE(Prequal[[#This Row],[CITY]], ", ",Prequal[[#This Row],[STATE]])</f>
        <v>Jefferson City, MO</v>
      </c>
    </row>
    <row r="349" spans="2:8" x14ac:dyDescent="0.2">
      <c r="B349" s="27" t="s">
        <v>83</v>
      </c>
      <c r="C349" s="28" t="s">
        <v>969</v>
      </c>
      <c r="D349" s="29" t="s">
        <v>10</v>
      </c>
      <c r="E349" s="30" t="s">
        <v>381</v>
      </c>
      <c r="F349" s="28" t="s">
        <v>361</v>
      </c>
      <c r="G349" s="30" t="s">
        <v>571</v>
      </c>
      <c r="H349" t="str">
        <f>CONCATENATE(Prequal[[#This Row],[CITY]], ", ",Prequal[[#This Row],[STATE]])</f>
        <v>Jefferson City, MO</v>
      </c>
    </row>
    <row r="350" spans="2:8" x14ac:dyDescent="0.2">
      <c r="B350" s="31" t="s">
        <v>83</v>
      </c>
      <c r="C350" s="32" t="s">
        <v>969</v>
      </c>
      <c r="D350" s="33" t="s">
        <v>63</v>
      </c>
      <c r="E350" s="30" t="s">
        <v>381</v>
      </c>
      <c r="F350" s="32" t="s">
        <v>361</v>
      </c>
      <c r="G350" s="30" t="s">
        <v>571</v>
      </c>
      <c r="H350" t="str">
        <f>CONCATENATE(Prequal[[#This Row],[CITY]], ", ",Prequal[[#This Row],[STATE]])</f>
        <v>Jefferson City, MO</v>
      </c>
    </row>
    <row r="351" spans="2:8" x14ac:dyDescent="0.2">
      <c r="B351" s="31" t="s">
        <v>83</v>
      </c>
      <c r="C351" s="32" t="s">
        <v>969</v>
      </c>
      <c r="D351" s="33" t="s">
        <v>29</v>
      </c>
      <c r="E351" s="30" t="s">
        <v>381</v>
      </c>
      <c r="F351" s="32" t="s">
        <v>361</v>
      </c>
      <c r="G351" s="30" t="s">
        <v>571</v>
      </c>
      <c r="H351" t="str">
        <f>CONCATENATE(Prequal[[#This Row],[CITY]], ", ",Prequal[[#This Row],[STATE]])</f>
        <v>Jefferson City, MO</v>
      </c>
    </row>
    <row r="352" spans="2:8" x14ac:dyDescent="0.2">
      <c r="B352" s="27" t="s">
        <v>83</v>
      </c>
      <c r="C352" s="28" t="s">
        <v>969</v>
      </c>
      <c r="D352" s="29" t="s">
        <v>52</v>
      </c>
      <c r="E352" s="30" t="s">
        <v>381</v>
      </c>
      <c r="F352" s="28" t="s">
        <v>361</v>
      </c>
      <c r="G352" s="30" t="s">
        <v>571</v>
      </c>
      <c r="H352" t="str">
        <f>CONCATENATE(Prequal[[#This Row],[CITY]], ", ",Prequal[[#This Row],[STATE]])</f>
        <v>Jefferson City, MO</v>
      </c>
    </row>
    <row r="353" spans="2:8" x14ac:dyDescent="0.2">
      <c r="B353" s="27" t="s">
        <v>83</v>
      </c>
      <c r="C353" s="28" t="s">
        <v>969</v>
      </c>
      <c r="D353" s="29" t="s">
        <v>14</v>
      </c>
      <c r="E353" s="30" t="s">
        <v>381</v>
      </c>
      <c r="F353" s="28" t="s">
        <v>361</v>
      </c>
      <c r="G353" s="30" t="s">
        <v>571</v>
      </c>
      <c r="H353" t="str">
        <f>CONCATENATE(Prequal[[#This Row],[CITY]], ", ",Prequal[[#This Row],[STATE]])</f>
        <v>Jefferson City, MO</v>
      </c>
    </row>
    <row r="354" spans="2:8" x14ac:dyDescent="0.2">
      <c r="B354" s="27" t="s">
        <v>83</v>
      </c>
      <c r="C354" s="28" t="s">
        <v>969</v>
      </c>
      <c r="D354" s="29" t="s">
        <v>15</v>
      </c>
      <c r="E354" s="30" t="s">
        <v>381</v>
      </c>
      <c r="F354" s="28" t="s">
        <v>361</v>
      </c>
      <c r="G354" s="30" t="s">
        <v>571</v>
      </c>
      <c r="H354" t="str">
        <f>CONCATENATE(Prequal[[#This Row],[CITY]], ", ",Prequal[[#This Row],[STATE]])</f>
        <v>Jefferson City, MO</v>
      </c>
    </row>
    <row r="355" spans="2:8" x14ac:dyDescent="0.2">
      <c r="B355" s="27" t="s">
        <v>83</v>
      </c>
      <c r="C355" s="28" t="s">
        <v>969</v>
      </c>
      <c r="D355" s="29" t="s">
        <v>32</v>
      </c>
      <c r="E355" s="30" t="s">
        <v>381</v>
      </c>
      <c r="F355" s="28" t="s">
        <v>361</v>
      </c>
      <c r="G355" s="30" t="s">
        <v>571</v>
      </c>
      <c r="H355" t="str">
        <f>CONCATENATE(Prequal[[#This Row],[CITY]], ", ",Prequal[[#This Row],[STATE]])</f>
        <v>Jefferson City, MO</v>
      </c>
    </row>
    <row r="356" spans="2:8" x14ac:dyDescent="0.2">
      <c r="B356" s="27" t="s">
        <v>84</v>
      </c>
      <c r="C356" s="28" t="s">
        <v>970</v>
      </c>
      <c r="D356" s="29" t="s">
        <v>59</v>
      </c>
      <c r="E356" s="30" t="s">
        <v>947</v>
      </c>
      <c r="F356" s="28" t="s">
        <v>356</v>
      </c>
      <c r="G356" s="30" t="s">
        <v>1035</v>
      </c>
      <c r="H356" t="str">
        <f>CONCATENATE(Prequal[[#This Row],[CITY]], ", ",Prequal[[#This Row],[STATE]])</f>
        <v>Chicago, IL</v>
      </c>
    </row>
    <row r="357" spans="2:8" x14ac:dyDescent="0.2">
      <c r="B357" s="27" t="s">
        <v>85</v>
      </c>
      <c r="C357" s="28" t="s">
        <v>969</v>
      </c>
      <c r="D357" s="29" t="s">
        <v>4</v>
      </c>
      <c r="E357" s="30" t="s">
        <v>382</v>
      </c>
      <c r="F357" s="28" t="s">
        <v>356</v>
      </c>
      <c r="G357" s="30" t="s">
        <v>572</v>
      </c>
      <c r="H357" t="str">
        <f>CONCATENATE(Prequal[[#This Row],[CITY]], ", ",Prequal[[#This Row],[STATE]])</f>
        <v>Crystal Lake, IL</v>
      </c>
    </row>
    <row r="358" spans="2:8" x14ac:dyDescent="0.2">
      <c r="B358" s="27" t="s">
        <v>85</v>
      </c>
      <c r="C358" s="28" t="s">
        <v>969</v>
      </c>
      <c r="D358" s="29" t="s">
        <v>5</v>
      </c>
      <c r="E358" s="30" t="s">
        <v>382</v>
      </c>
      <c r="F358" s="28" t="s">
        <v>356</v>
      </c>
      <c r="G358" s="30" t="s">
        <v>572</v>
      </c>
      <c r="H358" t="str">
        <f>CONCATENATE(Prequal[[#This Row],[CITY]], ", ",Prequal[[#This Row],[STATE]])</f>
        <v>Crystal Lake, IL</v>
      </c>
    </row>
    <row r="359" spans="2:8" x14ac:dyDescent="0.2">
      <c r="B359" s="27" t="s">
        <v>85</v>
      </c>
      <c r="C359" s="28" t="s">
        <v>969</v>
      </c>
      <c r="D359" s="29" t="s">
        <v>6</v>
      </c>
      <c r="E359" s="30" t="s">
        <v>382</v>
      </c>
      <c r="F359" s="28" t="s">
        <v>356</v>
      </c>
      <c r="G359" s="30" t="s">
        <v>572</v>
      </c>
      <c r="H359" t="str">
        <f>CONCATENATE(Prequal[[#This Row],[CITY]], ", ",Prequal[[#This Row],[STATE]])</f>
        <v>Crystal Lake, IL</v>
      </c>
    </row>
    <row r="360" spans="2:8" x14ac:dyDescent="0.2">
      <c r="B360" s="27" t="s">
        <v>85</v>
      </c>
      <c r="C360" s="28" t="s">
        <v>969</v>
      </c>
      <c r="D360" s="29" t="s">
        <v>7</v>
      </c>
      <c r="E360" s="30" t="s">
        <v>382</v>
      </c>
      <c r="F360" s="28" t="s">
        <v>356</v>
      </c>
      <c r="G360" s="30" t="s">
        <v>572</v>
      </c>
      <c r="H360" t="str">
        <f>CONCATENATE(Prequal[[#This Row],[CITY]], ", ",Prequal[[#This Row],[STATE]])</f>
        <v>Crystal Lake, IL</v>
      </c>
    </row>
    <row r="361" spans="2:8" x14ac:dyDescent="0.2">
      <c r="B361" s="27" t="s">
        <v>85</v>
      </c>
      <c r="C361" s="28" t="s">
        <v>969</v>
      </c>
      <c r="D361" s="29" t="s">
        <v>8</v>
      </c>
      <c r="E361" s="30" t="s">
        <v>382</v>
      </c>
      <c r="F361" s="28" t="s">
        <v>356</v>
      </c>
      <c r="G361" s="30" t="s">
        <v>572</v>
      </c>
      <c r="H361" t="str">
        <f>CONCATENATE(Prequal[[#This Row],[CITY]], ", ",Prequal[[#This Row],[STATE]])</f>
        <v>Crystal Lake, IL</v>
      </c>
    </row>
    <row r="362" spans="2:8" x14ac:dyDescent="0.2">
      <c r="B362" s="27" t="s">
        <v>85</v>
      </c>
      <c r="C362" s="28" t="s">
        <v>969</v>
      </c>
      <c r="D362" s="29" t="s">
        <v>24</v>
      </c>
      <c r="E362" s="30" t="s">
        <v>382</v>
      </c>
      <c r="F362" s="28" t="s">
        <v>356</v>
      </c>
      <c r="G362" s="30" t="s">
        <v>572</v>
      </c>
      <c r="H362" t="str">
        <f>CONCATENATE(Prequal[[#This Row],[CITY]], ", ",Prequal[[#This Row],[STATE]])</f>
        <v>Crystal Lake, IL</v>
      </c>
    </row>
    <row r="363" spans="2:8" x14ac:dyDescent="0.2">
      <c r="B363" s="27" t="s">
        <v>85</v>
      </c>
      <c r="C363" s="28" t="s">
        <v>969</v>
      </c>
      <c r="D363" s="29" t="s">
        <v>25</v>
      </c>
      <c r="E363" s="30" t="s">
        <v>382</v>
      </c>
      <c r="F363" s="28" t="s">
        <v>356</v>
      </c>
      <c r="G363" s="30" t="s">
        <v>572</v>
      </c>
      <c r="H363" t="str">
        <f>CONCATENATE(Prequal[[#This Row],[CITY]], ", ",Prequal[[#This Row],[STATE]])</f>
        <v>Crystal Lake, IL</v>
      </c>
    </row>
    <row r="364" spans="2:8" x14ac:dyDescent="0.2">
      <c r="B364" s="27" t="s">
        <v>85</v>
      </c>
      <c r="C364" s="28" t="s">
        <v>969</v>
      </c>
      <c r="D364" s="29" t="s">
        <v>9</v>
      </c>
      <c r="E364" s="30" t="s">
        <v>382</v>
      </c>
      <c r="F364" s="28" t="s">
        <v>356</v>
      </c>
      <c r="G364" s="30" t="s">
        <v>572</v>
      </c>
      <c r="H364" t="str">
        <f>CONCATENATE(Prequal[[#This Row],[CITY]], ", ",Prequal[[#This Row],[STATE]])</f>
        <v>Crystal Lake, IL</v>
      </c>
    </row>
    <row r="365" spans="2:8" x14ac:dyDescent="0.2">
      <c r="B365" s="27" t="s">
        <v>85</v>
      </c>
      <c r="C365" s="28" t="s">
        <v>969</v>
      </c>
      <c r="D365" s="29" t="s">
        <v>49</v>
      </c>
      <c r="E365" s="30" t="s">
        <v>382</v>
      </c>
      <c r="F365" s="28" t="s">
        <v>356</v>
      </c>
      <c r="G365" s="30" t="s">
        <v>572</v>
      </c>
      <c r="H365" t="str">
        <f>CONCATENATE(Prequal[[#This Row],[CITY]], ", ",Prequal[[#This Row],[STATE]])</f>
        <v>Crystal Lake, IL</v>
      </c>
    </row>
    <row r="366" spans="2:8" x14ac:dyDescent="0.2">
      <c r="B366" s="27" t="s">
        <v>85</v>
      </c>
      <c r="C366" s="28" t="s">
        <v>969</v>
      </c>
      <c r="D366" s="29" t="s">
        <v>27</v>
      </c>
      <c r="E366" s="30" t="s">
        <v>382</v>
      </c>
      <c r="F366" s="28" t="s">
        <v>356</v>
      </c>
      <c r="G366" s="30" t="s">
        <v>572</v>
      </c>
      <c r="H366" t="str">
        <f>CONCATENATE(Prequal[[#This Row],[CITY]], ", ",Prequal[[#This Row],[STATE]])</f>
        <v>Crystal Lake, IL</v>
      </c>
    </row>
    <row r="367" spans="2:8" x14ac:dyDescent="0.2">
      <c r="B367" s="27" t="s">
        <v>85</v>
      </c>
      <c r="C367" s="28" t="s">
        <v>969</v>
      </c>
      <c r="D367" s="29" t="s">
        <v>10</v>
      </c>
      <c r="E367" s="30" t="s">
        <v>382</v>
      </c>
      <c r="F367" s="28" t="s">
        <v>356</v>
      </c>
      <c r="G367" s="30" t="s">
        <v>572</v>
      </c>
      <c r="H367" t="str">
        <f>CONCATENATE(Prequal[[#This Row],[CITY]], ", ",Prequal[[#This Row],[STATE]])</f>
        <v>Crystal Lake, IL</v>
      </c>
    </row>
    <row r="368" spans="2:8" x14ac:dyDescent="0.2">
      <c r="B368" s="27" t="s">
        <v>85</v>
      </c>
      <c r="C368" s="28" t="s">
        <v>969</v>
      </c>
      <c r="D368" s="29" t="s">
        <v>21</v>
      </c>
      <c r="E368" s="30" t="s">
        <v>382</v>
      </c>
      <c r="F368" s="28" t="s">
        <v>356</v>
      </c>
      <c r="G368" s="30" t="s">
        <v>572</v>
      </c>
      <c r="H368" t="str">
        <f>CONCATENATE(Prequal[[#This Row],[CITY]], ", ",Prequal[[#This Row],[STATE]])</f>
        <v>Crystal Lake, IL</v>
      </c>
    </row>
    <row r="369" spans="2:8" x14ac:dyDescent="0.2">
      <c r="B369" s="27" t="s">
        <v>85</v>
      </c>
      <c r="C369" s="28" t="s">
        <v>969</v>
      </c>
      <c r="D369" s="29" t="s">
        <v>11</v>
      </c>
      <c r="E369" s="30" t="s">
        <v>382</v>
      </c>
      <c r="F369" s="28" t="s">
        <v>356</v>
      </c>
      <c r="G369" s="30" t="s">
        <v>572</v>
      </c>
      <c r="H369" t="str">
        <f>CONCATENATE(Prequal[[#This Row],[CITY]], ", ",Prequal[[#This Row],[STATE]])</f>
        <v>Crystal Lake, IL</v>
      </c>
    </row>
    <row r="370" spans="2:8" x14ac:dyDescent="0.2">
      <c r="B370" s="27" t="s">
        <v>85</v>
      </c>
      <c r="C370" s="28" t="s">
        <v>969</v>
      </c>
      <c r="D370" s="29" t="s">
        <v>22</v>
      </c>
      <c r="E370" s="30" t="s">
        <v>382</v>
      </c>
      <c r="F370" s="28" t="s">
        <v>356</v>
      </c>
      <c r="G370" s="30" t="s">
        <v>572</v>
      </c>
      <c r="H370" t="str">
        <f>CONCATENATE(Prequal[[#This Row],[CITY]], ", ",Prequal[[#This Row],[STATE]])</f>
        <v>Crystal Lake, IL</v>
      </c>
    </row>
    <row r="371" spans="2:8" x14ac:dyDescent="0.2">
      <c r="B371" s="27" t="s">
        <v>85</v>
      </c>
      <c r="C371" s="28" t="s">
        <v>969</v>
      </c>
      <c r="D371" s="29" t="s">
        <v>39</v>
      </c>
      <c r="E371" s="30" t="s">
        <v>382</v>
      </c>
      <c r="F371" s="28" t="s">
        <v>356</v>
      </c>
      <c r="G371" s="30" t="s">
        <v>572</v>
      </c>
      <c r="H371" t="str">
        <f>CONCATENATE(Prequal[[#This Row],[CITY]], ", ",Prequal[[#This Row],[STATE]])</f>
        <v>Crystal Lake, IL</v>
      </c>
    </row>
    <row r="372" spans="2:8" x14ac:dyDescent="0.2">
      <c r="B372" s="27" t="s">
        <v>85</v>
      </c>
      <c r="C372" s="28" t="s">
        <v>969</v>
      </c>
      <c r="D372" s="29" t="s">
        <v>12</v>
      </c>
      <c r="E372" s="30" t="s">
        <v>382</v>
      </c>
      <c r="F372" s="28" t="s">
        <v>356</v>
      </c>
      <c r="G372" s="30" t="s">
        <v>572</v>
      </c>
      <c r="H372" t="str">
        <f>CONCATENATE(Prequal[[#This Row],[CITY]], ", ",Prequal[[#This Row],[STATE]])</f>
        <v>Crystal Lake, IL</v>
      </c>
    </row>
    <row r="373" spans="2:8" x14ac:dyDescent="0.2">
      <c r="B373" s="27" t="s">
        <v>85</v>
      </c>
      <c r="C373" s="28" t="s">
        <v>969</v>
      </c>
      <c r="D373" s="29" t="s">
        <v>28</v>
      </c>
      <c r="E373" s="30" t="s">
        <v>382</v>
      </c>
      <c r="F373" s="28" t="s">
        <v>356</v>
      </c>
      <c r="G373" s="30" t="s">
        <v>572</v>
      </c>
      <c r="H373" t="str">
        <f>CONCATENATE(Prequal[[#This Row],[CITY]], ", ",Prequal[[#This Row],[STATE]])</f>
        <v>Crystal Lake, IL</v>
      </c>
    </row>
    <row r="374" spans="2:8" x14ac:dyDescent="0.2">
      <c r="B374" s="27" t="s">
        <v>85</v>
      </c>
      <c r="C374" s="28" t="s">
        <v>969</v>
      </c>
      <c r="D374" s="29" t="s">
        <v>29</v>
      </c>
      <c r="E374" s="30" t="s">
        <v>382</v>
      </c>
      <c r="F374" s="28" t="s">
        <v>356</v>
      </c>
      <c r="G374" s="30" t="s">
        <v>572</v>
      </c>
      <c r="H374" t="str">
        <f>CONCATENATE(Prequal[[#This Row],[CITY]], ", ",Prequal[[#This Row],[STATE]])</f>
        <v>Crystal Lake, IL</v>
      </c>
    </row>
    <row r="375" spans="2:8" x14ac:dyDescent="0.2">
      <c r="B375" s="27" t="s">
        <v>85</v>
      </c>
      <c r="C375" s="28" t="s">
        <v>969</v>
      </c>
      <c r="D375" s="29" t="s">
        <v>37</v>
      </c>
      <c r="E375" s="30" t="s">
        <v>382</v>
      </c>
      <c r="F375" s="28" t="s">
        <v>356</v>
      </c>
      <c r="G375" s="30" t="s">
        <v>572</v>
      </c>
      <c r="H375" t="str">
        <f>CONCATENATE(Prequal[[#This Row],[CITY]], ", ",Prequal[[#This Row],[STATE]])</f>
        <v>Crystal Lake, IL</v>
      </c>
    </row>
    <row r="376" spans="2:8" x14ac:dyDescent="0.2">
      <c r="B376" s="27" t="s">
        <v>85</v>
      </c>
      <c r="C376" s="28" t="s">
        <v>969</v>
      </c>
      <c r="D376" s="29" t="s">
        <v>13</v>
      </c>
      <c r="E376" s="30" t="s">
        <v>382</v>
      </c>
      <c r="F376" s="28" t="s">
        <v>356</v>
      </c>
      <c r="G376" s="30" t="s">
        <v>572</v>
      </c>
      <c r="H376" t="str">
        <f>CONCATENATE(Prequal[[#This Row],[CITY]], ", ",Prequal[[#This Row],[STATE]])</f>
        <v>Crystal Lake, IL</v>
      </c>
    </row>
    <row r="377" spans="2:8" x14ac:dyDescent="0.2">
      <c r="B377" s="27" t="s">
        <v>85</v>
      </c>
      <c r="C377" s="28" t="s">
        <v>969</v>
      </c>
      <c r="D377" s="29" t="s">
        <v>14</v>
      </c>
      <c r="E377" s="30" t="s">
        <v>382</v>
      </c>
      <c r="F377" s="28" t="s">
        <v>356</v>
      </c>
      <c r="G377" s="30" t="s">
        <v>572</v>
      </c>
      <c r="H377" t="str">
        <f>CONCATENATE(Prequal[[#This Row],[CITY]], ", ",Prequal[[#This Row],[STATE]])</f>
        <v>Crystal Lake, IL</v>
      </c>
    </row>
    <row r="378" spans="2:8" x14ac:dyDescent="0.2">
      <c r="B378" s="27" t="s">
        <v>85</v>
      </c>
      <c r="C378" s="28" t="s">
        <v>969</v>
      </c>
      <c r="D378" s="29" t="s">
        <v>15</v>
      </c>
      <c r="E378" s="30" t="s">
        <v>382</v>
      </c>
      <c r="F378" s="28" t="s">
        <v>356</v>
      </c>
      <c r="G378" s="30" t="s">
        <v>572</v>
      </c>
      <c r="H378" t="str">
        <f>CONCATENATE(Prequal[[#This Row],[CITY]], ", ",Prequal[[#This Row],[STATE]])</f>
        <v>Crystal Lake, IL</v>
      </c>
    </row>
    <row r="379" spans="2:8" x14ac:dyDescent="0.2">
      <c r="B379" s="27" t="s">
        <v>85</v>
      </c>
      <c r="C379" s="28" t="s">
        <v>969</v>
      </c>
      <c r="D379" s="29" t="s">
        <v>31</v>
      </c>
      <c r="E379" s="30" t="s">
        <v>382</v>
      </c>
      <c r="F379" s="28" t="s">
        <v>356</v>
      </c>
      <c r="G379" s="30" t="s">
        <v>572</v>
      </c>
      <c r="H379" t="str">
        <f>CONCATENATE(Prequal[[#This Row],[CITY]], ", ",Prequal[[#This Row],[STATE]])</f>
        <v>Crystal Lake, IL</v>
      </c>
    </row>
    <row r="380" spans="2:8" x14ac:dyDescent="0.2">
      <c r="B380" s="27" t="s">
        <v>85</v>
      </c>
      <c r="C380" s="28" t="s">
        <v>969</v>
      </c>
      <c r="D380" s="29" t="s">
        <v>32</v>
      </c>
      <c r="E380" s="30" t="s">
        <v>382</v>
      </c>
      <c r="F380" s="28" t="s">
        <v>356</v>
      </c>
      <c r="G380" s="30" t="s">
        <v>572</v>
      </c>
      <c r="H380" t="str">
        <f>CONCATENATE(Prequal[[#This Row],[CITY]], ", ",Prequal[[#This Row],[STATE]])</f>
        <v>Crystal Lake, IL</v>
      </c>
    </row>
    <row r="381" spans="2:8" x14ac:dyDescent="0.2">
      <c r="B381" s="27" t="s">
        <v>514</v>
      </c>
      <c r="C381" s="28" t="s">
        <v>969</v>
      </c>
      <c r="D381" s="29" t="s">
        <v>59</v>
      </c>
      <c r="E381" s="30" t="s">
        <v>406</v>
      </c>
      <c r="F381" s="28" t="s">
        <v>356</v>
      </c>
      <c r="G381" s="30" t="s">
        <v>573</v>
      </c>
      <c r="H381" t="str">
        <f>CONCATENATE(Prequal[[#This Row],[CITY]], ", ",Prequal[[#This Row],[STATE]])</f>
        <v>Marion, IL</v>
      </c>
    </row>
    <row r="382" spans="2:8" x14ac:dyDescent="0.2">
      <c r="B382" s="27" t="s">
        <v>536</v>
      </c>
      <c r="C382" s="28" t="s">
        <v>970</v>
      </c>
      <c r="D382" s="29" t="s">
        <v>39</v>
      </c>
      <c r="E382" s="30" t="s">
        <v>947</v>
      </c>
      <c r="F382" s="28" t="s">
        <v>356</v>
      </c>
      <c r="G382" s="30" t="s">
        <v>574</v>
      </c>
      <c r="H382" t="str">
        <f>CONCATENATE(Prequal[[#This Row],[CITY]], ", ",Prequal[[#This Row],[STATE]])</f>
        <v>Chicago, IL</v>
      </c>
    </row>
    <row r="383" spans="2:8" x14ac:dyDescent="0.2">
      <c r="B383" s="27" t="s">
        <v>1112</v>
      </c>
      <c r="C383" s="28" t="s">
        <v>970</v>
      </c>
      <c r="D383" s="29" t="s">
        <v>107</v>
      </c>
      <c r="E383" s="30" t="s">
        <v>1113</v>
      </c>
      <c r="F383" s="28" t="s">
        <v>378</v>
      </c>
      <c r="G383" s="30" t="s">
        <v>1114</v>
      </c>
      <c r="H383" t="str">
        <f>CONCATENATE(Prequal[[#This Row],[CITY]], ", ",Prequal[[#This Row],[STATE]])</f>
        <v>Beloit, WI</v>
      </c>
    </row>
    <row r="384" spans="2:8" x14ac:dyDescent="0.2">
      <c r="B384" s="27" t="s">
        <v>1112</v>
      </c>
      <c r="C384" s="28" t="s">
        <v>970</v>
      </c>
      <c r="D384" s="29" t="s">
        <v>108</v>
      </c>
      <c r="E384" s="30" t="s">
        <v>1113</v>
      </c>
      <c r="F384" s="28" t="s">
        <v>378</v>
      </c>
      <c r="G384" s="30" t="s">
        <v>1114</v>
      </c>
      <c r="H384" t="str">
        <f>CONCATENATE(Prequal[[#This Row],[CITY]], ", ",Prequal[[#This Row],[STATE]])</f>
        <v>Beloit, WI</v>
      </c>
    </row>
    <row r="385" spans="2:8" x14ac:dyDescent="0.2">
      <c r="B385" s="27" t="s">
        <v>86</v>
      </c>
      <c r="C385" s="28" t="s">
        <v>969</v>
      </c>
      <c r="D385" s="29" t="s">
        <v>35</v>
      </c>
      <c r="E385" s="30" t="s">
        <v>947</v>
      </c>
      <c r="F385" s="28" t="s">
        <v>356</v>
      </c>
      <c r="G385" s="30" t="s">
        <v>575</v>
      </c>
      <c r="H385" t="str">
        <f>CONCATENATE(Prequal[[#This Row],[CITY]], ", ",Prequal[[#This Row],[STATE]])</f>
        <v>Chicago, IL</v>
      </c>
    </row>
    <row r="386" spans="2:8" x14ac:dyDescent="0.2">
      <c r="B386" s="27" t="s">
        <v>86</v>
      </c>
      <c r="C386" s="28" t="s">
        <v>969</v>
      </c>
      <c r="D386" s="29" t="s">
        <v>36</v>
      </c>
      <c r="E386" s="30" t="s">
        <v>947</v>
      </c>
      <c r="F386" s="28" t="s">
        <v>356</v>
      </c>
      <c r="G386" s="30" t="s">
        <v>575</v>
      </c>
      <c r="H386" t="str">
        <f>CONCATENATE(Prequal[[#This Row],[CITY]], ", ",Prequal[[#This Row],[STATE]])</f>
        <v>Chicago, IL</v>
      </c>
    </row>
    <row r="387" spans="2:8" x14ac:dyDescent="0.2">
      <c r="B387" s="27" t="s">
        <v>86</v>
      </c>
      <c r="C387" s="28" t="s">
        <v>969</v>
      </c>
      <c r="D387" s="29" t="s">
        <v>43</v>
      </c>
      <c r="E387" s="30" t="s">
        <v>947</v>
      </c>
      <c r="F387" s="28" t="s">
        <v>356</v>
      </c>
      <c r="G387" s="30" t="s">
        <v>575</v>
      </c>
      <c r="H387" t="str">
        <f>CONCATENATE(Prequal[[#This Row],[CITY]], ", ",Prequal[[#This Row],[STATE]])</f>
        <v>Chicago, IL</v>
      </c>
    </row>
    <row r="388" spans="2:8" x14ac:dyDescent="0.2">
      <c r="B388" s="27" t="s">
        <v>86</v>
      </c>
      <c r="C388" s="28" t="s">
        <v>969</v>
      </c>
      <c r="D388" s="29" t="s">
        <v>44</v>
      </c>
      <c r="E388" s="30" t="s">
        <v>947</v>
      </c>
      <c r="F388" s="28" t="s">
        <v>356</v>
      </c>
      <c r="G388" s="30" t="s">
        <v>575</v>
      </c>
      <c r="H388" t="str">
        <f>CONCATENATE(Prequal[[#This Row],[CITY]], ", ",Prequal[[#This Row],[STATE]])</f>
        <v>Chicago, IL</v>
      </c>
    </row>
    <row r="389" spans="2:8" x14ac:dyDescent="0.2">
      <c r="B389" s="27" t="s">
        <v>86</v>
      </c>
      <c r="C389" s="28" t="s">
        <v>969</v>
      </c>
      <c r="D389" s="29" t="s">
        <v>45</v>
      </c>
      <c r="E389" s="30" t="s">
        <v>947</v>
      </c>
      <c r="F389" s="28" t="s">
        <v>356</v>
      </c>
      <c r="G389" s="30" t="s">
        <v>575</v>
      </c>
      <c r="H389" t="str">
        <f>CONCATENATE(Prequal[[#This Row],[CITY]], ", ",Prequal[[#This Row],[STATE]])</f>
        <v>Chicago, IL</v>
      </c>
    </row>
    <row r="390" spans="2:8" x14ac:dyDescent="0.2">
      <c r="B390" s="27" t="s">
        <v>86</v>
      </c>
      <c r="C390" s="28" t="s">
        <v>969</v>
      </c>
      <c r="D390" s="29" t="s">
        <v>46</v>
      </c>
      <c r="E390" s="30" t="s">
        <v>947</v>
      </c>
      <c r="F390" s="28" t="s">
        <v>356</v>
      </c>
      <c r="G390" s="30" t="s">
        <v>575</v>
      </c>
      <c r="H390" t="str">
        <f>CONCATENATE(Prequal[[#This Row],[CITY]], ", ",Prequal[[#This Row],[STATE]])</f>
        <v>Chicago, IL</v>
      </c>
    </row>
    <row r="391" spans="2:8" x14ac:dyDescent="0.2">
      <c r="B391" s="27" t="s">
        <v>86</v>
      </c>
      <c r="C391" s="28" t="s">
        <v>969</v>
      </c>
      <c r="D391" s="29" t="s">
        <v>47</v>
      </c>
      <c r="E391" s="30" t="s">
        <v>947</v>
      </c>
      <c r="F391" s="28" t="s">
        <v>356</v>
      </c>
      <c r="G391" s="30" t="s">
        <v>575</v>
      </c>
      <c r="H391" t="str">
        <f>CONCATENATE(Prequal[[#This Row],[CITY]], ", ",Prequal[[#This Row],[STATE]])</f>
        <v>Chicago, IL</v>
      </c>
    </row>
    <row r="392" spans="2:8" x14ac:dyDescent="0.2">
      <c r="B392" s="27" t="s">
        <v>86</v>
      </c>
      <c r="C392" s="28" t="s">
        <v>969</v>
      </c>
      <c r="D392" s="29" t="s">
        <v>4</v>
      </c>
      <c r="E392" s="30" t="s">
        <v>947</v>
      </c>
      <c r="F392" s="28" t="s">
        <v>356</v>
      </c>
      <c r="G392" s="30" t="s">
        <v>575</v>
      </c>
      <c r="H392" t="str">
        <f>CONCATENATE(Prequal[[#This Row],[CITY]], ", ",Prequal[[#This Row],[STATE]])</f>
        <v>Chicago, IL</v>
      </c>
    </row>
    <row r="393" spans="2:8" x14ac:dyDescent="0.2">
      <c r="B393" s="27" t="s">
        <v>86</v>
      </c>
      <c r="C393" s="28" t="s">
        <v>969</v>
      </c>
      <c r="D393" s="29" t="s">
        <v>5</v>
      </c>
      <c r="E393" s="30" t="s">
        <v>947</v>
      </c>
      <c r="F393" s="28" t="s">
        <v>356</v>
      </c>
      <c r="G393" s="30" t="s">
        <v>575</v>
      </c>
      <c r="H393" t="str">
        <f>CONCATENATE(Prequal[[#This Row],[CITY]], ", ",Prequal[[#This Row],[STATE]])</f>
        <v>Chicago, IL</v>
      </c>
    </row>
    <row r="394" spans="2:8" x14ac:dyDescent="0.2">
      <c r="B394" s="27" t="s">
        <v>86</v>
      </c>
      <c r="C394" s="28" t="s">
        <v>969</v>
      </c>
      <c r="D394" s="29" t="s">
        <v>6</v>
      </c>
      <c r="E394" s="30" t="s">
        <v>947</v>
      </c>
      <c r="F394" s="28" t="s">
        <v>356</v>
      </c>
      <c r="G394" s="30" t="s">
        <v>575</v>
      </c>
      <c r="H394" t="str">
        <f>CONCATENATE(Prequal[[#This Row],[CITY]], ", ",Prequal[[#This Row],[STATE]])</f>
        <v>Chicago, IL</v>
      </c>
    </row>
    <row r="395" spans="2:8" x14ac:dyDescent="0.2">
      <c r="B395" s="27" t="s">
        <v>86</v>
      </c>
      <c r="C395" s="28" t="s">
        <v>969</v>
      </c>
      <c r="D395" s="29" t="s">
        <v>7</v>
      </c>
      <c r="E395" s="30" t="s">
        <v>947</v>
      </c>
      <c r="F395" s="28" t="s">
        <v>356</v>
      </c>
      <c r="G395" s="30" t="s">
        <v>575</v>
      </c>
      <c r="H395" t="str">
        <f>CONCATENATE(Prequal[[#This Row],[CITY]], ", ",Prequal[[#This Row],[STATE]])</f>
        <v>Chicago, IL</v>
      </c>
    </row>
    <row r="396" spans="2:8" x14ac:dyDescent="0.2">
      <c r="B396" s="27" t="s">
        <v>86</v>
      </c>
      <c r="C396" s="28" t="s">
        <v>969</v>
      </c>
      <c r="D396" s="29" t="s">
        <v>8</v>
      </c>
      <c r="E396" s="30" t="s">
        <v>947</v>
      </c>
      <c r="F396" s="28" t="s">
        <v>356</v>
      </c>
      <c r="G396" s="30" t="s">
        <v>575</v>
      </c>
      <c r="H396" t="str">
        <f>CONCATENATE(Prequal[[#This Row],[CITY]], ", ",Prequal[[#This Row],[STATE]])</f>
        <v>Chicago, IL</v>
      </c>
    </row>
    <row r="397" spans="2:8" x14ac:dyDescent="0.2">
      <c r="B397" s="27" t="s">
        <v>86</v>
      </c>
      <c r="C397" s="28" t="s">
        <v>969</v>
      </c>
      <c r="D397" s="29" t="s">
        <v>24</v>
      </c>
      <c r="E397" s="30" t="s">
        <v>947</v>
      </c>
      <c r="F397" s="28" t="s">
        <v>356</v>
      </c>
      <c r="G397" s="30" t="s">
        <v>575</v>
      </c>
      <c r="H397" t="str">
        <f>CONCATENATE(Prequal[[#This Row],[CITY]], ", ",Prequal[[#This Row],[STATE]])</f>
        <v>Chicago, IL</v>
      </c>
    </row>
    <row r="398" spans="2:8" x14ac:dyDescent="0.2">
      <c r="B398" s="27" t="s">
        <v>86</v>
      </c>
      <c r="C398" s="28" t="s">
        <v>969</v>
      </c>
      <c r="D398" s="29" t="s">
        <v>25</v>
      </c>
      <c r="E398" s="30" t="s">
        <v>947</v>
      </c>
      <c r="F398" s="28" t="s">
        <v>356</v>
      </c>
      <c r="G398" s="30" t="s">
        <v>575</v>
      </c>
      <c r="H398" t="str">
        <f>CONCATENATE(Prequal[[#This Row],[CITY]], ", ",Prequal[[#This Row],[STATE]])</f>
        <v>Chicago, IL</v>
      </c>
    </row>
    <row r="399" spans="2:8" x14ac:dyDescent="0.2">
      <c r="B399" s="27" t="s">
        <v>86</v>
      </c>
      <c r="C399" s="28" t="s">
        <v>969</v>
      </c>
      <c r="D399" s="29" t="s">
        <v>9</v>
      </c>
      <c r="E399" s="30" t="s">
        <v>947</v>
      </c>
      <c r="F399" s="28" t="s">
        <v>356</v>
      </c>
      <c r="G399" s="30" t="s">
        <v>575</v>
      </c>
      <c r="H399" t="str">
        <f>CONCATENATE(Prequal[[#This Row],[CITY]], ", ",Prequal[[#This Row],[STATE]])</f>
        <v>Chicago, IL</v>
      </c>
    </row>
    <row r="400" spans="2:8" x14ac:dyDescent="0.2">
      <c r="B400" s="27" t="s">
        <v>86</v>
      </c>
      <c r="C400" s="28" t="s">
        <v>969</v>
      </c>
      <c r="D400" s="29" t="s">
        <v>26</v>
      </c>
      <c r="E400" s="30" t="s">
        <v>947</v>
      </c>
      <c r="F400" s="28" t="s">
        <v>356</v>
      </c>
      <c r="G400" s="30" t="s">
        <v>575</v>
      </c>
      <c r="H400" t="str">
        <f>CONCATENATE(Prequal[[#This Row],[CITY]], ", ",Prequal[[#This Row],[STATE]])</f>
        <v>Chicago, IL</v>
      </c>
    </row>
    <row r="401" spans="2:8" x14ac:dyDescent="0.2">
      <c r="B401" s="27" t="s">
        <v>86</v>
      </c>
      <c r="C401" s="28" t="s">
        <v>969</v>
      </c>
      <c r="D401" s="29" t="s">
        <v>20</v>
      </c>
      <c r="E401" s="30" t="s">
        <v>947</v>
      </c>
      <c r="F401" s="28" t="s">
        <v>356</v>
      </c>
      <c r="G401" s="30" t="s">
        <v>575</v>
      </c>
      <c r="H401" t="str">
        <f>CONCATENATE(Prequal[[#This Row],[CITY]], ", ",Prequal[[#This Row],[STATE]])</f>
        <v>Chicago, IL</v>
      </c>
    </row>
    <row r="402" spans="2:8" x14ac:dyDescent="0.2">
      <c r="B402" s="27" t="s">
        <v>86</v>
      </c>
      <c r="C402" s="28" t="s">
        <v>969</v>
      </c>
      <c r="D402" s="29" t="s">
        <v>27</v>
      </c>
      <c r="E402" s="30" t="s">
        <v>947</v>
      </c>
      <c r="F402" s="28" t="s">
        <v>356</v>
      </c>
      <c r="G402" s="30" t="s">
        <v>575</v>
      </c>
      <c r="H402" t="str">
        <f>CONCATENATE(Prequal[[#This Row],[CITY]], ", ",Prequal[[#This Row],[STATE]])</f>
        <v>Chicago, IL</v>
      </c>
    </row>
    <row r="403" spans="2:8" x14ac:dyDescent="0.2">
      <c r="B403" s="27" t="s">
        <v>86</v>
      </c>
      <c r="C403" s="28" t="s">
        <v>969</v>
      </c>
      <c r="D403" s="29" t="s">
        <v>10</v>
      </c>
      <c r="E403" s="30" t="s">
        <v>947</v>
      </c>
      <c r="F403" s="28" t="s">
        <v>356</v>
      </c>
      <c r="G403" s="30" t="s">
        <v>575</v>
      </c>
      <c r="H403" t="str">
        <f>CONCATENATE(Prequal[[#This Row],[CITY]], ", ",Prequal[[#This Row],[STATE]])</f>
        <v>Chicago, IL</v>
      </c>
    </row>
    <row r="404" spans="2:8" x14ac:dyDescent="0.2">
      <c r="B404" s="27" t="s">
        <v>86</v>
      </c>
      <c r="C404" s="28" t="s">
        <v>969</v>
      </c>
      <c r="D404" s="29" t="s">
        <v>21</v>
      </c>
      <c r="E404" s="30" t="s">
        <v>947</v>
      </c>
      <c r="F404" s="28" t="s">
        <v>356</v>
      </c>
      <c r="G404" s="30" t="s">
        <v>575</v>
      </c>
      <c r="H404" t="str">
        <f>CONCATENATE(Prequal[[#This Row],[CITY]], ", ",Prequal[[#This Row],[STATE]])</f>
        <v>Chicago, IL</v>
      </c>
    </row>
    <row r="405" spans="2:8" x14ac:dyDescent="0.2">
      <c r="B405" s="27" t="s">
        <v>86</v>
      </c>
      <c r="C405" s="28" t="s">
        <v>969</v>
      </c>
      <c r="D405" s="29" t="s">
        <v>11</v>
      </c>
      <c r="E405" s="30" t="s">
        <v>947</v>
      </c>
      <c r="F405" s="28" t="s">
        <v>356</v>
      </c>
      <c r="G405" s="30" t="s">
        <v>575</v>
      </c>
      <c r="H405" t="str">
        <f>CONCATENATE(Prequal[[#This Row],[CITY]], ", ",Prequal[[#This Row],[STATE]])</f>
        <v>Chicago, IL</v>
      </c>
    </row>
    <row r="406" spans="2:8" x14ac:dyDescent="0.2">
      <c r="B406" s="27" t="s">
        <v>86</v>
      </c>
      <c r="C406" s="28" t="s">
        <v>969</v>
      </c>
      <c r="D406" s="29" t="s">
        <v>51</v>
      </c>
      <c r="E406" s="30" t="s">
        <v>947</v>
      </c>
      <c r="F406" s="28" t="s">
        <v>356</v>
      </c>
      <c r="G406" s="30" t="s">
        <v>575</v>
      </c>
      <c r="H406" t="str">
        <f>CONCATENATE(Prequal[[#This Row],[CITY]], ", ",Prequal[[#This Row],[STATE]])</f>
        <v>Chicago, IL</v>
      </c>
    </row>
    <row r="407" spans="2:8" x14ac:dyDescent="0.2">
      <c r="B407" s="27" t="s">
        <v>86</v>
      </c>
      <c r="C407" s="28" t="s">
        <v>969</v>
      </c>
      <c r="D407" s="29" t="s">
        <v>39</v>
      </c>
      <c r="E407" s="30" t="s">
        <v>947</v>
      </c>
      <c r="F407" s="28" t="s">
        <v>356</v>
      </c>
      <c r="G407" s="30" t="s">
        <v>575</v>
      </c>
      <c r="H407" t="str">
        <f>CONCATENATE(Prequal[[#This Row],[CITY]], ", ",Prequal[[#This Row],[STATE]])</f>
        <v>Chicago, IL</v>
      </c>
    </row>
    <row r="408" spans="2:8" x14ac:dyDescent="0.2">
      <c r="B408" s="27" t="s">
        <v>86</v>
      </c>
      <c r="C408" s="28" t="s">
        <v>969</v>
      </c>
      <c r="D408" s="29" t="s">
        <v>12</v>
      </c>
      <c r="E408" s="30" t="s">
        <v>947</v>
      </c>
      <c r="F408" s="28" t="s">
        <v>356</v>
      </c>
      <c r="G408" s="30" t="s">
        <v>575</v>
      </c>
      <c r="H408" t="str">
        <f>CONCATENATE(Prequal[[#This Row],[CITY]], ", ",Prequal[[#This Row],[STATE]])</f>
        <v>Chicago, IL</v>
      </c>
    </row>
    <row r="409" spans="2:8" x14ac:dyDescent="0.2">
      <c r="B409" s="27" t="s">
        <v>86</v>
      </c>
      <c r="C409" s="28" t="s">
        <v>969</v>
      </c>
      <c r="D409" s="29" t="s">
        <v>29</v>
      </c>
      <c r="E409" s="30" t="s">
        <v>947</v>
      </c>
      <c r="F409" s="28" t="s">
        <v>356</v>
      </c>
      <c r="G409" s="30" t="s">
        <v>575</v>
      </c>
      <c r="H409" t="str">
        <f>CONCATENATE(Prequal[[#This Row],[CITY]], ", ",Prequal[[#This Row],[STATE]])</f>
        <v>Chicago, IL</v>
      </c>
    </row>
    <row r="410" spans="2:8" x14ac:dyDescent="0.2">
      <c r="B410" s="27" t="s">
        <v>86</v>
      </c>
      <c r="C410" s="28" t="s">
        <v>969</v>
      </c>
      <c r="D410" s="29" t="s">
        <v>37</v>
      </c>
      <c r="E410" s="30" t="s">
        <v>947</v>
      </c>
      <c r="F410" s="28" t="s">
        <v>356</v>
      </c>
      <c r="G410" s="30" t="s">
        <v>575</v>
      </c>
      <c r="H410" t="str">
        <f>CONCATENATE(Prequal[[#This Row],[CITY]], ", ",Prequal[[#This Row],[STATE]])</f>
        <v>Chicago, IL</v>
      </c>
    </row>
    <row r="411" spans="2:8" x14ac:dyDescent="0.2">
      <c r="B411" s="27" t="s">
        <v>86</v>
      </c>
      <c r="C411" s="28" t="s">
        <v>969</v>
      </c>
      <c r="D411" s="29" t="s">
        <v>13</v>
      </c>
      <c r="E411" s="30" t="s">
        <v>947</v>
      </c>
      <c r="F411" s="28" t="s">
        <v>356</v>
      </c>
      <c r="G411" s="30" t="s">
        <v>575</v>
      </c>
      <c r="H411" t="str">
        <f>CONCATENATE(Prequal[[#This Row],[CITY]], ", ",Prequal[[#This Row],[STATE]])</f>
        <v>Chicago, IL</v>
      </c>
    </row>
    <row r="412" spans="2:8" x14ac:dyDescent="0.2">
      <c r="B412" s="27" t="s">
        <v>86</v>
      </c>
      <c r="C412" s="28" t="s">
        <v>969</v>
      </c>
      <c r="D412" s="29" t="s">
        <v>52</v>
      </c>
      <c r="E412" s="30" t="s">
        <v>947</v>
      </c>
      <c r="F412" s="28" t="s">
        <v>356</v>
      </c>
      <c r="G412" s="30" t="s">
        <v>575</v>
      </c>
      <c r="H412" t="str">
        <f>CONCATENATE(Prequal[[#This Row],[CITY]], ", ",Prequal[[#This Row],[STATE]])</f>
        <v>Chicago, IL</v>
      </c>
    </row>
    <row r="413" spans="2:8" x14ac:dyDescent="0.2">
      <c r="B413" s="27" t="s">
        <v>86</v>
      </c>
      <c r="C413" s="28" t="s">
        <v>969</v>
      </c>
      <c r="D413" s="29" t="s">
        <v>14</v>
      </c>
      <c r="E413" s="30" t="s">
        <v>947</v>
      </c>
      <c r="F413" s="28" t="s">
        <v>356</v>
      </c>
      <c r="G413" s="30" t="s">
        <v>575</v>
      </c>
      <c r="H413" t="str">
        <f>CONCATENATE(Prequal[[#This Row],[CITY]], ", ",Prequal[[#This Row],[STATE]])</f>
        <v>Chicago, IL</v>
      </c>
    </row>
    <row r="414" spans="2:8" x14ac:dyDescent="0.2">
      <c r="B414" s="27" t="s">
        <v>86</v>
      </c>
      <c r="C414" s="28" t="s">
        <v>969</v>
      </c>
      <c r="D414" s="29" t="s">
        <v>15</v>
      </c>
      <c r="E414" s="30" t="s">
        <v>947</v>
      </c>
      <c r="F414" s="28" t="s">
        <v>356</v>
      </c>
      <c r="G414" s="30" t="s">
        <v>575</v>
      </c>
      <c r="H414" t="str">
        <f>CONCATENATE(Prequal[[#This Row],[CITY]], ", ",Prequal[[#This Row],[STATE]])</f>
        <v>Chicago, IL</v>
      </c>
    </row>
    <row r="415" spans="2:8" x14ac:dyDescent="0.2">
      <c r="B415" s="27" t="s">
        <v>86</v>
      </c>
      <c r="C415" s="28" t="s">
        <v>969</v>
      </c>
      <c r="D415" s="29" t="s">
        <v>30</v>
      </c>
      <c r="E415" s="30" t="s">
        <v>947</v>
      </c>
      <c r="F415" s="28" t="s">
        <v>356</v>
      </c>
      <c r="G415" s="30" t="s">
        <v>575</v>
      </c>
      <c r="H415" t="str">
        <f>CONCATENATE(Prequal[[#This Row],[CITY]], ", ",Prequal[[#This Row],[STATE]])</f>
        <v>Chicago, IL</v>
      </c>
    </row>
    <row r="416" spans="2:8" x14ac:dyDescent="0.2">
      <c r="B416" s="27" t="s">
        <v>86</v>
      </c>
      <c r="C416" s="28" t="s">
        <v>969</v>
      </c>
      <c r="D416" s="29" t="s">
        <v>53</v>
      </c>
      <c r="E416" s="30" t="s">
        <v>947</v>
      </c>
      <c r="F416" s="28" t="s">
        <v>356</v>
      </c>
      <c r="G416" s="30" t="s">
        <v>575</v>
      </c>
      <c r="H416" t="str">
        <f>CONCATENATE(Prequal[[#This Row],[CITY]], ", ",Prequal[[#This Row],[STATE]])</f>
        <v>Chicago, IL</v>
      </c>
    </row>
    <row r="417" spans="2:8" x14ac:dyDescent="0.2">
      <c r="B417" s="27" t="s">
        <v>86</v>
      </c>
      <c r="C417" s="28" t="s">
        <v>969</v>
      </c>
      <c r="D417" s="29" t="s">
        <v>31</v>
      </c>
      <c r="E417" s="30" t="s">
        <v>947</v>
      </c>
      <c r="F417" s="28" t="s">
        <v>356</v>
      </c>
      <c r="G417" s="30" t="s">
        <v>575</v>
      </c>
      <c r="H417" t="str">
        <f>CONCATENATE(Prequal[[#This Row],[CITY]], ", ",Prequal[[#This Row],[STATE]])</f>
        <v>Chicago, IL</v>
      </c>
    </row>
    <row r="418" spans="2:8" x14ac:dyDescent="0.2">
      <c r="B418" s="27" t="s">
        <v>86</v>
      </c>
      <c r="C418" s="28" t="s">
        <v>969</v>
      </c>
      <c r="D418" s="29" t="s">
        <v>32</v>
      </c>
      <c r="E418" s="30" t="s">
        <v>947</v>
      </c>
      <c r="F418" s="28" t="s">
        <v>356</v>
      </c>
      <c r="G418" s="30" t="s">
        <v>575</v>
      </c>
      <c r="H418" t="str">
        <f>CONCATENATE(Prequal[[#This Row],[CITY]], ", ",Prequal[[#This Row],[STATE]])</f>
        <v>Chicago, IL</v>
      </c>
    </row>
    <row r="419" spans="2:8" x14ac:dyDescent="0.2">
      <c r="B419" s="27" t="s">
        <v>86</v>
      </c>
      <c r="C419" s="28" t="s">
        <v>969</v>
      </c>
      <c r="D419" s="29" t="s">
        <v>54</v>
      </c>
      <c r="E419" s="30" t="s">
        <v>947</v>
      </c>
      <c r="F419" s="28" t="s">
        <v>356</v>
      </c>
      <c r="G419" s="30" t="s">
        <v>575</v>
      </c>
      <c r="H419" t="str">
        <f>CONCATENATE(Prequal[[#This Row],[CITY]], ", ",Prequal[[#This Row],[STATE]])</f>
        <v>Chicago, IL</v>
      </c>
    </row>
    <row r="420" spans="2:8" x14ac:dyDescent="0.2">
      <c r="B420" s="27" t="s">
        <v>86</v>
      </c>
      <c r="C420" s="28" t="s">
        <v>969</v>
      </c>
      <c r="D420" s="29" t="s">
        <v>38</v>
      </c>
      <c r="E420" s="30" t="s">
        <v>947</v>
      </c>
      <c r="F420" s="28" t="s">
        <v>356</v>
      </c>
      <c r="G420" s="30" t="s">
        <v>575</v>
      </c>
      <c r="H420" t="str">
        <f>CONCATENATE(Prequal[[#This Row],[CITY]], ", ",Prequal[[#This Row],[STATE]])</f>
        <v>Chicago, IL</v>
      </c>
    </row>
    <row r="421" spans="2:8" x14ac:dyDescent="0.2">
      <c r="B421" s="27" t="s">
        <v>86</v>
      </c>
      <c r="C421" s="28" t="s">
        <v>969</v>
      </c>
      <c r="D421" s="29" t="s">
        <v>55</v>
      </c>
      <c r="E421" s="30" t="s">
        <v>947</v>
      </c>
      <c r="F421" s="28" t="s">
        <v>356</v>
      </c>
      <c r="G421" s="30" t="s">
        <v>575</v>
      </c>
      <c r="H421" t="str">
        <f>CONCATENATE(Prequal[[#This Row],[CITY]], ", ",Prequal[[#This Row],[STATE]])</f>
        <v>Chicago, IL</v>
      </c>
    </row>
    <row r="422" spans="2:8" x14ac:dyDescent="0.2">
      <c r="B422" s="27" t="s">
        <v>86</v>
      </c>
      <c r="C422" s="28" t="s">
        <v>969</v>
      </c>
      <c r="D422" s="29" t="s">
        <v>56</v>
      </c>
      <c r="E422" s="30" t="s">
        <v>947</v>
      </c>
      <c r="F422" s="28" t="s">
        <v>356</v>
      </c>
      <c r="G422" s="30" t="s">
        <v>575</v>
      </c>
      <c r="H422" t="str">
        <f>CONCATENATE(Prequal[[#This Row],[CITY]], ", ",Prequal[[#This Row],[STATE]])</f>
        <v>Chicago, IL</v>
      </c>
    </row>
    <row r="423" spans="2:8" x14ac:dyDescent="0.2">
      <c r="B423" s="27" t="s">
        <v>86</v>
      </c>
      <c r="C423" s="28" t="s">
        <v>969</v>
      </c>
      <c r="D423" s="29" t="s">
        <v>33</v>
      </c>
      <c r="E423" s="30" t="s">
        <v>947</v>
      </c>
      <c r="F423" s="28" t="s">
        <v>356</v>
      </c>
      <c r="G423" s="30" t="s">
        <v>575</v>
      </c>
      <c r="H423" t="str">
        <f>CONCATENATE(Prequal[[#This Row],[CITY]], ", ",Prequal[[#This Row],[STATE]])</f>
        <v>Chicago, IL</v>
      </c>
    </row>
    <row r="424" spans="2:8" x14ac:dyDescent="0.2">
      <c r="B424" s="27" t="s">
        <v>1092</v>
      </c>
      <c r="C424" s="28" t="s">
        <v>969</v>
      </c>
      <c r="D424" s="29" t="s">
        <v>4</v>
      </c>
      <c r="E424" s="30" t="s">
        <v>383</v>
      </c>
      <c r="F424" s="28" t="s">
        <v>356</v>
      </c>
      <c r="G424" s="30" t="s">
        <v>576</v>
      </c>
      <c r="H424" t="str">
        <f>CONCATENATE(Prequal[[#This Row],[CITY]], ", ",Prequal[[#This Row],[STATE]])</f>
        <v>Jacksonville, IL</v>
      </c>
    </row>
    <row r="425" spans="2:8" x14ac:dyDescent="0.2">
      <c r="B425" s="27" t="s">
        <v>1092</v>
      </c>
      <c r="C425" s="28" t="s">
        <v>969</v>
      </c>
      <c r="D425" s="29" t="s">
        <v>5</v>
      </c>
      <c r="E425" s="30" t="s">
        <v>383</v>
      </c>
      <c r="F425" s="28" t="s">
        <v>356</v>
      </c>
      <c r="G425" s="30" t="s">
        <v>576</v>
      </c>
      <c r="H425" t="str">
        <f>CONCATENATE(Prequal[[#This Row],[CITY]], ", ",Prequal[[#This Row],[STATE]])</f>
        <v>Jacksonville, IL</v>
      </c>
    </row>
    <row r="426" spans="2:8" x14ac:dyDescent="0.2">
      <c r="B426" s="27" t="s">
        <v>1092</v>
      </c>
      <c r="C426" s="28" t="s">
        <v>969</v>
      </c>
      <c r="D426" s="29" t="s">
        <v>8</v>
      </c>
      <c r="E426" s="30" t="s">
        <v>383</v>
      </c>
      <c r="F426" s="28" t="s">
        <v>356</v>
      </c>
      <c r="G426" s="30" t="s">
        <v>576</v>
      </c>
      <c r="H426" t="str">
        <f>CONCATENATE(Prequal[[#This Row],[CITY]], ", ",Prequal[[#This Row],[STATE]])</f>
        <v>Jacksonville, IL</v>
      </c>
    </row>
    <row r="427" spans="2:8" x14ac:dyDescent="0.2">
      <c r="B427" s="27" t="s">
        <v>1092</v>
      </c>
      <c r="C427" s="28" t="s">
        <v>969</v>
      </c>
      <c r="D427" s="29" t="s">
        <v>9</v>
      </c>
      <c r="E427" s="30" t="s">
        <v>383</v>
      </c>
      <c r="F427" s="28" t="s">
        <v>356</v>
      </c>
      <c r="G427" s="30" t="s">
        <v>576</v>
      </c>
      <c r="H427" t="str">
        <f>CONCATENATE(Prequal[[#This Row],[CITY]], ", ",Prequal[[#This Row],[STATE]])</f>
        <v>Jacksonville, IL</v>
      </c>
    </row>
    <row r="428" spans="2:8" x14ac:dyDescent="0.2">
      <c r="B428" s="27" t="s">
        <v>1092</v>
      </c>
      <c r="C428" s="28" t="s">
        <v>969</v>
      </c>
      <c r="D428" s="29" t="s">
        <v>10</v>
      </c>
      <c r="E428" s="30" t="s">
        <v>383</v>
      </c>
      <c r="F428" s="28" t="s">
        <v>356</v>
      </c>
      <c r="G428" s="30" t="s">
        <v>576</v>
      </c>
      <c r="H428" t="str">
        <f>CONCATENATE(Prequal[[#This Row],[CITY]], ", ",Prequal[[#This Row],[STATE]])</f>
        <v>Jacksonville, IL</v>
      </c>
    </row>
    <row r="429" spans="2:8" x14ac:dyDescent="0.2">
      <c r="B429" s="27" t="s">
        <v>1092</v>
      </c>
      <c r="C429" s="28" t="s">
        <v>969</v>
      </c>
      <c r="D429" s="29" t="s">
        <v>12</v>
      </c>
      <c r="E429" s="30" t="s">
        <v>383</v>
      </c>
      <c r="F429" s="28" t="s">
        <v>356</v>
      </c>
      <c r="G429" s="30" t="s">
        <v>576</v>
      </c>
      <c r="H429" t="str">
        <f>CONCATENATE(Prequal[[#This Row],[CITY]], ", ",Prequal[[#This Row],[STATE]])</f>
        <v>Jacksonville, IL</v>
      </c>
    </row>
    <row r="430" spans="2:8" x14ac:dyDescent="0.2">
      <c r="B430" s="27" t="s">
        <v>1092</v>
      </c>
      <c r="C430" s="28" t="s">
        <v>969</v>
      </c>
      <c r="D430" s="29" t="s">
        <v>28</v>
      </c>
      <c r="E430" s="30" t="s">
        <v>383</v>
      </c>
      <c r="F430" s="28" t="s">
        <v>356</v>
      </c>
      <c r="G430" s="30" t="s">
        <v>576</v>
      </c>
      <c r="H430" t="str">
        <f>CONCATENATE(Prequal[[#This Row],[CITY]], ", ",Prequal[[#This Row],[STATE]])</f>
        <v>Jacksonville, IL</v>
      </c>
    </row>
    <row r="431" spans="2:8" x14ac:dyDescent="0.2">
      <c r="B431" s="27" t="s">
        <v>1092</v>
      </c>
      <c r="C431" s="28" t="s">
        <v>969</v>
      </c>
      <c r="D431" s="29" t="s">
        <v>29</v>
      </c>
      <c r="E431" s="30" t="s">
        <v>383</v>
      </c>
      <c r="F431" s="28" t="s">
        <v>356</v>
      </c>
      <c r="G431" s="30" t="s">
        <v>576</v>
      </c>
      <c r="H431" t="str">
        <f>CONCATENATE(Prequal[[#This Row],[CITY]], ", ",Prequal[[#This Row],[STATE]])</f>
        <v>Jacksonville, IL</v>
      </c>
    </row>
    <row r="432" spans="2:8" x14ac:dyDescent="0.2">
      <c r="B432" s="27" t="s">
        <v>1092</v>
      </c>
      <c r="C432" s="28" t="s">
        <v>969</v>
      </c>
      <c r="D432" s="29" t="s">
        <v>13</v>
      </c>
      <c r="E432" s="30" t="s">
        <v>383</v>
      </c>
      <c r="F432" s="28" t="s">
        <v>356</v>
      </c>
      <c r="G432" s="30" t="s">
        <v>576</v>
      </c>
      <c r="H432" t="str">
        <f>CONCATENATE(Prequal[[#This Row],[CITY]], ", ",Prequal[[#This Row],[STATE]])</f>
        <v>Jacksonville, IL</v>
      </c>
    </row>
    <row r="433" spans="2:8" x14ac:dyDescent="0.2">
      <c r="B433" s="27" t="s">
        <v>1092</v>
      </c>
      <c r="C433" s="28" t="s">
        <v>969</v>
      </c>
      <c r="D433" s="29" t="s">
        <v>15</v>
      </c>
      <c r="E433" s="30" t="s">
        <v>383</v>
      </c>
      <c r="F433" s="28" t="s">
        <v>356</v>
      </c>
      <c r="G433" s="30" t="s">
        <v>576</v>
      </c>
      <c r="H433" t="str">
        <f>CONCATENATE(Prequal[[#This Row],[CITY]], ", ",Prequal[[#This Row],[STATE]])</f>
        <v>Jacksonville, IL</v>
      </c>
    </row>
    <row r="434" spans="2:8" x14ac:dyDescent="0.2">
      <c r="B434" s="27" t="s">
        <v>1092</v>
      </c>
      <c r="C434" s="28" t="s">
        <v>969</v>
      </c>
      <c r="D434" s="29" t="s">
        <v>31</v>
      </c>
      <c r="E434" s="30" t="s">
        <v>383</v>
      </c>
      <c r="F434" s="28" t="s">
        <v>356</v>
      </c>
      <c r="G434" s="30" t="s">
        <v>576</v>
      </c>
      <c r="H434" t="str">
        <f>CONCATENATE(Prequal[[#This Row],[CITY]], ", ",Prequal[[#This Row],[STATE]])</f>
        <v>Jacksonville, IL</v>
      </c>
    </row>
    <row r="435" spans="2:8" x14ac:dyDescent="0.2">
      <c r="B435" s="27" t="s">
        <v>1092</v>
      </c>
      <c r="C435" s="28" t="s">
        <v>969</v>
      </c>
      <c r="D435" s="29" t="s">
        <v>32</v>
      </c>
      <c r="E435" s="30" t="s">
        <v>383</v>
      </c>
      <c r="F435" s="28" t="s">
        <v>356</v>
      </c>
      <c r="G435" s="30" t="s">
        <v>576</v>
      </c>
      <c r="H435" t="str">
        <f>CONCATENATE(Prequal[[#This Row],[CITY]], ", ",Prequal[[#This Row],[STATE]])</f>
        <v>Jacksonville, IL</v>
      </c>
    </row>
    <row r="436" spans="2:8" x14ac:dyDescent="0.2">
      <c r="B436" s="27" t="s">
        <v>87</v>
      </c>
      <c r="C436" s="28" t="s">
        <v>969</v>
      </c>
      <c r="D436" s="29" t="s">
        <v>29</v>
      </c>
      <c r="E436" s="30" t="s">
        <v>371</v>
      </c>
      <c r="F436" s="28" t="s">
        <v>356</v>
      </c>
      <c r="G436" s="30" t="s">
        <v>577</v>
      </c>
      <c r="H436" t="str">
        <f>CONCATENATE(Prequal[[#This Row],[CITY]], ", ",Prequal[[#This Row],[STATE]])</f>
        <v>Urbana, IL</v>
      </c>
    </row>
    <row r="437" spans="2:8" x14ac:dyDescent="0.2">
      <c r="B437" s="27" t="s">
        <v>88</v>
      </c>
      <c r="C437" s="28" t="s">
        <v>969</v>
      </c>
      <c r="D437" s="29" t="s">
        <v>4</v>
      </c>
      <c r="E437" s="30" t="s">
        <v>404</v>
      </c>
      <c r="F437" s="28" t="s">
        <v>356</v>
      </c>
      <c r="G437" s="30" t="s">
        <v>578</v>
      </c>
      <c r="H437" t="str">
        <f>CONCATENATE(Prequal[[#This Row],[CITY]], ", ",Prequal[[#This Row],[STATE]])</f>
        <v>Itasca, IL</v>
      </c>
    </row>
    <row r="438" spans="2:8" x14ac:dyDescent="0.2">
      <c r="B438" s="27" t="s">
        <v>88</v>
      </c>
      <c r="C438" s="28" t="s">
        <v>969</v>
      </c>
      <c r="D438" s="29" t="s">
        <v>5</v>
      </c>
      <c r="E438" s="30" t="s">
        <v>404</v>
      </c>
      <c r="F438" s="28" t="s">
        <v>356</v>
      </c>
      <c r="G438" s="30" t="s">
        <v>578</v>
      </c>
      <c r="H438" t="str">
        <f>CONCATENATE(Prequal[[#This Row],[CITY]], ", ",Prequal[[#This Row],[STATE]])</f>
        <v>Itasca, IL</v>
      </c>
    </row>
    <row r="439" spans="2:8" x14ac:dyDescent="0.2">
      <c r="B439" s="27" t="s">
        <v>88</v>
      </c>
      <c r="C439" s="28" t="s">
        <v>969</v>
      </c>
      <c r="D439" s="29" t="s">
        <v>7</v>
      </c>
      <c r="E439" s="30" t="s">
        <v>404</v>
      </c>
      <c r="F439" s="28" t="s">
        <v>356</v>
      </c>
      <c r="G439" s="30" t="s">
        <v>578</v>
      </c>
      <c r="H439" t="str">
        <f>CONCATENATE(Prequal[[#This Row],[CITY]], ", ",Prequal[[#This Row],[STATE]])</f>
        <v>Itasca, IL</v>
      </c>
    </row>
    <row r="440" spans="2:8" x14ac:dyDescent="0.2">
      <c r="B440" s="27" t="s">
        <v>88</v>
      </c>
      <c r="C440" s="28" t="s">
        <v>969</v>
      </c>
      <c r="D440" s="29" t="s">
        <v>8</v>
      </c>
      <c r="E440" s="30" t="s">
        <v>404</v>
      </c>
      <c r="F440" s="28" t="s">
        <v>356</v>
      </c>
      <c r="G440" s="30" t="s">
        <v>578</v>
      </c>
      <c r="H440" t="str">
        <f>CONCATENATE(Prequal[[#This Row],[CITY]], ", ",Prequal[[#This Row],[STATE]])</f>
        <v>Itasca, IL</v>
      </c>
    </row>
    <row r="441" spans="2:8" x14ac:dyDescent="0.2">
      <c r="B441" s="27" t="s">
        <v>88</v>
      </c>
      <c r="C441" s="28" t="s">
        <v>969</v>
      </c>
      <c r="D441" s="29" t="s">
        <v>24</v>
      </c>
      <c r="E441" s="30" t="s">
        <v>404</v>
      </c>
      <c r="F441" s="28" t="s">
        <v>356</v>
      </c>
      <c r="G441" s="30" t="s">
        <v>578</v>
      </c>
      <c r="H441" t="str">
        <f>CONCATENATE(Prequal[[#This Row],[CITY]], ", ",Prequal[[#This Row],[STATE]])</f>
        <v>Itasca, IL</v>
      </c>
    </row>
    <row r="442" spans="2:8" x14ac:dyDescent="0.2">
      <c r="B442" s="27" t="s">
        <v>88</v>
      </c>
      <c r="C442" s="28" t="s">
        <v>969</v>
      </c>
      <c r="D442" s="29" t="s">
        <v>25</v>
      </c>
      <c r="E442" s="30" t="s">
        <v>404</v>
      </c>
      <c r="F442" s="28" t="s">
        <v>356</v>
      </c>
      <c r="G442" s="30" t="s">
        <v>578</v>
      </c>
      <c r="H442" t="str">
        <f>CONCATENATE(Prequal[[#This Row],[CITY]], ", ",Prequal[[#This Row],[STATE]])</f>
        <v>Itasca, IL</v>
      </c>
    </row>
    <row r="443" spans="2:8" x14ac:dyDescent="0.2">
      <c r="B443" s="27" t="s">
        <v>88</v>
      </c>
      <c r="C443" s="28" t="s">
        <v>969</v>
      </c>
      <c r="D443" s="29" t="s">
        <v>9</v>
      </c>
      <c r="E443" s="30" t="s">
        <v>404</v>
      </c>
      <c r="F443" s="28" t="s">
        <v>356</v>
      </c>
      <c r="G443" s="30" t="s">
        <v>578</v>
      </c>
      <c r="H443" t="str">
        <f>CONCATENATE(Prequal[[#This Row],[CITY]], ", ",Prequal[[#This Row],[STATE]])</f>
        <v>Itasca, IL</v>
      </c>
    </row>
    <row r="444" spans="2:8" x14ac:dyDescent="0.2">
      <c r="B444" s="27" t="s">
        <v>88</v>
      </c>
      <c r="C444" s="28" t="s">
        <v>969</v>
      </c>
      <c r="D444" s="29" t="s">
        <v>27</v>
      </c>
      <c r="E444" s="30" t="s">
        <v>404</v>
      </c>
      <c r="F444" s="28" t="s">
        <v>356</v>
      </c>
      <c r="G444" s="30" t="s">
        <v>578</v>
      </c>
      <c r="H444" t="str">
        <f>CONCATENATE(Prequal[[#This Row],[CITY]], ", ",Prequal[[#This Row],[STATE]])</f>
        <v>Itasca, IL</v>
      </c>
    </row>
    <row r="445" spans="2:8" x14ac:dyDescent="0.2">
      <c r="B445" s="27" t="s">
        <v>88</v>
      </c>
      <c r="C445" s="28" t="s">
        <v>969</v>
      </c>
      <c r="D445" s="29" t="s">
        <v>10</v>
      </c>
      <c r="E445" s="30" t="s">
        <v>404</v>
      </c>
      <c r="F445" s="28" t="s">
        <v>356</v>
      </c>
      <c r="G445" s="30" t="s">
        <v>578</v>
      </c>
      <c r="H445" t="str">
        <f>CONCATENATE(Prequal[[#This Row],[CITY]], ", ",Prequal[[#This Row],[STATE]])</f>
        <v>Itasca, IL</v>
      </c>
    </row>
    <row r="446" spans="2:8" x14ac:dyDescent="0.2">
      <c r="B446" s="27" t="s">
        <v>88</v>
      </c>
      <c r="C446" s="28" t="s">
        <v>969</v>
      </c>
      <c r="D446" s="29" t="s">
        <v>39</v>
      </c>
      <c r="E446" s="30" t="s">
        <v>404</v>
      </c>
      <c r="F446" s="28" t="s">
        <v>356</v>
      </c>
      <c r="G446" s="30" t="s">
        <v>578</v>
      </c>
      <c r="H446" t="str">
        <f>CONCATENATE(Prequal[[#This Row],[CITY]], ", ",Prequal[[#This Row],[STATE]])</f>
        <v>Itasca, IL</v>
      </c>
    </row>
    <row r="447" spans="2:8" x14ac:dyDescent="0.2">
      <c r="B447" s="27" t="s">
        <v>88</v>
      </c>
      <c r="C447" s="28" t="s">
        <v>969</v>
      </c>
      <c r="D447" s="29" t="s">
        <v>12</v>
      </c>
      <c r="E447" s="30" t="s">
        <v>404</v>
      </c>
      <c r="F447" s="28" t="s">
        <v>356</v>
      </c>
      <c r="G447" s="30" t="s">
        <v>578</v>
      </c>
      <c r="H447" t="str">
        <f>CONCATENATE(Prequal[[#This Row],[CITY]], ", ",Prequal[[#This Row],[STATE]])</f>
        <v>Itasca, IL</v>
      </c>
    </row>
    <row r="448" spans="2:8" x14ac:dyDescent="0.2">
      <c r="B448" s="27" t="s">
        <v>88</v>
      </c>
      <c r="C448" s="28" t="s">
        <v>969</v>
      </c>
      <c r="D448" s="29" t="s">
        <v>29</v>
      </c>
      <c r="E448" s="30" t="s">
        <v>404</v>
      </c>
      <c r="F448" s="28" t="s">
        <v>356</v>
      </c>
      <c r="G448" s="30" t="s">
        <v>578</v>
      </c>
      <c r="H448" t="str">
        <f>CONCATENATE(Prequal[[#This Row],[CITY]], ", ",Prequal[[#This Row],[STATE]])</f>
        <v>Itasca, IL</v>
      </c>
    </row>
    <row r="449" spans="2:8" x14ac:dyDescent="0.2">
      <c r="B449" s="27" t="s">
        <v>88</v>
      </c>
      <c r="C449" s="28" t="s">
        <v>969</v>
      </c>
      <c r="D449" s="29" t="s">
        <v>37</v>
      </c>
      <c r="E449" s="30" t="s">
        <v>404</v>
      </c>
      <c r="F449" s="28" t="s">
        <v>356</v>
      </c>
      <c r="G449" s="30" t="s">
        <v>578</v>
      </c>
      <c r="H449" t="str">
        <f>CONCATENATE(Prequal[[#This Row],[CITY]], ", ",Prequal[[#This Row],[STATE]])</f>
        <v>Itasca, IL</v>
      </c>
    </row>
    <row r="450" spans="2:8" x14ac:dyDescent="0.2">
      <c r="B450" s="27" t="s">
        <v>88</v>
      </c>
      <c r="C450" s="28" t="s">
        <v>969</v>
      </c>
      <c r="D450" s="29" t="s">
        <v>13</v>
      </c>
      <c r="E450" s="30" t="s">
        <v>404</v>
      </c>
      <c r="F450" s="28" t="s">
        <v>356</v>
      </c>
      <c r="G450" s="30" t="s">
        <v>578</v>
      </c>
      <c r="H450" t="str">
        <f>CONCATENATE(Prequal[[#This Row],[CITY]], ", ",Prequal[[#This Row],[STATE]])</f>
        <v>Itasca, IL</v>
      </c>
    </row>
    <row r="451" spans="2:8" x14ac:dyDescent="0.2">
      <c r="B451" s="27" t="s">
        <v>88</v>
      </c>
      <c r="C451" s="28" t="s">
        <v>969</v>
      </c>
      <c r="D451" s="29" t="s">
        <v>14</v>
      </c>
      <c r="E451" s="30" t="s">
        <v>404</v>
      </c>
      <c r="F451" s="28" t="s">
        <v>356</v>
      </c>
      <c r="G451" s="30" t="s">
        <v>578</v>
      </c>
      <c r="H451" t="str">
        <f>CONCATENATE(Prequal[[#This Row],[CITY]], ", ",Prequal[[#This Row],[STATE]])</f>
        <v>Itasca, IL</v>
      </c>
    </row>
    <row r="452" spans="2:8" x14ac:dyDescent="0.2">
      <c r="B452" s="27" t="s">
        <v>88</v>
      </c>
      <c r="C452" s="28" t="s">
        <v>969</v>
      </c>
      <c r="D452" s="29" t="s">
        <v>15</v>
      </c>
      <c r="E452" s="30" t="s">
        <v>404</v>
      </c>
      <c r="F452" s="28" t="s">
        <v>356</v>
      </c>
      <c r="G452" s="30" t="s">
        <v>578</v>
      </c>
      <c r="H452" t="str">
        <f>CONCATENATE(Prequal[[#This Row],[CITY]], ", ",Prequal[[#This Row],[STATE]])</f>
        <v>Itasca, IL</v>
      </c>
    </row>
    <row r="453" spans="2:8" x14ac:dyDescent="0.2">
      <c r="B453" s="27" t="s">
        <v>88</v>
      </c>
      <c r="C453" s="28" t="s">
        <v>969</v>
      </c>
      <c r="D453" s="29" t="s">
        <v>30</v>
      </c>
      <c r="E453" s="30" t="s">
        <v>404</v>
      </c>
      <c r="F453" s="28" t="s">
        <v>356</v>
      </c>
      <c r="G453" s="30" t="s">
        <v>578</v>
      </c>
      <c r="H453" t="str">
        <f>CONCATENATE(Prequal[[#This Row],[CITY]], ", ",Prequal[[#This Row],[STATE]])</f>
        <v>Itasca, IL</v>
      </c>
    </row>
    <row r="454" spans="2:8" x14ac:dyDescent="0.2">
      <c r="B454" s="27" t="s">
        <v>88</v>
      </c>
      <c r="C454" s="28" t="s">
        <v>969</v>
      </c>
      <c r="D454" s="29" t="s">
        <v>31</v>
      </c>
      <c r="E454" s="30" t="s">
        <v>404</v>
      </c>
      <c r="F454" s="28" t="s">
        <v>356</v>
      </c>
      <c r="G454" s="30" t="s">
        <v>578</v>
      </c>
      <c r="H454" t="str">
        <f>CONCATENATE(Prequal[[#This Row],[CITY]], ", ",Prequal[[#This Row],[STATE]])</f>
        <v>Itasca, IL</v>
      </c>
    </row>
    <row r="455" spans="2:8" x14ac:dyDescent="0.2">
      <c r="B455" s="27" t="s">
        <v>88</v>
      </c>
      <c r="C455" s="28" t="s">
        <v>969</v>
      </c>
      <c r="D455" s="29" t="s">
        <v>32</v>
      </c>
      <c r="E455" s="30" t="s">
        <v>404</v>
      </c>
      <c r="F455" s="28" t="s">
        <v>356</v>
      </c>
      <c r="G455" s="30" t="s">
        <v>578</v>
      </c>
      <c r="H455" t="str">
        <f>CONCATENATE(Prequal[[#This Row],[CITY]], ", ",Prequal[[#This Row],[STATE]])</f>
        <v>Itasca, IL</v>
      </c>
    </row>
    <row r="456" spans="2:8" x14ac:dyDescent="0.2">
      <c r="B456" s="27" t="s">
        <v>89</v>
      </c>
      <c r="C456" s="28" t="s">
        <v>969</v>
      </c>
      <c r="D456" s="29" t="s">
        <v>27</v>
      </c>
      <c r="E456" s="30" t="s">
        <v>927</v>
      </c>
      <c r="F456" s="28" t="s">
        <v>356</v>
      </c>
      <c r="G456" s="30" t="s">
        <v>928</v>
      </c>
      <c r="H456" t="str">
        <f>CONCATENATE(Prequal[[#This Row],[CITY]], ", ",Prequal[[#This Row],[STATE]])</f>
        <v>Mt Zion, IL</v>
      </c>
    </row>
    <row r="457" spans="2:8" x14ac:dyDescent="0.2">
      <c r="B457" s="27" t="s">
        <v>89</v>
      </c>
      <c r="C457" s="28" t="s">
        <v>969</v>
      </c>
      <c r="D457" s="29" t="s">
        <v>29</v>
      </c>
      <c r="E457" s="30" t="s">
        <v>927</v>
      </c>
      <c r="F457" s="28" t="s">
        <v>356</v>
      </c>
      <c r="G457" s="30" t="s">
        <v>928</v>
      </c>
      <c r="H457" t="str">
        <f>CONCATENATE(Prequal[[#This Row],[CITY]], ", ",Prequal[[#This Row],[STATE]])</f>
        <v>Mt Zion, IL</v>
      </c>
    </row>
    <row r="458" spans="2:8" x14ac:dyDescent="0.2">
      <c r="B458" s="27" t="s">
        <v>90</v>
      </c>
      <c r="C458" s="28" t="s">
        <v>970</v>
      </c>
      <c r="D458" s="29" t="s">
        <v>4</v>
      </c>
      <c r="E458" s="30" t="s">
        <v>974</v>
      </c>
      <c r="F458" s="28" t="s">
        <v>356</v>
      </c>
      <c r="G458" s="30" t="s">
        <v>861</v>
      </c>
      <c r="H458" t="str">
        <f>CONCATENATE(Prequal[[#This Row],[CITY]], ", ",Prequal[[#This Row],[STATE]])</f>
        <v>Chicago , IL</v>
      </c>
    </row>
    <row r="459" spans="2:8" x14ac:dyDescent="0.2">
      <c r="B459" s="27" t="s">
        <v>90</v>
      </c>
      <c r="C459" s="28" t="s">
        <v>970</v>
      </c>
      <c r="D459" s="29" t="s">
        <v>5</v>
      </c>
      <c r="E459" s="30" t="s">
        <v>974</v>
      </c>
      <c r="F459" s="28" t="s">
        <v>356</v>
      </c>
      <c r="G459" s="30" t="s">
        <v>861</v>
      </c>
      <c r="H459" t="str">
        <f>CONCATENATE(Prequal[[#This Row],[CITY]], ", ",Prequal[[#This Row],[STATE]])</f>
        <v>Chicago , IL</v>
      </c>
    </row>
    <row r="460" spans="2:8" x14ac:dyDescent="0.2">
      <c r="B460" s="27" t="s">
        <v>90</v>
      </c>
      <c r="C460" s="28" t="s">
        <v>970</v>
      </c>
      <c r="D460" s="29" t="s">
        <v>7</v>
      </c>
      <c r="E460" s="30" t="s">
        <v>974</v>
      </c>
      <c r="F460" s="28" t="s">
        <v>356</v>
      </c>
      <c r="G460" s="30" t="s">
        <v>861</v>
      </c>
      <c r="H460" t="str">
        <f>CONCATENATE(Prequal[[#This Row],[CITY]], ", ",Prequal[[#This Row],[STATE]])</f>
        <v>Chicago , IL</v>
      </c>
    </row>
    <row r="461" spans="2:8" x14ac:dyDescent="0.2">
      <c r="B461" s="27" t="s">
        <v>90</v>
      </c>
      <c r="C461" s="28" t="s">
        <v>970</v>
      </c>
      <c r="D461" s="29" t="s">
        <v>8</v>
      </c>
      <c r="E461" s="30" t="s">
        <v>974</v>
      </c>
      <c r="F461" s="28" t="s">
        <v>356</v>
      </c>
      <c r="G461" s="30" t="s">
        <v>861</v>
      </c>
      <c r="H461" t="str">
        <f>CONCATENATE(Prequal[[#This Row],[CITY]], ", ",Prequal[[#This Row],[STATE]])</f>
        <v>Chicago , IL</v>
      </c>
    </row>
    <row r="462" spans="2:8" x14ac:dyDescent="0.2">
      <c r="B462" s="27" t="s">
        <v>90</v>
      </c>
      <c r="C462" s="28" t="s">
        <v>970</v>
      </c>
      <c r="D462" s="29" t="s">
        <v>25</v>
      </c>
      <c r="E462" s="30" t="s">
        <v>974</v>
      </c>
      <c r="F462" s="28" t="s">
        <v>356</v>
      </c>
      <c r="G462" s="30" t="s">
        <v>861</v>
      </c>
      <c r="H462" t="str">
        <f>CONCATENATE(Prequal[[#This Row],[CITY]], ", ",Prequal[[#This Row],[STATE]])</f>
        <v>Chicago , IL</v>
      </c>
    </row>
    <row r="463" spans="2:8" x14ac:dyDescent="0.2">
      <c r="B463" s="27" t="s">
        <v>90</v>
      </c>
      <c r="C463" s="28" t="s">
        <v>970</v>
      </c>
      <c r="D463" s="29" t="s">
        <v>9</v>
      </c>
      <c r="E463" s="30" t="s">
        <v>974</v>
      </c>
      <c r="F463" s="28" t="s">
        <v>356</v>
      </c>
      <c r="G463" s="30" t="s">
        <v>861</v>
      </c>
      <c r="H463" t="str">
        <f>CONCATENATE(Prequal[[#This Row],[CITY]], ", ",Prequal[[#This Row],[STATE]])</f>
        <v>Chicago , IL</v>
      </c>
    </row>
    <row r="464" spans="2:8" x14ac:dyDescent="0.2">
      <c r="B464" s="27" t="s">
        <v>90</v>
      </c>
      <c r="C464" s="28" t="s">
        <v>970</v>
      </c>
      <c r="D464" s="29" t="s">
        <v>59</v>
      </c>
      <c r="E464" s="30" t="s">
        <v>974</v>
      </c>
      <c r="F464" s="28" t="s">
        <v>356</v>
      </c>
      <c r="G464" s="30" t="s">
        <v>861</v>
      </c>
      <c r="H464" t="str">
        <f>CONCATENATE(Prequal[[#This Row],[CITY]], ", ",Prequal[[#This Row],[STATE]])</f>
        <v>Chicago , IL</v>
      </c>
    </row>
    <row r="465" spans="2:8" x14ac:dyDescent="0.2">
      <c r="B465" s="27" t="s">
        <v>90</v>
      </c>
      <c r="C465" s="28" t="s">
        <v>970</v>
      </c>
      <c r="D465" s="29" t="s">
        <v>10</v>
      </c>
      <c r="E465" s="30" t="s">
        <v>974</v>
      </c>
      <c r="F465" s="28" t="s">
        <v>356</v>
      </c>
      <c r="G465" s="30" t="s">
        <v>861</v>
      </c>
      <c r="H465" t="str">
        <f>CONCATENATE(Prequal[[#This Row],[CITY]], ", ",Prequal[[#This Row],[STATE]])</f>
        <v>Chicago , IL</v>
      </c>
    </row>
    <row r="466" spans="2:8" x14ac:dyDescent="0.2">
      <c r="B466" s="27" t="s">
        <v>90</v>
      </c>
      <c r="C466" s="28" t="s">
        <v>970</v>
      </c>
      <c r="D466" s="29" t="s">
        <v>13</v>
      </c>
      <c r="E466" s="30" t="s">
        <v>974</v>
      </c>
      <c r="F466" s="28" t="s">
        <v>356</v>
      </c>
      <c r="G466" s="30" t="s">
        <v>861</v>
      </c>
      <c r="H466" t="str">
        <f>CONCATENATE(Prequal[[#This Row],[CITY]], ", ",Prequal[[#This Row],[STATE]])</f>
        <v>Chicago , IL</v>
      </c>
    </row>
    <row r="467" spans="2:8" x14ac:dyDescent="0.2">
      <c r="B467" s="27" t="s">
        <v>90</v>
      </c>
      <c r="C467" s="28" t="s">
        <v>970</v>
      </c>
      <c r="D467" s="29" t="s">
        <v>15</v>
      </c>
      <c r="E467" s="30" t="s">
        <v>974</v>
      </c>
      <c r="F467" s="28" t="s">
        <v>356</v>
      </c>
      <c r="G467" s="30" t="s">
        <v>861</v>
      </c>
      <c r="H467" t="str">
        <f>CONCATENATE(Prequal[[#This Row],[CITY]], ", ",Prequal[[#This Row],[STATE]])</f>
        <v>Chicago , IL</v>
      </c>
    </row>
    <row r="468" spans="2:8" x14ac:dyDescent="0.2">
      <c r="B468" s="27" t="s">
        <v>90</v>
      </c>
      <c r="C468" s="28" t="s">
        <v>970</v>
      </c>
      <c r="D468" s="29" t="s">
        <v>30</v>
      </c>
      <c r="E468" s="30" t="s">
        <v>974</v>
      </c>
      <c r="F468" s="28" t="s">
        <v>356</v>
      </c>
      <c r="G468" s="30" t="s">
        <v>861</v>
      </c>
      <c r="H468" t="str">
        <f>CONCATENATE(Prequal[[#This Row],[CITY]], ", ",Prequal[[#This Row],[STATE]])</f>
        <v>Chicago , IL</v>
      </c>
    </row>
    <row r="469" spans="2:8" x14ac:dyDescent="0.2">
      <c r="B469" s="27" t="s">
        <v>90</v>
      </c>
      <c r="C469" s="28" t="s">
        <v>970</v>
      </c>
      <c r="D469" s="29" t="s">
        <v>31</v>
      </c>
      <c r="E469" s="30" t="s">
        <v>974</v>
      </c>
      <c r="F469" s="28" t="s">
        <v>356</v>
      </c>
      <c r="G469" s="30" t="s">
        <v>861</v>
      </c>
      <c r="H469" t="str">
        <f>CONCATENATE(Prequal[[#This Row],[CITY]], ", ",Prequal[[#This Row],[STATE]])</f>
        <v>Chicago , IL</v>
      </c>
    </row>
    <row r="470" spans="2:8" x14ac:dyDescent="0.2">
      <c r="B470" s="27" t="s">
        <v>90</v>
      </c>
      <c r="C470" s="28" t="s">
        <v>970</v>
      </c>
      <c r="D470" s="29" t="s">
        <v>32</v>
      </c>
      <c r="E470" s="30" t="s">
        <v>974</v>
      </c>
      <c r="F470" s="28" t="s">
        <v>356</v>
      </c>
      <c r="G470" s="30" t="s">
        <v>861</v>
      </c>
      <c r="H470" t="str">
        <f>CONCATENATE(Prequal[[#This Row],[CITY]], ", ",Prequal[[#This Row],[STATE]])</f>
        <v>Chicago , IL</v>
      </c>
    </row>
    <row r="471" spans="2:8" x14ac:dyDescent="0.2">
      <c r="B471" s="27" t="s">
        <v>90</v>
      </c>
      <c r="C471" s="28" t="s">
        <v>970</v>
      </c>
      <c r="D471" s="29" t="s">
        <v>54</v>
      </c>
      <c r="E471" s="30" t="s">
        <v>974</v>
      </c>
      <c r="F471" s="28" t="s">
        <v>356</v>
      </c>
      <c r="G471" s="30" t="s">
        <v>861</v>
      </c>
      <c r="H471" t="str">
        <f>CONCATENATE(Prequal[[#This Row],[CITY]], ", ",Prequal[[#This Row],[STATE]])</f>
        <v>Chicago , IL</v>
      </c>
    </row>
    <row r="472" spans="2:8" x14ac:dyDescent="0.2">
      <c r="B472" s="27" t="s">
        <v>90</v>
      </c>
      <c r="C472" s="28" t="s">
        <v>970</v>
      </c>
      <c r="D472" s="29" t="s">
        <v>33</v>
      </c>
      <c r="E472" s="30" t="s">
        <v>974</v>
      </c>
      <c r="F472" s="28" t="s">
        <v>356</v>
      </c>
      <c r="G472" s="30" t="s">
        <v>861</v>
      </c>
      <c r="H472" t="str">
        <f>CONCATENATE(Prequal[[#This Row],[CITY]], ", ",Prequal[[#This Row],[STATE]])</f>
        <v>Chicago , IL</v>
      </c>
    </row>
    <row r="473" spans="2:8" x14ac:dyDescent="0.2">
      <c r="B473" s="27" t="s">
        <v>933</v>
      </c>
      <c r="C473" s="28" t="s">
        <v>969</v>
      </c>
      <c r="D473" s="29" t="s">
        <v>27</v>
      </c>
      <c r="E473" s="30" t="s">
        <v>947</v>
      </c>
      <c r="F473" s="28" t="s">
        <v>356</v>
      </c>
      <c r="G473" s="30" t="s">
        <v>934</v>
      </c>
      <c r="H473" t="str">
        <f>CONCATENATE(Prequal[[#This Row],[CITY]], ", ",Prequal[[#This Row],[STATE]])</f>
        <v>Chicago, IL</v>
      </c>
    </row>
    <row r="474" spans="2:8" x14ac:dyDescent="0.2">
      <c r="B474" s="27" t="s">
        <v>91</v>
      </c>
      <c r="C474" s="28" t="s">
        <v>969</v>
      </c>
      <c r="D474" s="29" t="s">
        <v>43</v>
      </c>
      <c r="E474" s="30" t="s">
        <v>358</v>
      </c>
      <c r="F474" s="28" t="s">
        <v>356</v>
      </c>
      <c r="G474" s="30" t="s">
        <v>579</v>
      </c>
      <c r="H474" t="str">
        <f>CONCATENATE(Prequal[[#This Row],[CITY]], ", ",Prequal[[#This Row],[STATE]])</f>
        <v>Lisle, IL</v>
      </c>
    </row>
    <row r="475" spans="2:8" x14ac:dyDescent="0.2">
      <c r="B475" s="27" t="s">
        <v>91</v>
      </c>
      <c r="C475" s="28" t="s">
        <v>969</v>
      </c>
      <c r="D475" s="29" t="s">
        <v>4</v>
      </c>
      <c r="E475" s="30" t="s">
        <v>358</v>
      </c>
      <c r="F475" s="28" t="s">
        <v>356</v>
      </c>
      <c r="G475" s="30" t="s">
        <v>579</v>
      </c>
      <c r="H475" t="str">
        <f>CONCATENATE(Prequal[[#This Row],[CITY]], ", ",Prequal[[#This Row],[STATE]])</f>
        <v>Lisle, IL</v>
      </c>
    </row>
    <row r="476" spans="2:8" x14ac:dyDescent="0.2">
      <c r="B476" s="27" t="s">
        <v>91</v>
      </c>
      <c r="C476" s="28" t="s">
        <v>969</v>
      </c>
      <c r="D476" s="29" t="s">
        <v>5</v>
      </c>
      <c r="E476" s="30" t="s">
        <v>358</v>
      </c>
      <c r="F476" s="28" t="s">
        <v>356</v>
      </c>
      <c r="G476" s="30" t="s">
        <v>579</v>
      </c>
      <c r="H476" t="str">
        <f>CONCATENATE(Prequal[[#This Row],[CITY]], ", ",Prequal[[#This Row],[STATE]])</f>
        <v>Lisle, IL</v>
      </c>
    </row>
    <row r="477" spans="2:8" x14ac:dyDescent="0.2">
      <c r="B477" s="27" t="s">
        <v>91</v>
      </c>
      <c r="C477" s="28" t="s">
        <v>969</v>
      </c>
      <c r="D477" s="29" t="s">
        <v>7</v>
      </c>
      <c r="E477" s="30" t="s">
        <v>358</v>
      </c>
      <c r="F477" s="28" t="s">
        <v>356</v>
      </c>
      <c r="G477" s="30" t="s">
        <v>579</v>
      </c>
      <c r="H477" t="str">
        <f>CONCATENATE(Prequal[[#This Row],[CITY]], ", ",Prequal[[#This Row],[STATE]])</f>
        <v>Lisle, IL</v>
      </c>
    </row>
    <row r="478" spans="2:8" x14ac:dyDescent="0.2">
      <c r="B478" s="27" t="s">
        <v>91</v>
      </c>
      <c r="C478" s="28" t="s">
        <v>969</v>
      </c>
      <c r="D478" s="29" t="s">
        <v>1013</v>
      </c>
      <c r="E478" s="30" t="s">
        <v>358</v>
      </c>
      <c r="F478" s="28" t="s">
        <v>356</v>
      </c>
      <c r="G478" s="30" t="s">
        <v>579</v>
      </c>
      <c r="H478" t="str">
        <f>CONCATENATE(Prequal[[#This Row],[CITY]], ", ",Prequal[[#This Row],[STATE]])</f>
        <v>Lisle, IL</v>
      </c>
    </row>
    <row r="479" spans="2:8" x14ac:dyDescent="0.2">
      <c r="B479" s="27" t="s">
        <v>91</v>
      </c>
      <c r="C479" s="28" t="s">
        <v>969</v>
      </c>
      <c r="D479" s="29" t="s">
        <v>8</v>
      </c>
      <c r="E479" s="30" t="s">
        <v>358</v>
      </c>
      <c r="F479" s="28" t="s">
        <v>356</v>
      </c>
      <c r="G479" s="30" t="s">
        <v>579</v>
      </c>
      <c r="H479" t="str">
        <f>CONCATENATE(Prequal[[#This Row],[CITY]], ", ",Prequal[[#This Row],[STATE]])</f>
        <v>Lisle, IL</v>
      </c>
    </row>
    <row r="480" spans="2:8" x14ac:dyDescent="0.2">
      <c r="B480" s="27" t="s">
        <v>91</v>
      </c>
      <c r="C480" s="28" t="s">
        <v>969</v>
      </c>
      <c r="D480" s="29" t="s">
        <v>24</v>
      </c>
      <c r="E480" s="30" t="s">
        <v>358</v>
      </c>
      <c r="F480" s="28" t="s">
        <v>356</v>
      </c>
      <c r="G480" s="30" t="s">
        <v>579</v>
      </c>
      <c r="H480" t="str">
        <f>CONCATENATE(Prequal[[#This Row],[CITY]], ", ",Prequal[[#This Row],[STATE]])</f>
        <v>Lisle, IL</v>
      </c>
    </row>
    <row r="481" spans="2:8" x14ac:dyDescent="0.2">
      <c r="B481" s="27" t="s">
        <v>91</v>
      </c>
      <c r="C481" s="28" t="s">
        <v>969</v>
      </c>
      <c r="D481" s="29" t="s">
        <v>25</v>
      </c>
      <c r="E481" s="30" t="s">
        <v>358</v>
      </c>
      <c r="F481" s="28" t="s">
        <v>356</v>
      </c>
      <c r="G481" s="30" t="s">
        <v>579</v>
      </c>
      <c r="H481" t="str">
        <f>CONCATENATE(Prequal[[#This Row],[CITY]], ", ",Prequal[[#This Row],[STATE]])</f>
        <v>Lisle, IL</v>
      </c>
    </row>
    <row r="482" spans="2:8" x14ac:dyDescent="0.2">
      <c r="B482" s="27" t="s">
        <v>91</v>
      </c>
      <c r="C482" s="28" t="s">
        <v>969</v>
      </c>
      <c r="D482" s="29" t="s">
        <v>9</v>
      </c>
      <c r="E482" s="30" t="s">
        <v>358</v>
      </c>
      <c r="F482" s="28" t="s">
        <v>356</v>
      </c>
      <c r="G482" s="30" t="s">
        <v>579</v>
      </c>
      <c r="H482" t="str">
        <f>CONCATENATE(Prequal[[#This Row],[CITY]], ", ",Prequal[[#This Row],[STATE]])</f>
        <v>Lisle, IL</v>
      </c>
    </row>
    <row r="483" spans="2:8" x14ac:dyDescent="0.2">
      <c r="B483" s="27" t="s">
        <v>91</v>
      </c>
      <c r="C483" s="28" t="s">
        <v>969</v>
      </c>
      <c r="D483" s="29" t="s">
        <v>27</v>
      </c>
      <c r="E483" s="30" t="s">
        <v>358</v>
      </c>
      <c r="F483" s="28" t="s">
        <v>356</v>
      </c>
      <c r="G483" s="30" t="s">
        <v>579</v>
      </c>
      <c r="H483" t="str">
        <f>CONCATENATE(Prequal[[#This Row],[CITY]], ", ",Prequal[[#This Row],[STATE]])</f>
        <v>Lisle, IL</v>
      </c>
    </row>
    <row r="484" spans="2:8" x14ac:dyDescent="0.2">
      <c r="B484" s="27" t="s">
        <v>91</v>
      </c>
      <c r="C484" s="28" t="s">
        <v>969</v>
      </c>
      <c r="D484" s="29" t="s">
        <v>81</v>
      </c>
      <c r="E484" s="30" t="s">
        <v>358</v>
      </c>
      <c r="F484" s="28" t="s">
        <v>356</v>
      </c>
      <c r="G484" s="30" t="s">
        <v>579</v>
      </c>
      <c r="H484" t="str">
        <f>CONCATENATE(Prequal[[#This Row],[CITY]], ", ",Prequal[[#This Row],[STATE]])</f>
        <v>Lisle, IL</v>
      </c>
    </row>
    <row r="485" spans="2:8" x14ac:dyDescent="0.2">
      <c r="B485" s="27" t="s">
        <v>91</v>
      </c>
      <c r="C485" s="28" t="s">
        <v>969</v>
      </c>
      <c r="D485" s="29" t="s">
        <v>10</v>
      </c>
      <c r="E485" s="30" t="s">
        <v>358</v>
      </c>
      <c r="F485" s="28" t="s">
        <v>356</v>
      </c>
      <c r="G485" s="30" t="s">
        <v>579</v>
      </c>
      <c r="H485" t="str">
        <f>CONCATENATE(Prequal[[#This Row],[CITY]], ", ",Prequal[[#This Row],[STATE]])</f>
        <v>Lisle, IL</v>
      </c>
    </row>
    <row r="486" spans="2:8" x14ac:dyDescent="0.2">
      <c r="B486" s="27" t="s">
        <v>91</v>
      </c>
      <c r="C486" s="28" t="s">
        <v>969</v>
      </c>
      <c r="D486" s="29" t="s">
        <v>51</v>
      </c>
      <c r="E486" s="30" t="s">
        <v>358</v>
      </c>
      <c r="F486" s="28" t="s">
        <v>356</v>
      </c>
      <c r="G486" s="30" t="s">
        <v>579</v>
      </c>
      <c r="H486" t="str">
        <f>CONCATENATE(Prequal[[#This Row],[CITY]], ", ",Prequal[[#This Row],[STATE]])</f>
        <v>Lisle, IL</v>
      </c>
    </row>
    <row r="487" spans="2:8" x14ac:dyDescent="0.2">
      <c r="B487" s="27" t="s">
        <v>91</v>
      </c>
      <c r="C487" s="28" t="s">
        <v>969</v>
      </c>
      <c r="D487" s="29" t="s">
        <v>39</v>
      </c>
      <c r="E487" s="30" t="s">
        <v>358</v>
      </c>
      <c r="F487" s="28" t="s">
        <v>356</v>
      </c>
      <c r="G487" s="30" t="s">
        <v>579</v>
      </c>
      <c r="H487" t="str">
        <f>CONCATENATE(Prequal[[#This Row],[CITY]], ", ",Prequal[[#This Row],[STATE]])</f>
        <v>Lisle, IL</v>
      </c>
    </row>
    <row r="488" spans="2:8" x14ac:dyDescent="0.2">
      <c r="B488" s="27" t="s">
        <v>91</v>
      </c>
      <c r="C488" s="28" t="s">
        <v>969</v>
      </c>
      <c r="D488" s="29" t="s">
        <v>12</v>
      </c>
      <c r="E488" s="30" t="s">
        <v>358</v>
      </c>
      <c r="F488" s="28" t="s">
        <v>356</v>
      </c>
      <c r="G488" s="30" t="s">
        <v>579</v>
      </c>
      <c r="H488" t="str">
        <f>CONCATENATE(Prequal[[#This Row],[CITY]], ", ",Prequal[[#This Row],[STATE]])</f>
        <v>Lisle, IL</v>
      </c>
    </row>
    <row r="489" spans="2:8" x14ac:dyDescent="0.2">
      <c r="B489" s="27" t="s">
        <v>91</v>
      </c>
      <c r="C489" s="28" t="s">
        <v>969</v>
      </c>
      <c r="D489" s="29" t="s">
        <v>29</v>
      </c>
      <c r="E489" s="30" t="s">
        <v>358</v>
      </c>
      <c r="F489" s="28" t="s">
        <v>356</v>
      </c>
      <c r="G489" s="30" t="s">
        <v>579</v>
      </c>
      <c r="H489" t="str">
        <f>CONCATENATE(Prequal[[#This Row],[CITY]], ", ",Prequal[[#This Row],[STATE]])</f>
        <v>Lisle, IL</v>
      </c>
    </row>
    <row r="490" spans="2:8" x14ac:dyDescent="0.2">
      <c r="B490" s="27" t="s">
        <v>91</v>
      </c>
      <c r="C490" s="28" t="s">
        <v>969</v>
      </c>
      <c r="D490" s="29" t="s">
        <v>37</v>
      </c>
      <c r="E490" s="30" t="s">
        <v>358</v>
      </c>
      <c r="F490" s="28" t="s">
        <v>356</v>
      </c>
      <c r="G490" s="30" t="s">
        <v>579</v>
      </c>
      <c r="H490" t="str">
        <f>CONCATENATE(Prequal[[#This Row],[CITY]], ", ",Prequal[[#This Row],[STATE]])</f>
        <v>Lisle, IL</v>
      </c>
    </row>
    <row r="491" spans="2:8" x14ac:dyDescent="0.2">
      <c r="B491" s="27" t="s">
        <v>91</v>
      </c>
      <c r="C491" s="28" t="s">
        <v>969</v>
      </c>
      <c r="D491" s="29" t="s">
        <v>13</v>
      </c>
      <c r="E491" s="30" t="s">
        <v>358</v>
      </c>
      <c r="F491" s="28" t="s">
        <v>356</v>
      </c>
      <c r="G491" s="30" t="s">
        <v>579</v>
      </c>
      <c r="H491" t="str">
        <f>CONCATENATE(Prequal[[#This Row],[CITY]], ", ",Prequal[[#This Row],[STATE]])</f>
        <v>Lisle, IL</v>
      </c>
    </row>
    <row r="492" spans="2:8" x14ac:dyDescent="0.2">
      <c r="B492" s="27" t="s">
        <v>91</v>
      </c>
      <c r="C492" s="28" t="s">
        <v>969</v>
      </c>
      <c r="D492" s="29" t="s">
        <v>14</v>
      </c>
      <c r="E492" s="30" t="s">
        <v>358</v>
      </c>
      <c r="F492" s="28" t="s">
        <v>356</v>
      </c>
      <c r="G492" s="30" t="s">
        <v>579</v>
      </c>
      <c r="H492" t="str">
        <f>CONCATENATE(Prequal[[#This Row],[CITY]], ", ",Prequal[[#This Row],[STATE]])</f>
        <v>Lisle, IL</v>
      </c>
    </row>
    <row r="493" spans="2:8" x14ac:dyDescent="0.2">
      <c r="B493" s="27" t="s">
        <v>91</v>
      </c>
      <c r="C493" s="28" t="s">
        <v>969</v>
      </c>
      <c r="D493" s="29" t="s">
        <v>15</v>
      </c>
      <c r="E493" s="30" t="s">
        <v>358</v>
      </c>
      <c r="F493" s="28" t="s">
        <v>356</v>
      </c>
      <c r="G493" s="30" t="s">
        <v>579</v>
      </c>
      <c r="H493" t="str">
        <f>CONCATENATE(Prequal[[#This Row],[CITY]], ", ",Prequal[[#This Row],[STATE]])</f>
        <v>Lisle, IL</v>
      </c>
    </row>
    <row r="494" spans="2:8" x14ac:dyDescent="0.2">
      <c r="B494" s="27" t="s">
        <v>91</v>
      </c>
      <c r="C494" s="28" t="s">
        <v>969</v>
      </c>
      <c r="D494" s="29" t="s">
        <v>30</v>
      </c>
      <c r="E494" s="30" t="s">
        <v>358</v>
      </c>
      <c r="F494" s="28" t="s">
        <v>356</v>
      </c>
      <c r="G494" s="30" t="s">
        <v>579</v>
      </c>
      <c r="H494" t="str">
        <f>CONCATENATE(Prequal[[#This Row],[CITY]], ", ",Prequal[[#This Row],[STATE]])</f>
        <v>Lisle, IL</v>
      </c>
    </row>
    <row r="495" spans="2:8" x14ac:dyDescent="0.2">
      <c r="B495" s="27" t="s">
        <v>91</v>
      </c>
      <c r="C495" s="28" t="s">
        <v>969</v>
      </c>
      <c r="D495" s="29" t="s">
        <v>31</v>
      </c>
      <c r="E495" s="30" t="s">
        <v>358</v>
      </c>
      <c r="F495" s="28" t="s">
        <v>356</v>
      </c>
      <c r="G495" s="30" t="s">
        <v>579</v>
      </c>
      <c r="H495" t="str">
        <f>CONCATENATE(Prequal[[#This Row],[CITY]], ", ",Prequal[[#This Row],[STATE]])</f>
        <v>Lisle, IL</v>
      </c>
    </row>
    <row r="496" spans="2:8" x14ac:dyDescent="0.2">
      <c r="B496" s="27" t="s">
        <v>91</v>
      </c>
      <c r="C496" s="28" t="s">
        <v>969</v>
      </c>
      <c r="D496" s="29" t="s">
        <v>32</v>
      </c>
      <c r="E496" s="30" t="s">
        <v>358</v>
      </c>
      <c r="F496" s="28" t="s">
        <v>356</v>
      </c>
      <c r="G496" s="30" t="s">
        <v>579</v>
      </c>
      <c r="H496" t="str">
        <f>CONCATENATE(Prequal[[#This Row],[CITY]], ", ",Prequal[[#This Row],[STATE]])</f>
        <v>Lisle, IL</v>
      </c>
    </row>
    <row r="497" spans="2:8" x14ac:dyDescent="0.2">
      <c r="B497" s="27" t="s">
        <v>91</v>
      </c>
      <c r="C497" s="28" t="s">
        <v>969</v>
      </c>
      <c r="D497" s="29" t="s">
        <v>38</v>
      </c>
      <c r="E497" s="30" t="s">
        <v>358</v>
      </c>
      <c r="F497" s="28" t="s">
        <v>356</v>
      </c>
      <c r="G497" s="30" t="s">
        <v>579</v>
      </c>
      <c r="H497" t="str">
        <f>CONCATENATE(Prequal[[#This Row],[CITY]], ", ",Prequal[[#This Row],[STATE]])</f>
        <v>Lisle, IL</v>
      </c>
    </row>
    <row r="498" spans="2:8" x14ac:dyDescent="0.2">
      <c r="B498" s="27" t="s">
        <v>92</v>
      </c>
      <c r="C498" s="28" t="s">
        <v>969</v>
      </c>
      <c r="D498" s="29" t="s">
        <v>4</v>
      </c>
      <c r="E498" s="30" t="s">
        <v>358</v>
      </c>
      <c r="F498" s="28" t="s">
        <v>356</v>
      </c>
      <c r="G498" s="30" t="s">
        <v>580</v>
      </c>
      <c r="H498" t="str">
        <f>CONCATENATE(Prequal[[#This Row],[CITY]], ", ",Prequal[[#This Row],[STATE]])</f>
        <v>Lisle, IL</v>
      </c>
    </row>
    <row r="499" spans="2:8" x14ac:dyDescent="0.2">
      <c r="B499" s="27" t="s">
        <v>92</v>
      </c>
      <c r="C499" s="28" t="s">
        <v>969</v>
      </c>
      <c r="D499" s="29" t="s">
        <v>5</v>
      </c>
      <c r="E499" s="30" t="s">
        <v>358</v>
      </c>
      <c r="F499" s="28" t="s">
        <v>356</v>
      </c>
      <c r="G499" s="30" t="s">
        <v>580</v>
      </c>
      <c r="H499" t="str">
        <f>CONCATENATE(Prequal[[#This Row],[CITY]], ", ",Prequal[[#This Row],[STATE]])</f>
        <v>Lisle, IL</v>
      </c>
    </row>
    <row r="500" spans="2:8" x14ac:dyDescent="0.2">
      <c r="B500" s="27" t="s">
        <v>92</v>
      </c>
      <c r="C500" s="28" t="s">
        <v>969</v>
      </c>
      <c r="D500" s="29" t="s">
        <v>25</v>
      </c>
      <c r="E500" s="30" t="s">
        <v>358</v>
      </c>
      <c r="F500" s="28" t="s">
        <v>356</v>
      </c>
      <c r="G500" s="30" t="s">
        <v>580</v>
      </c>
      <c r="H500" t="str">
        <f>CONCATENATE(Prequal[[#This Row],[CITY]], ", ",Prequal[[#This Row],[STATE]])</f>
        <v>Lisle, IL</v>
      </c>
    </row>
    <row r="501" spans="2:8" x14ac:dyDescent="0.2">
      <c r="B501" s="27" t="s">
        <v>92</v>
      </c>
      <c r="C501" s="28" t="s">
        <v>969</v>
      </c>
      <c r="D501" s="29" t="s">
        <v>9</v>
      </c>
      <c r="E501" s="30" t="s">
        <v>358</v>
      </c>
      <c r="F501" s="28" t="s">
        <v>356</v>
      </c>
      <c r="G501" s="30" t="s">
        <v>580</v>
      </c>
      <c r="H501" t="str">
        <f>CONCATENATE(Prequal[[#This Row],[CITY]], ", ",Prequal[[#This Row],[STATE]])</f>
        <v>Lisle, IL</v>
      </c>
    </row>
    <row r="502" spans="2:8" x14ac:dyDescent="0.2">
      <c r="B502" s="27" t="s">
        <v>92</v>
      </c>
      <c r="C502" s="28" t="s">
        <v>969</v>
      </c>
      <c r="D502" s="29" t="s">
        <v>10</v>
      </c>
      <c r="E502" s="30" t="s">
        <v>358</v>
      </c>
      <c r="F502" s="28" t="s">
        <v>356</v>
      </c>
      <c r="G502" s="30" t="s">
        <v>580</v>
      </c>
      <c r="H502" t="str">
        <f>CONCATENATE(Prequal[[#This Row],[CITY]], ", ",Prequal[[#This Row],[STATE]])</f>
        <v>Lisle, IL</v>
      </c>
    </row>
    <row r="503" spans="2:8" x14ac:dyDescent="0.2">
      <c r="B503" s="27" t="s">
        <v>92</v>
      </c>
      <c r="C503" s="28" t="s">
        <v>969</v>
      </c>
      <c r="D503" s="29" t="s">
        <v>28</v>
      </c>
      <c r="E503" s="30" t="s">
        <v>358</v>
      </c>
      <c r="F503" s="28" t="s">
        <v>356</v>
      </c>
      <c r="G503" s="30" t="s">
        <v>580</v>
      </c>
      <c r="H503" t="str">
        <f>CONCATENATE(Prequal[[#This Row],[CITY]], ", ",Prequal[[#This Row],[STATE]])</f>
        <v>Lisle, IL</v>
      </c>
    </row>
    <row r="504" spans="2:8" x14ac:dyDescent="0.2">
      <c r="B504" s="27" t="s">
        <v>92</v>
      </c>
      <c r="C504" s="28" t="s">
        <v>969</v>
      </c>
      <c r="D504" s="29" t="s">
        <v>37</v>
      </c>
      <c r="E504" s="30" t="s">
        <v>358</v>
      </c>
      <c r="F504" s="28" t="s">
        <v>356</v>
      </c>
      <c r="G504" s="30" t="s">
        <v>580</v>
      </c>
      <c r="H504" t="str">
        <f>CONCATENATE(Prequal[[#This Row],[CITY]], ", ",Prequal[[#This Row],[STATE]])</f>
        <v>Lisle, IL</v>
      </c>
    </row>
    <row r="505" spans="2:8" x14ac:dyDescent="0.2">
      <c r="B505" s="27" t="s">
        <v>92</v>
      </c>
      <c r="C505" s="28" t="s">
        <v>969</v>
      </c>
      <c r="D505" s="29" t="s">
        <v>13</v>
      </c>
      <c r="E505" s="30" t="s">
        <v>358</v>
      </c>
      <c r="F505" s="28" t="s">
        <v>356</v>
      </c>
      <c r="G505" s="30" t="s">
        <v>580</v>
      </c>
      <c r="H505" t="str">
        <f>CONCATENATE(Prequal[[#This Row],[CITY]], ", ",Prequal[[#This Row],[STATE]])</f>
        <v>Lisle, IL</v>
      </c>
    </row>
    <row r="506" spans="2:8" x14ac:dyDescent="0.2">
      <c r="B506" s="27" t="s">
        <v>92</v>
      </c>
      <c r="C506" s="28" t="s">
        <v>969</v>
      </c>
      <c r="D506" s="29" t="s">
        <v>15</v>
      </c>
      <c r="E506" s="30" t="s">
        <v>358</v>
      </c>
      <c r="F506" s="28" t="s">
        <v>356</v>
      </c>
      <c r="G506" s="30" t="s">
        <v>580</v>
      </c>
      <c r="H506" t="str">
        <f>CONCATENATE(Prequal[[#This Row],[CITY]], ", ",Prequal[[#This Row],[STATE]])</f>
        <v>Lisle, IL</v>
      </c>
    </row>
    <row r="507" spans="2:8" x14ac:dyDescent="0.2">
      <c r="B507" s="27" t="s">
        <v>879</v>
      </c>
      <c r="C507" s="28" t="s">
        <v>969</v>
      </c>
      <c r="D507" s="29" t="s">
        <v>70</v>
      </c>
      <c r="E507" s="30" t="s">
        <v>880</v>
      </c>
      <c r="F507" s="28" t="s">
        <v>356</v>
      </c>
      <c r="G507" s="30" t="s">
        <v>881</v>
      </c>
      <c r="H507" t="str">
        <f>CONCATENATE(Prequal[[#This Row],[CITY]], ", ",Prequal[[#This Row],[STATE]])</f>
        <v>Bourbonnais, IL</v>
      </c>
    </row>
    <row r="508" spans="2:8" x14ac:dyDescent="0.2">
      <c r="B508" s="27" t="s">
        <v>93</v>
      </c>
      <c r="C508" s="28" t="s">
        <v>969</v>
      </c>
      <c r="D508" s="29" t="s">
        <v>35</v>
      </c>
      <c r="E508" s="30" t="s">
        <v>388</v>
      </c>
      <c r="F508" s="28" t="s">
        <v>356</v>
      </c>
      <c r="G508" s="30" t="s">
        <v>581</v>
      </c>
      <c r="H508" t="str">
        <f>CONCATENATE(Prequal[[#This Row],[CITY]], ", ",Prequal[[#This Row],[STATE]])</f>
        <v>Harrisburg, IL</v>
      </c>
    </row>
    <row r="509" spans="2:8" x14ac:dyDescent="0.2">
      <c r="B509" s="27" t="s">
        <v>93</v>
      </c>
      <c r="C509" s="28" t="s">
        <v>969</v>
      </c>
      <c r="D509" s="29" t="s">
        <v>124</v>
      </c>
      <c r="E509" s="30" t="s">
        <v>388</v>
      </c>
      <c r="F509" s="28" t="s">
        <v>356</v>
      </c>
      <c r="G509" s="30" t="s">
        <v>581</v>
      </c>
      <c r="H509" t="str">
        <f>CONCATENATE(Prequal[[#This Row],[CITY]], ", ",Prequal[[#This Row],[STATE]])</f>
        <v>Harrisburg, IL</v>
      </c>
    </row>
    <row r="510" spans="2:8" x14ac:dyDescent="0.2">
      <c r="B510" s="27" t="s">
        <v>93</v>
      </c>
      <c r="C510" s="28" t="s">
        <v>969</v>
      </c>
      <c r="D510" s="29" t="s">
        <v>36</v>
      </c>
      <c r="E510" s="30" t="s">
        <v>388</v>
      </c>
      <c r="F510" s="28" t="s">
        <v>356</v>
      </c>
      <c r="G510" s="30" t="s">
        <v>581</v>
      </c>
      <c r="H510" t="str">
        <f>CONCATENATE(Prequal[[#This Row],[CITY]], ", ",Prequal[[#This Row],[STATE]])</f>
        <v>Harrisburg, IL</v>
      </c>
    </row>
    <row r="511" spans="2:8" x14ac:dyDescent="0.2">
      <c r="B511" s="27" t="s">
        <v>93</v>
      </c>
      <c r="C511" s="28" t="s">
        <v>969</v>
      </c>
      <c r="D511" s="29" t="s">
        <v>125</v>
      </c>
      <c r="E511" s="30" t="s">
        <v>388</v>
      </c>
      <c r="F511" s="28" t="s">
        <v>356</v>
      </c>
      <c r="G511" s="30" t="s">
        <v>581</v>
      </c>
      <c r="H511" t="str">
        <f>CONCATENATE(Prequal[[#This Row],[CITY]], ", ",Prequal[[#This Row],[STATE]])</f>
        <v>Harrisburg, IL</v>
      </c>
    </row>
    <row r="512" spans="2:8" x14ac:dyDescent="0.2">
      <c r="B512" s="27" t="s">
        <v>93</v>
      </c>
      <c r="C512" s="28" t="s">
        <v>969</v>
      </c>
      <c r="D512" s="29" t="s">
        <v>5</v>
      </c>
      <c r="E512" s="30" t="s">
        <v>388</v>
      </c>
      <c r="F512" s="28" t="s">
        <v>356</v>
      </c>
      <c r="G512" s="30" t="s">
        <v>581</v>
      </c>
      <c r="H512" t="str">
        <f>CONCATENATE(Prequal[[#This Row],[CITY]], ", ",Prequal[[#This Row],[STATE]])</f>
        <v>Harrisburg, IL</v>
      </c>
    </row>
    <row r="513" spans="2:8" x14ac:dyDescent="0.2">
      <c r="B513" s="27" t="s">
        <v>93</v>
      </c>
      <c r="C513" s="28" t="s">
        <v>969</v>
      </c>
      <c r="D513" s="29" t="s">
        <v>8</v>
      </c>
      <c r="E513" s="30" t="s">
        <v>388</v>
      </c>
      <c r="F513" s="28" t="s">
        <v>356</v>
      </c>
      <c r="G513" s="30" t="s">
        <v>581</v>
      </c>
      <c r="H513" t="str">
        <f>CONCATENATE(Prequal[[#This Row],[CITY]], ", ",Prequal[[#This Row],[STATE]])</f>
        <v>Harrisburg, IL</v>
      </c>
    </row>
    <row r="514" spans="2:8" x14ac:dyDescent="0.2">
      <c r="B514" s="27" t="s">
        <v>93</v>
      </c>
      <c r="C514" s="28" t="s">
        <v>969</v>
      </c>
      <c r="D514" s="29" t="s">
        <v>9</v>
      </c>
      <c r="E514" s="30" t="s">
        <v>388</v>
      </c>
      <c r="F514" s="28" t="s">
        <v>356</v>
      </c>
      <c r="G514" s="30" t="s">
        <v>581</v>
      </c>
      <c r="H514" t="str">
        <f>CONCATENATE(Prequal[[#This Row],[CITY]], ", ",Prequal[[#This Row],[STATE]])</f>
        <v>Harrisburg, IL</v>
      </c>
    </row>
    <row r="515" spans="2:8" x14ac:dyDescent="0.2">
      <c r="B515" s="27" t="s">
        <v>93</v>
      </c>
      <c r="C515" s="28" t="s">
        <v>969</v>
      </c>
      <c r="D515" s="29" t="s">
        <v>10</v>
      </c>
      <c r="E515" s="30" t="s">
        <v>388</v>
      </c>
      <c r="F515" s="28" t="s">
        <v>356</v>
      </c>
      <c r="G515" s="30" t="s">
        <v>581</v>
      </c>
      <c r="H515" t="str">
        <f>CONCATENATE(Prequal[[#This Row],[CITY]], ", ",Prequal[[#This Row],[STATE]])</f>
        <v>Harrisburg, IL</v>
      </c>
    </row>
    <row r="516" spans="2:8" x14ac:dyDescent="0.2">
      <c r="B516" s="27" t="s">
        <v>93</v>
      </c>
      <c r="C516" s="28" t="s">
        <v>969</v>
      </c>
      <c r="D516" s="29" t="s">
        <v>22</v>
      </c>
      <c r="E516" s="30" t="s">
        <v>388</v>
      </c>
      <c r="F516" s="28" t="s">
        <v>356</v>
      </c>
      <c r="G516" s="30" t="s">
        <v>581</v>
      </c>
      <c r="H516" t="str">
        <f>CONCATENATE(Prequal[[#This Row],[CITY]], ", ",Prequal[[#This Row],[STATE]])</f>
        <v>Harrisburg, IL</v>
      </c>
    </row>
    <row r="517" spans="2:8" x14ac:dyDescent="0.2">
      <c r="B517" s="27" t="s">
        <v>93</v>
      </c>
      <c r="C517" s="28" t="s">
        <v>969</v>
      </c>
      <c r="D517" s="29" t="s">
        <v>12</v>
      </c>
      <c r="E517" s="30" t="s">
        <v>388</v>
      </c>
      <c r="F517" s="28" t="s">
        <v>356</v>
      </c>
      <c r="G517" s="30" t="s">
        <v>581</v>
      </c>
      <c r="H517" t="str">
        <f>CONCATENATE(Prequal[[#This Row],[CITY]], ", ",Prequal[[#This Row],[STATE]])</f>
        <v>Harrisburg, IL</v>
      </c>
    </row>
    <row r="518" spans="2:8" x14ac:dyDescent="0.2">
      <c r="B518" s="27" t="s">
        <v>93</v>
      </c>
      <c r="C518" s="28" t="s">
        <v>969</v>
      </c>
      <c r="D518" s="29" t="s">
        <v>29</v>
      </c>
      <c r="E518" s="30" t="s">
        <v>388</v>
      </c>
      <c r="F518" s="28" t="s">
        <v>356</v>
      </c>
      <c r="G518" s="30" t="s">
        <v>581</v>
      </c>
      <c r="H518" t="str">
        <f>CONCATENATE(Prequal[[#This Row],[CITY]], ", ",Prequal[[#This Row],[STATE]])</f>
        <v>Harrisburg, IL</v>
      </c>
    </row>
    <row r="519" spans="2:8" x14ac:dyDescent="0.2">
      <c r="B519" s="27" t="s">
        <v>94</v>
      </c>
      <c r="C519" s="28" t="s">
        <v>969</v>
      </c>
      <c r="D519" s="29" t="s">
        <v>5</v>
      </c>
      <c r="E519" s="30" t="s">
        <v>390</v>
      </c>
      <c r="F519" s="28" t="s">
        <v>356</v>
      </c>
      <c r="G519" s="30" t="s">
        <v>582</v>
      </c>
      <c r="H519" t="str">
        <f>CONCATENATE(Prequal[[#This Row],[CITY]], ", ",Prequal[[#This Row],[STATE]])</f>
        <v>Galesburg, IL</v>
      </c>
    </row>
    <row r="520" spans="2:8" x14ac:dyDescent="0.2">
      <c r="B520" s="27" t="s">
        <v>94</v>
      </c>
      <c r="C520" s="28" t="s">
        <v>969</v>
      </c>
      <c r="D520" s="29" t="s">
        <v>9</v>
      </c>
      <c r="E520" s="30" t="s">
        <v>390</v>
      </c>
      <c r="F520" s="28" t="s">
        <v>356</v>
      </c>
      <c r="G520" s="30" t="s">
        <v>582</v>
      </c>
      <c r="H520" t="str">
        <f>CONCATENATE(Prequal[[#This Row],[CITY]], ", ",Prequal[[#This Row],[STATE]])</f>
        <v>Galesburg, IL</v>
      </c>
    </row>
    <row r="521" spans="2:8" x14ac:dyDescent="0.2">
      <c r="B521" s="27" t="s">
        <v>94</v>
      </c>
      <c r="C521" s="28" t="s">
        <v>969</v>
      </c>
      <c r="D521" s="29" t="s">
        <v>10</v>
      </c>
      <c r="E521" s="30" t="s">
        <v>390</v>
      </c>
      <c r="F521" s="28" t="s">
        <v>356</v>
      </c>
      <c r="G521" s="30" t="s">
        <v>582</v>
      </c>
      <c r="H521" t="str">
        <f>CONCATENATE(Prequal[[#This Row],[CITY]], ", ",Prequal[[#This Row],[STATE]])</f>
        <v>Galesburg, IL</v>
      </c>
    </row>
    <row r="522" spans="2:8" x14ac:dyDescent="0.2">
      <c r="B522" s="27" t="s">
        <v>94</v>
      </c>
      <c r="C522" s="28" t="s">
        <v>969</v>
      </c>
      <c r="D522" s="29" t="s">
        <v>22</v>
      </c>
      <c r="E522" s="30" t="s">
        <v>390</v>
      </c>
      <c r="F522" s="28" t="s">
        <v>356</v>
      </c>
      <c r="G522" s="30" t="s">
        <v>582</v>
      </c>
      <c r="H522" t="str">
        <f>CONCATENATE(Prequal[[#This Row],[CITY]], ", ",Prequal[[#This Row],[STATE]])</f>
        <v>Galesburg, IL</v>
      </c>
    </row>
    <row r="523" spans="2:8" x14ac:dyDescent="0.2">
      <c r="B523" s="27" t="s">
        <v>94</v>
      </c>
      <c r="C523" s="28" t="s">
        <v>969</v>
      </c>
      <c r="D523" s="29" t="s">
        <v>12</v>
      </c>
      <c r="E523" s="30" t="s">
        <v>390</v>
      </c>
      <c r="F523" s="28" t="s">
        <v>356</v>
      </c>
      <c r="G523" s="30" t="s">
        <v>582</v>
      </c>
      <c r="H523" t="str">
        <f>CONCATENATE(Prequal[[#This Row],[CITY]], ", ",Prequal[[#This Row],[STATE]])</f>
        <v>Galesburg, IL</v>
      </c>
    </row>
    <row r="524" spans="2:8" x14ac:dyDescent="0.2">
      <c r="B524" s="27" t="s">
        <v>94</v>
      </c>
      <c r="C524" s="28" t="s">
        <v>969</v>
      </c>
      <c r="D524" s="29" t="s">
        <v>29</v>
      </c>
      <c r="E524" s="30" t="s">
        <v>390</v>
      </c>
      <c r="F524" s="28" t="s">
        <v>356</v>
      </c>
      <c r="G524" s="30" t="s">
        <v>582</v>
      </c>
      <c r="H524" t="str">
        <f>CONCATENATE(Prequal[[#This Row],[CITY]], ", ",Prequal[[#This Row],[STATE]])</f>
        <v>Galesburg, IL</v>
      </c>
    </row>
    <row r="525" spans="2:8" x14ac:dyDescent="0.2">
      <c r="B525" s="27" t="s">
        <v>94</v>
      </c>
      <c r="C525" s="28" t="s">
        <v>969</v>
      </c>
      <c r="D525" s="29" t="s">
        <v>37</v>
      </c>
      <c r="E525" s="30" t="s">
        <v>390</v>
      </c>
      <c r="F525" s="28" t="s">
        <v>356</v>
      </c>
      <c r="G525" s="30" t="s">
        <v>582</v>
      </c>
      <c r="H525" t="str">
        <f>CONCATENATE(Prequal[[#This Row],[CITY]], ", ",Prequal[[#This Row],[STATE]])</f>
        <v>Galesburg, IL</v>
      </c>
    </row>
    <row r="526" spans="2:8" x14ac:dyDescent="0.2">
      <c r="B526" s="27" t="s">
        <v>94</v>
      </c>
      <c r="C526" s="28" t="s">
        <v>969</v>
      </c>
      <c r="D526" s="29" t="s">
        <v>15</v>
      </c>
      <c r="E526" s="30" t="s">
        <v>390</v>
      </c>
      <c r="F526" s="28" t="s">
        <v>356</v>
      </c>
      <c r="G526" s="30" t="s">
        <v>582</v>
      </c>
      <c r="H526" t="str">
        <f>CONCATENATE(Prequal[[#This Row],[CITY]], ", ",Prequal[[#This Row],[STATE]])</f>
        <v>Galesburg, IL</v>
      </c>
    </row>
    <row r="527" spans="2:8" x14ac:dyDescent="0.2">
      <c r="B527" s="27" t="s">
        <v>938</v>
      </c>
      <c r="C527" s="28" t="s">
        <v>969</v>
      </c>
      <c r="D527" s="29" t="s">
        <v>70</v>
      </c>
      <c r="E527" s="30" t="s">
        <v>357</v>
      </c>
      <c r="F527" s="28" t="s">
        <v>356</v>
      </c>
      <c r="G527" s="30" t="s">
        <v>939</v>
      </c>
      <c r="H527" t="str">
        <f>CONCATENATE(Prequal[[#This Row],[CITY]], ", ",Prequal[[#This Row],[STATE]])</f>
        <v>Lombard, IL</v>
      </c>
    </row>
    <row r="528" spans="2:8" x14ac:dyDescent="0.2">
      <c r="B528" s="27" t="s">
        <v>1011</v>
      </c>
      <c r="C528" s="28" t="s">
        <v>969</v>
      </c>
      <c r="D528" s="29" t="s">
        <v>70</v>
      </c>
      <c r="E528" s="30" t="s">
        <v>358</v>
      </c>
      <c r="F528" s="28" t="s">
        <v>356</v>
      </c>
      <c r="G528" s="30" t="s">
        <v>1012</v>
      </c>
      <c r="H528" t="str">
        <f>CONCATENATE(Prequal[[#This Row],[CITY]], ", ",Prequal[[#This Row],[STATE]])</f>
        <v>Lisle, IL</v>
      </c>
    </row>
    <row r="529" spans="2:8" x14ac:dyDescent="0.2">
      <c r="B529" s="27" t="s">
        <v>95</v>
      </c>
      <c r="C529" s="28" t="s">
        <v>969</v>
      </c>
      <c r="D529" s="29" t="s">
        <v>43</v>
      </c>
      <c r="E529" s="30" t="s">
        <v>391</v>
      </c>
      <c r="F529" s="28" t="s">
        <v>356</v>
      </c>
      <c r="G529" s="30" t="s">
        <v>583</v>
      </c>
      <c r="H529" t="str">
        <f>CONCATENATE(Prequal[[#This Row],[CITY]], ", ",Prequal[[#This Row],[STATE]])</f>
        <v>Rosemont, IL</v>
      </c>
    </row>
    <row r="530" spans="2:8" x14ac:dyDescent="0.2">
      <c r="B530" s="27" t="s">
        <v>95</v>
      </c>
      <c r="C530" s="28" t="s">
        <v>969</v>
      </c>
      <c r="D530" s="29" t="s">
        <v>44</v>
      </c>
      <c r="E530" s="30" t="s">
        <v>391</v>
      </c>
      <c r="F530" s="28" t="s">
        <v>356</v>
      </c>
      <c r="G530" s="30" t="s">
        <v>583</v>
      </c>
      <c r="H530" t="str">
        <f>CONCATENATE(Prequal[[#This Row],[CITY]], ", ",Prequal[[#This Row],[STATE]])</f>
        <v>Rosemont, IL</v>
      </c>
    </row>
    <row r="531" spans="2:8" x14ac:dyDescent="0.2">
      <c r="B531" s="27" t="s">
        <v>95</v>
      </c>
      <c r="C531" s="28" t="s">
        <v>969</v>
      </c>
      <c r="D531" s="29" t="s">
        <v>4</v>
      </c>
      <c r="E531" s="30" t="s">
        <v>391</v>
      </c>
      <c r="F531" s="28" t="s">
        <v>356</v>
      </c>
      <c r="G531" s="30" t="s">
        <v>583</v>
      </c>
      <c r="H531" t="str">
        <f>CONCATENATE(Prequal[[#This Row],[CITY]], ", ",Prequal[[#This Row],[STATE]])</f>
        <v>Rosemont, IL</v>
      </c>
    </row>
    <row r="532" spans="2:8" x14ac:dyDescent="0.2">
      <c r="B532" s="27" t="s">
        <v>95</v>
      </c>
      <c r="C532" s="28" t="s">
        <v>969</v>
      </c>
      <c r="D532" s="29" t="s">
        <v>5</v>
      </c>
      <c r="E532" s="30" t="s">
        <v>391</v>
      </c>
      <c r="F532" s="28" t="s">
        <v>356</v>
      </c>
      <c r="G532" s="30" t="s">
        <v>583</v>
      </c>
      <c r="H532" t="str">
        <f>CONCATENATE(Prequal[[#This Row],[CITY]], ", ",Prequal[[#This Row],[STATE]])</f>
        <v>Rosemont, IL</v>
      </c>
    </row>
    <row r="533" spans="2:8" x14ac:dyDescent="0.2">
      <c r="B533" s="27" t="s">
        <v>95</v>
      </c>
      <c r="C533" s="28" t="s">
        <v>969</v>
      </c>
      <c r="D533" s="29" t="s">
        <v>6</v>
      </c>
      <c r="E533" s="30" t="s">
        <v>391</v>
      </c>
      <c r="F533" s="28" t="s">
        <v>356</v>
      </c>
      <c r="G533" s="30" t="s">
        <v>583</v>
      </c>
      <c r="H533" t="str">
        <f>CONCATENATE(Prequal[[#This Row],[CITY]], ", ",Prequal[[#This Row],[STATE]])</f>
        <v>Rosemont, IL</v>
      </c>
    </row>
    <row r="534" spans="2:8" x14ac:dyDescent="0.2">
      <c r="B534" s="27" t="s">
        <v>95</v>
      </c>
      <c r="C534" s="28" t="s">
        <v>969</v>
      </c>
      <c r="D534" s="29" t="s">
        <v>7</v>
      </c>
      <c r="E534" s="30" t="s">
        <v>391</v>
      </c>
      <c r="F534" s="28" t="s">
        <v>356</v>
      </c>
      <c r="G534" s="30" t="s">
        <v>583</v>
      </c>
      <c r="H534" t="str">
        <f>CONCATENATE(Prequal[[#This Row],[CITY]], ", ",Prequal[[#This Row],[STATE]])</f>
        <v>Rosemont, IL</v>
      </c>
    </row>
    <row r="535" spans="2:8" x14ac:dyDescent="0.2">
      <c r="B535" s="27" t="s">
        <v>95</v>
      </c>
      <c r="C535" s="28" t="s">
        <v>969</v>
      </c>
      <c r="D535" s="29" t="s">
        <v>8</v>
      </c>
      <c r="E535" s="30" t="s">
        <v>391</v>
      </c>
      <c r="F535" s="28" t="s">
        <v>356</v>
      </c>
      <c r="G535" s="30" t="s">
        <v>583</v>
      </c>
      <c r="H535" t="str">
        <f>CONCATENATE(Prequal[[#This Row],[CITY]], ", ",Prequal[[#This Row],[STATE]])</f>
        <v>Rosemont, IL</v>
      </c>
    </row>
    <row r="536" spans="2:8" x14ac:dyDescent="0.2">
      <c r="B536" s="27" t="s">
        <v>95</v>
      </c>
      <c r="C536" s="28" t="s">
        <v>969</v>
      </c>
      <c r="D536" s="29" t="s">
        <v>24</v>
      </c>
      <c r="E536" s="30" t="s">
        <v>391</v>
      </c>
      <c r="F536" s="28" t="s">
        <v>356</v>
      </c>
      <c r="G536" s="30" t="s">
        <v>583</v>
      </c>
      <c r="H536" t="str">
        <f>CONCATENATE(Prequal[[#This Row],[CITY]], ", ",Prequal[[#This Row],[STATE]])</f>
        <v>Rosemont, IL</v>
      </c>
    </row>
    <row r="537" spans="2:8" x14ac:dyDescent="0.2">
      <c r="B537" s="27" t="s">
        <v>95</v>
      </c>
      <c r="C537" s="28" t="s">
        <v>969</v>
      </c>
      <c r="D537" s="29" t="s">
        <v>25</v>
      </c>
      <c r="E537" s="30" t="s">
        <v>391</v>
      </c>
      <c r="F537" s="28" t="s">
        <v>356</v>
      </c>
      <c r="G537" s="30" t="s">
        <v>583</v>
      </c>
      <c r="H537" t="str">
        <f>CONCATENATE(Prequal[[#This Row],[CITY]], ", ",Prequal[[#This Row],[STATE]])</f>
        <v>Rosemont, IL</v>
      </c>
    </row>
    <row r="538" spans="2:8" x14ac:dyDescent="0.2">
      <c r="B538" s="27" t="s">
        <v>95</v>
      </c>
      <c r="C538" s="28" t="s">
        <v>969</v>
      </c>
      <c r="D538" s="29" t="s">
        <v>9</v>
      </c>
      <c r="E538" s="30" t="s">
        <v>391</v>
      </c>
      <c r="F538" s="28" t="s">
        <v>356</v>
      </c>
      <c r="G538" s="30" t="s">
        <v>583</v>
      </c>
      <c r="H538" t="str">
        <f>CONCATENATE(Prequal[[#This Row],[CITY]], ", ",Prequal[[#This Row],[STATE]])</f>
        <v>Rosemont, IL</v>
      </c>
    </row>
    <row r="539" spans="2:8" x14ac:dyDescent="0.2">
      <c r="B539" s="27" t="s">
        <v>95</v>
      </c>
      <c r="C539" s="28" t="s">
        <v>969</v>
      </c>
      <c r="D539" s="29" t="s">
        <v>26</v>
      </c>
      <c r="E539" s="30" t="s">
        <v>391</v>
      </c>
      <c r="F539" s="28" t="s">
        <v>356</v>
      </c>
      <c r="G539" s="30" t="s">
        <v>583</v>
      </c>
      <c r="H539" t="str">
        <f>CONCATENATE(Prequal[[#This Row],[CITY]], ", ",Prequal[[#This Row],[STATE]])</f>
        <v>Rosemont, IL</v>
      </c>
    </row>
    <row r="540" spans="2:8" x14ac:dyDescent="0.2">
      <c r="B540" s="27" t="s">
        <v>95</v>
      </c>
      <c r="C540" s="28" t="s">
        <v>969</v>
      </c>
      <c r="D540" s="29" t="s">
        <v>20</v>
      </c>
      <c r="E540" s="30" t="s">
        <v>391</v>
      </c>
      <c r="F540" s="28" t="s">
        <v>356</v>
      </c>
      <c r="G540" s="30" t="s">
        <v>583</v>
      </c>
      <c r="H540" t="str">
        <f>CONCATENATE(Prequal[[#This Row],[CITY]], ", ",Prequal[[#This Row],[STATE]])</f>
        <v>Rosemont, IL</v>
      </c>
    </row>
    <row r="541" spans="2:8" x14ac:dyDescent="0.2">
      <c r="B541" s="27" t="s">
        <v>95</v>
      </c>
      <c r="C541" s="28" t="s">
        <v>969</v>
      </c>
      <c r="D541" s="29" t="s">
        <v>49</v>
      </c>
      <c r="E541" s="30" t="s">
        <v>391</v>
      </c>
      <c r="F541" s="28" t="s">
        <v>356</v>
      </c>
      <c r="G541" s="30" t="s">
        <v>583</v>
      </c>
      <c r="H541" t="str">
        <f>CONCATENATE(Prequal[[#This Row],[CITY]], ", ",Prequal[[#This Row],[STATE]])</f>
        <v>Rosemont, IL</v>
      </c>
    </row>
    <row r="542" spans="2:8" x14ac:dyDescent="0.2">
      <c r="B542" s="27" t="s">
        <v>95</v>
      </c>
      <c r="C542" s="28" t="s">
        <v>969</v>
      </c>
      <c r="D542" s="29" t="s">
        <v>27</v>
      </c>
      <c r="E542" s="30" t="s">
        <v>391</v>
      </c>
      <c r="F542" s="28" t="s">
        <v>356</v>
      </c>
      <c r="G542" s="30" t="s">
        <v>583</v>
      </c>
      <c r="H542" t="str">
        <f>CONCATENATE(Prequal[[#This Row],[CITY]], ", ",Prequal[[#This Row],[STATE]])</f>
        <v>Rosemont, IL</v>
      </c>
    </row>
    <row r="543" spans="2:8" x14ac:dyDescent="0.2">
      <c r="B543" s="27" t="s">
        <v>95</v>
      </c>
      <c r="C543" s="28" t="s">
        <v>969</v>
      </c>
      <c r="D543" s="29" t="s">
        <v>10</v>
      </c>
      <c r="E543" s="30" t="s">
        <v>391</v>
      </c>
      <c r="F543" s="28" t="s">
        <v>356</v>
      </c>
      <c r="G543" s="30" t="s">
        <v>583</v>
      </c>
      <c r="H543" t="str">
        <f>CONCATENATE(Prequal[[#This Row],[CITY]], ", ",Prequal[[#This Row],[STATE]])</f>
        <v>Rosemont, IL</v>
      </c>
    </row>
    <row r="544" spans="2:8" x14ac:dyDescent="0.2">
      <c r="B544" s="27" t="s">
        <v>95</v>
      </c>
      <c r="C544" s="28" t="s">
        <v>969</v>
      </c>
      <c r="D544" s="29" t="s">
        <v>21</v>
      </c>
      <c r="E544" s="30" t="s">
        <v>391</v>
      </c>
      <c r="F544" s="28" t="s">
        <v>356</v>
      </c>
      <c r="G544" s="30" t="s">
        <v>583</v>
      </c>
      <c r="H544" t="str">
        <f>CONCATENATE(Prequal[[#This Row],[CITY]], ", ",Prequal[[#This Row],[STATE]])</f>
        <v>Rosemont, IL</v>
      </c>
    </row>
    <row r="545" spans="2:8" x14ac:dyDescent="0.2">
      <c r="B545" s="27" t="s">
        <v>95</v>
      </c>
      <c r="C545" s="28" t="s">
        <v>969</v>
      </c>
      <c r="D545" s="29" t="s">
        <v>11</v>
      </c>
      <c r="E545" s="30" t="s">
        <v>391</v>
      </c>
      <c r="F545" s="28" t="s">
        <v>356</v>
      </c>
      <c r="G545" s="30" t="s">
        <v>583</v>
      </c>
      <c r="H545" t="str">
        <f>CONCATENATE(Prequal[[#This Row],[CITY]], ", ",Prequal[[#This Row],[STATE]])</f>
        <v>Rosemont, IL</v>
      </c>
    </row>
    <row r="546" spans="2:8" x14ac:dyDescent="0.2">
      <c r="B546" s="27" t="s">
        <v>95</v>
      </c>
      <c r="C546" s="28" t="s">
        <v>969</v>
      </c>
      <c r="D546" s="29" t="s">
        <v>22</v>
      </c>
      <c r="E546" s="30" t="s">
        <v>391</v>
      </c>
      <c r="F546" s="28" t="s">
        <v>356</v>
      </c>
      <c r="G546" s="30" t="s">
        <v>583</v>
      </c>
      <c r="H546" t="str">
        <f>CONCATENATE(Prequal[[#This Row],[CITY]], ", ",Prequal[[#This Row],[STATE]])</f>
        <v>Rosemont, IL</v>
      </c>
    </row>
    <row r="547" spans="2:8" x14ac:dyDescent="0.2">
      <c r="B547" s="27" t="s">
        <v>95</v>
      </c>
      <c r="C547" s="28" t="s">
        <v>969</v>
      </c>
      <c r="D547" s="29" t="s">
        <v>39</v>
      </c>
      <c r="E547" s="30" t="s">
        <v>391</v>
      </c>
      <c r="F547" s="28" t="s">
        <v>356</v>
      </c>
      <c r="G547" s="30" t="s">
        <v>583</v>
      </c>
      <c r="H547" t="str">
        <f>CONCATENATE(Prequal[[#This Row],[CITY]], ", ",Prequal[[#This Row],[STATE]])</f>
        <v>Rosemont, IL</v>
      </c>
    </row>
    <row r="548" spans="2:8" x14ac:dyDescent="0.2">
      <c r="B548" s="27" t="s">
        <v>95</v>
      </c>
      <c r="C548" s="28" t="s">
        <v>969</v>
      </c>
      <c r="D548" s="29" t="s">
        <v>12</v>
      </c>
      <c r="E548" s="30" t="s">
        <v>391</v>
      </c>
      <c r="F548" s="28" t="s">
        <v>356</v>
      </c>
      <c r="G548" s="30" t="s">
        <v>583</v>
      </c>
      <c r="H548" t="str">
        <f>CONCATENATE(Prequal[[#This Row],[CITY]], ", ",Prequal[[#This Row],[STATE]])</f>
        <v>Rosemont, IL</v>
      </c>
    </row>
    <row r="549" spans="2:8" x14ac:dyDescent="0.2">
      <c r="B549" s="27" t="s">
        <v>95</v>
      </c>
      <c r="C549" s="28" t="s">
        <v>969</v>
      </c>
      <c r="D549" s="29" t="s">
        <v>29</v>
      </c>
      <c r="E549" s="30" t="s">
        <v>391</v>
      </c>
      <c r="F549" s="28" t="s">
        <v>356</v>
      </c>
      <c r="G549" s="30" t="s">
        <v>583</v>
      </c>
      <c r="H549" t="str">
        <f>CONCATENATE(Prequal[[#This Row],[CITY]], ", ",Prequal[[#This Row],[STATE]])</f>
        <v>Rosemont, IL</v>
      </c>
    </row>
    <row r="550" spans="2:8" x14ac:dyDescent="0.2">
      <c r="B550" s="27" t="s">
        <v>95</v>
      </c>
      <c r="C550" s="28" t="s">
        <v>969</v>
      </c>
      <c r="D550" s="29" t="s">
        <v>37</v>
      </c>
      <c r="E550" s="30" t="s">
        <v>391</v>
      </c>
      <c r="F550" s="28" t="s">
        <v>356</v>
      </c>
      <c r="G550" s="30" t="s">
        <v>583</v>
      </c>
      <c r="H550" t="str">
        <f>CONCATENATE(Prequal[[#This Row],[CITY]], ", ",Prequal[[#This Row],[STATE]])</f>
        <v>Rosemont, IL</v>
      </c>
    </row>
    <row r="551" spans="2:8" x14ac:dyDescent="0.2">
      <c r="B551" s="27" t="s">
        <v>95</v>
      </c>
      <c r="C551" s="28" t="s">
        <v>969</v>
      </c>
      <c r="D551" s="29" t="s">
        <v>13</v>
      </c>
      <c r="E551" s="30" t="s">
        <v>391</v>
      </c>
      <c r="F551" s="28" t="s">
        <v>356</v>
      </c>
      <c r="G551" s="30" t="s">
        <v>583</v>
      </c>
      <c r="H551" t="str">
        <f>CONCATENATE(Prequal[[#This Row],[CITY]], ", ",Prequal[[#This Row],[STATE]])</f>
        <v>Rosemont, IL</v>
      </c>
    </row>
    <row r="552" spans="2:8" x14ac:dyDescent="0.2">
      <c r="B552" s="27" t="s">
        <v>95</v>
      </c>
      <c r="C552" s="28" t="s">
        <v>969</v>
      </c>
      <c r="D552" s="29" t="s">
        <v>52</v>
      </c>
      <c r="E552" s="30" t="s">
        <v>391</v>
      </c>
      <c r="F552" s="28" t="s">
        <v>356</v>
      </c>
      <c r="G552" s="30" t="s">
        <v>583</v>
      </c>
      <c r="H552" t="str">
        <f>CONCATENATE(Prequal[[#This Row],[CITY]], ", ",Prequal[[#This Row],[STATE]])</f>
        <v>Rosemont, IL</v>
      </c>
    </row>
    <row r="553" spans="2:8" x14ac:dyDescent="0.2">
      <c r="B553" s="27" t="s">
        <v>95</v>
      </c>
      <c r="C553" s="28" t="s">
        <v>969</v>
      </c>
      <c r="D553" s="29" t="s">
        <v>14</v>
      </c>
      <c r="E553" s="30" t="s">
        <v>391</v>
      </c>
      <c r="F553" s="28" t="s">
        <v>356</v>
      </c>
      <c r="G553" s="30" t="s">
        <v>583</v>
      </c>
      <c r="H553" t="str">
        <f>CONCATENATE(Prequal[[#This Row],[CITY]], ", ",Prequal[[#This Row],[STATE]])</f>
        <v>Rosemont, IL</v>
      </c>
    </row>
    <row r="554" spans="2:8" x14ac:dyDescent="0.2">
      <c r="B554" s="27" t="s">
        <v>95</v>
      </c>
      <c r="C554" s="28" t="s">
        <v>969</v>
      </c>
      <c r="D554" s="29" t="s">
        <v>15</v>
      </c>
      <c r="E554" s="30" t="s">
        <v>391</v>
      </c>
      <c r="F554" s="28" t="s">
        <v>356</v>
      </c>
      <c r="G554" s="30" t="s">
        <v>583</v>
      </c>
      <c r="H554" t="str">
        <f>CONCATENATE(Prequal[[#This Row],[CITY]], ", ",Prequal[[#This Row],[STATE]])</f>
        <v>Rosemont, IL</v>
      </c>
    </row>
    <row r="555" spans="2:8" x14ac:dyDescent="0.2">
      <c r="B555" s="27" t="s">
        <v>95</v>
      </c>
      <c r="C555" s="28" t="s">
        <v>969</v>
      </c>
      <c r="D555" s="29" t="s">
        <v>30</v>
      </c>
      <c r="E555" s="30" t="s">
        <v>391</v>
      </c>
      <c r="F555" s="28" t="s">
        <v>356</v>
      </c>
      <c r="G555" s="30" t="s">
        <v>583</v>
      </c>
      <c r="H555" t="str">
        <f>CONCATENATE(Prequal[[#This Row],[CITY]], ", ",Prequal[[#This Row],[STATE]])</f>
        <v>Rosemont, IL</v>
      </c>
    </row>
    <row r="556" spans="2:8" x14ac:dyDescent="0.2">
      <c r="B556" s="27" t="s">
        <v>95</v>
      </c>
      <c r="C556" s="28" t="s">
        <v>969</v>
      </c>
      <c r="D556" s="29" t="s">
        <v>31</v>
      </c>
      <c r="E556" s="30" t="s">
        <v>391</v>
      </c>
      <c r="F556" s="28" t="s">
        <v>356</v>
      </c>
      <c r="G556" s="30" t="s">
        <v>583</v>
      </c>
      <c r="H556" t="str">
        <f>CONCATENATE(Prequal[[#This Row],[CITY]], ", ",Prequal[[#This Row],[STATE]])</f>
        <v>Rosemont, IL</v>
      </c>
    </row>
    <row r="557" spans="2:8" x14ac:dyDescent="0.2">
      <c r="B557" s="27" t="s">
        <v>95</v>
      </c>
      <c r="C557" s="28" t="s">
        <v>969</v>
      </c>
      <c r="D557" s="29" t="s">
        <v>32</v>
      </c>
      <c r="E557" s="30" t="s">
        <v>391</v>
      </c>
      <c r="F557" s="28" t="s">
        <v>356</v>
      </c>
      <c r="G557" s="30" t="s">
        <v>583</v>
      </c>
      <c r="H557" t="str">
        <f>CONCATENATE(Prequal[[#This Row],[CITY]], ", ",Prequal[[#This Row],[STATE]])</f>
        <v>Rosemont, IL</v>
      </c>
    </row>
    <row r="558" spans="2:8" x14ac:dyDescent="0.2">
      <c r="B558" s="27" t="s">
        <v>96</v>
      </c>
      <c r="C558" s="28" t="s">
        <v>969</v>
      </c>
      <c r="D558" s="29" t="s">
        <v>35</v>
      </c>
      <c r="E558" s="30" t="s">
        <v>947</v>
      </c>
      <c r="F558" s="28" t="s">
        <v>356</v>
      </c>
      <c r="G558" s="30" t="s">
        <v>584</v>
      </c>
      <c r="H558" t="str">
        <f>CONCATENATE(Prequal[[#This Row],[CITY]], ", ",Prequal[[#This Row],[STATE]])</f>
        <v>Chicago, IL</v>
      </c>
    </row>
    <row r="559" spans="2:8" x14ac:dyDescent="0.2">
      <c r="B559" s="27" t="s">
        <v>96</v>
      </c>
      <c r="C559" s="28" t="s">
        <v>969</v>
      </c>
      <c r="D559" s="29" t="s">
        <v>36</v>
      </c>
      <c r="E559" s="30" t="s">
        <v>947</v>
      </c>
      <c r="F559" s="28" t="s">
        <v>356</v>
      </c>
      <c r="G559" s="30" t="s">
        <v>584</v>
      </c>
      <c r="H559" t="str">
        <f>CONCATENATE(Prequal[[#This Row],[CITY]], ", ",Prequal[[#This Row],[STATE]])</f>
        <v>Chicago, IL</v>
      </c>
    </row>
    <row r="560" spans="2:8" x14ac:dyDescent="0.2">
      <c r="B560" s="27" t="s">
        <v>96</v>
      </c>
      <c r="C560" s="28" t="s">
        <v>969</v>
      </c>
      <c r="D560" s="29" t="s">
        <v>125</v>
      </c>
      <c r="E560" s="30" t="s">
        <v>947</v>
      </c>
      <c r="F560" s="28" t="s">
        <v>356</v>
      </c>
      <c r="G560" s="30" t="s">
        <v>584</v>
      </c>
      <c r="H560" t="str">
        <f>CONCATENATE(Prequal[[#This Row],[CITY]], ", ",Prequal[[#This Row],[STATE]])</f>
        <v>Chicago, IL</v>
      </c>
    </row>
    <row r="561" spans="2:8" x14ac:dyDescent="0.2">
      <c r="B561" s="27" t="s">
        <v>96</v>
      </c>
      <c r="C561" s="28" t="s">
        <v>969</v>
      </c>
      <c r="D561" s="29" t="s">
        <v>42</v>
      </c>
      <c r="E561" s="30" t="s">
        <v>947</v>
      </c>
      <c r="F561" s="28" t="s">
        <v>356</v>
      </c>
      <c r="G561" s="30" t="s">
        <v>584</v>
      </c>
      <c r="H561" t="str">
        <f>CONCATENATE(Prequal[[#This Row],[CITY]], ", ",Prequal[[#This Row],[STATE]])</f>
        <v>Chicago, IL</v>
      </c>
    </row>
    <row r="562" spans="2:8" x14ac:dyDescent="0.2">
      <c r="B562" s="27" t="s">
        <v>96</v>
      </c>
      <c r="C562" s="28" t="s">
        <v>969</v>
      </c>
      <c r="D562" s="29" t="s">
        <v>43</v>
      </c>
      <c r="E562" s="30" t="s">
        <v>947</v>
      </c>
      <c r="F562" s="28" t="s">
        <v>356</v>
      </c>
      <c r="G562" s="30" t="s">
        <v>584</v>
      </c>
      <c r="H562" t="str">
        <f>CONCATENATE(Prequal[[#This Row],[CITY]], ", ",Prequal[[#This Row],[STATE]])</f>
        <v>Chicago, IL</v>
      </c>
    </row>
    <row r="563" spans="2:8" x14ac:dyDescent="0.2">
      <c r="B563" s="27" t="s">
        <v>96</v>
      </c>
      <c r="C563" s="28" t="s">
        <v>969</v>
      </c>
      <c r="D563" s="29" t="s">
        <v>44</v>
      </c>
      <c r="E563" s="30" t="s">
        <v>947</v>
      </c>
      <c r="F563" s="28" t="s">
        <v>356</v>
      </c>
      <c r="G563" s="30" t="s">
        <v>584</v>
      </c>
      <c r="H563" t="str">
        <f>CONCATENATE(Prequal[[#This Row],[CITY]], ", ",Prequal[[#This Row],[STATE]])</f>
        <v>Chicago, IL</v>
      </c>
    </row>
    <row r="564" spans="2:8" x14ac:dyDescent="0.2">
      <c r="B564" s="27" t="s">
        <v>96</v>
      </c>
      <c r="C564" s="28" t="s">
        <v>969</v>
      </c>
      <c r="D564" s="29" t="s">
        <v>4</v>
      </c>
      <c r="E564" s="30" t="s">
        <v>947</v>
      </c>
      <c r="F564" s="28" t="s">
        <v>356</v>
      </c>
      <c r="G564" s="30" t="s">
        <v>584</v>
      </c>
      <c r="H564" t="str">
        <f>CONCATENATE(Prequal[[#This Row],[CITY]], ", ",Prequal[[#This Row],[STATE]])</f>
        <v>Chicago, IL</v>
      </c>
    </row>
    <row r="565" spans="2:8" x14ac:dyDescent="0.2">
      <c r="B565" s="27" t="s">
        <v>96</v>
      </c>
      <c r="C565" s="28" t="s">
        <v>969</v>
      </c>
      <c r="D565" s="29" t="s">
        <v>5</v>
      </c>
      <c r="E565" s="30" t="s">
        <v>947</v>
      </c>
      <c r="F565" s="28" t="s">
        <v>356</v>
      </c>
      <c r="G565" s="30" t="s">
        <v>584</v>
      </c>
      <c r="H565" t="str">
        <f>CONCATENATE(Prequal[[#This Row],[CITY]], ", ",Prequal[[#This Row],[STATE]])</f>
        <v>Chicago, IL</v>
      </c>
    </row>
    <row r="566" spans="2:8" x14ac:dyDescent="0.2">
      <c r="B566" s="27" t="s">
        <v>96</v>
      </c>
      <c r="C566" s="28" t="s">
        <v>969</v>
      </c>
      <c r="D566" s="29" t="s">
        <v>6</v>
      </c>
      <c r="E566" s="30" t="s">
        <v>947</v>
      </c>
      <c r="F566" s="28" t="s">
        <v>356</v>
      </c>
      <c r="G566" s="30" t="s">
        <v>584</v>
      </c>
      <c r="H566" t="str">
        <f>CONCATENATE(Prequal[[#This Row],[CITY]], ", ",Prequal[[#This Row],[STATE]])</f>
        <v>Chicago, IL</v>
      </c>
    </row>
    <row r="567" spans="2:8" x14ac:dyDescent="0.2">
      <c r="B567" s="27" t="s">
        <v>96</v>
      </c>
      <c r="C567" s="28" t="s">
        <v>969</v>
      </c>
      <c r="D567" s="29" t="s">
        <v>7</v>
      </c>
      <c r="E567" s="30" t="s">
        <v>947</v>
      </c>
      <c r="F567" s="28" t="s">
        <v>356</v>
      </c>
      <c r="G567" s="30" t="s">
        <v>584</v>
      </c>
      <c r="H567" t="str">
        <f>CONCATENATE(Prequal[[#This Row],[CITY]], ", ",Prequal[[#This Row],[STATE]])</f>
        <v>Chicago, IL</v>
      </c>
    </row>
    <row r="568" spans="2:8" x14ac:dyDescent="0.2">
      <c r="B568" s="27" t="s">
        <v>96</v>
      </c>
      <c r="C568" s="28" t="s">
        <v>969</v>
      </c>
      <c r="D568" s="29" t="s">
        <v>8</v>
      </c>
      <c r="E568" s="30" t="s">
        <v>947</v>
      </c>
      <c r="F568" s="28" t="s">
        <v>356</v>
      </c>
      <c r="G568" s="30" t="s">
        <v>584</v>
      </c>
      <c r="H568" t="str">
        <f>CONCATENATE(Prequal[[#This Row],[CITY]], ", ",Prequal[[#This Row],[STATE]])</f>
        <v>Chicago, IL</v>
      </c>
    </row>
    <row r="569" spans="2:8" x14ac:dyDescent="0.2">
      <c r="B569" s="27" t="s">
        <v>96</v>
      </c>
      <c r="C569" s="28" t="s">
        <v>969</v>
      </c>
      <c r="D569" s="29" t="s">
        <v>24</v>
      </c>
      <c r="E569" s="30" t="s">
        <v>947</v>
      </c>
      <c r="F569" s="28" t="s">
        <v>356</v>
      </c>
      <c r="G569" s="30" t="s">
        <v>584</v>
      </c>
      <c r="H569" t="str">
        <f>CONCATENATE(Prequal[[#This Row],[CITY]], ", ",Prequal[[#This Row],[STATE]])</f>
        <v>Chicago, IL</v>
      </c>
    </row>
    <row r="570" spans="2:8" x14ac:dyDescent="0.2">
      <c r="B570" s="27" t="s">
        <v>96</v>
      </c>
      <c r="C570" s="28" t="s">
        <v>969</v>
      </c>
      <c r="D570" s="29" t="s">
        <v>25</v>
      </c>
      <c r="E570" s="30" t="s">
        <v>947</v>
      </c>
      <c r="F570" s="28" t="s">
        <v>356</v>
      </c>
      <c r="G570" s="30" t="s">
        <v>584</v>
      </c>
      <c r="H570" t="str">
        <f>CONCATENATE(Prequal[[#This Row],[CITY]], ", ",Prequal[[#This Row],[STATE]])</f>
        <v>Chicago, IL</v>
      </c>
    </row>
    <row r="571" spans="2:8" x14ac:dyDescent="0.2">
      <c r="B571" s="27" t="s">
        <v>96</v>
      </c>
      <c r="C571" s="28" t="s">
        <v>969</v>
      </c>
      <c r="D571" s="29" t="s">
        <v>9</v>
      </c>
      <c r="E571" s="30" t="s">
        <v>947</v>
      </c>
      <c r="F571" s="28" t="s">
        <v>356</v>
      </c>
      <c r="G571" s="30" t="s">
        <v>584</v>
      </c>
      <c r="H571" t="str">
        <f>CONCATENATE(Prequal[[#This Row],[CITY]], ", ",Prequal[[#This Row],[STATE]])</f>
        <v>Chicago, IL</v>
      </c>
    </row>
    <row r="572" spans="2:8" x14ac:dyDescent="0.2">
      <c r="B572" s="27" t="s">
        <v>96</v>
      </c>
      <c r="C572" s="28" t="s">
        <v>969</v>
      </c>
      <c r="D572" s="29" t="s">
        <v>26</v>
      </c>
      <c r="E572" s="30" t="s">
        <v>947</v>
      </c>
      <c r="F572" s="28" t="s">
        <v>356</v>
      </c>
      <c r="G572" s="30" t="s">
        <v>584</v>
      </c>
      <c r="H572" t="str">
        <f>CONCATENATE(Prequal[[#This Row],[CITY]], ", ",Prequal[[#This Row],[STATE]])</f>
        <v>Chicago, IL</v>
      </c>
    </row>
    <row r="573" spans="2:8" x14ac:dyDescent="0.2">
      <c r="B573" s="27" t="s">
        <v>96</v>
      </c>
      <c r="C573" s="28" t="s">
        <v>969</v>
      </c>
      <c r="D573" s="29" t="s">
        <v>20</v>
      </c>
      <c r="E573" s="30" t="s">
        <v>947</v>
      </c>
      <c r="F573" s="28" t="s">
        <v>356</v>
      </c>
      <c r="G573" s="30" t="s">
        <v>584</v>
      </c>
      <c r="H573" t="str">
        <f>CONCATENATE(Prequal[[#This Row],[CITY]], ", ",Prequal[[#This Row],[STATE]])</f>
        <v>Chicago, IL</v>
      </c>
    </row>
    <row r="574" spans="2:8" x14ac:dyDescent="0.2">
      <c r="B574" s="27" t="s">
        <v>96</v>
      </c>
      <c r="C574" s="28" t="s">
        <v>969</v>
      </c>
      <c r="D574" s="29" t="s">
        <v>49</v>
      </c>
      <c r="E574" s="30" t="s">
        <v>947</v>
      </c>
      <c r="F574" s="28" t="s">
        <v>356</v>
      </c>
      <c r="G574" s="30" t="s">
        <v>584</v>
      </c>
      <c r="H574" t="str">
        <f>CONCATENATE(Prequal[[#This Row],[CITY]], ", ",Prequal[[#This Row],[STATE]])</f>
        <v>Chicago, IL</v>
      </c>
    </row>
    <row r="575" spans="2:8" x14ac:dyDescent="0.2">
      <c r="B575" s="27" t="s">
        <v>96</v>
      </c>
      <c r="C575" s="28" t="s">
        <v>969</v>
      </c>
      <c r="D575" s="29" t="s">
        <v>27</v>
      </c>
      <c r="E575" s="30" t="s">
        <v>947</v>
      </c>
      <c r="F575" s="28" t="s">
        <v>356</v>
      </c>
      <c r="G575" s="30" t="s">
        <v>584</v>
      </c>
      <c r="H575" t="str">
        <f>CONCATENATE(Prequal[[#This Row],[CITY]], ", ",Prequal[[#This Row],[STATE]])</f>
        <v>Chicago, IL</v>
      </c>
    </row>
    <row r="576" spans="2:8" x14ac:dyDescent="0.2">
      <c r="B576" s="27" t="s">
        <v>96</v>
      </c>
      <c r="C576" s="28" t="s">
        <v>969</v>
      </c>
      <c r="D576" s="29" t="s">
        <v>10</v>
      </c>
      <c r="E576" s="30" t="s">
        <v>947</v>
      </c>
      <c r="F576" s="28" t="s">
        <v>356</v>
      </c>
      <c r="G576" s="30" t="s">
        <v>584</v>
      </c>
      <c r="H576" t="str">
        <f>CONCATENATE(Prequal[[#This Row],[CITY]], ", ",Prequal[[#This Row],[STATE]])</f>
        <v>Chicago, IL</v>
      </c>
    </row>
    <row r="577" spans="2:8" x14ac:dyDescent="0.2">
      <c r="B577" s="27" t="s">
        <v>96</v>
      </c>
      <c r="C577" s="28" t="s">
        <v>969</v>
      </c>
      <c r="D577" s="29" t="s">
        <v>21</v>
      </c>
      <c r="E577" s="30" t="s">
        <v>947</v>
      </c>
      <c r="F577" s="28" t="s">
        <v>356</v>
      </c>
      <c r="G577" s="30" t="s">
        <v>584</v>
      </c>
      <c r="H577" t="str">
        <f>CONCATENATE(Prequal[[#This Row],[CITY]], ", ",Prequal[[#This Row],[STATE]])</f>
        <v>Chicago, IL</v>
      </c>
    </row>
    <row r="578" spans="2:8" x14ac:dyDescent="0.2">
      <c r="B578" s="27" t="s">
        <v>96</v>
      </c>
      <c r="C578" s="28" t="s">
        <v>969</v>
      </c>
      <c r="D578" s="29" t="s">
        <v>11</v>
      </c>
      <c r="E578" s="30" t="s">
        <v>947</v>
      </c>
      <c r="F578" s="28" t="s">
        <v>356</v>
      </c>
      <c r="G578" s="30" t="s">
        <v>584</v>
      </c>
      <c r="H578" t="str">
        <f>CONCATENATE(Prequal[[#This Row],[CITY]], ", ",Prequal[[#This Row],[STATE]])</f>
        <v>Chicago, IL</v>
      </c>
    </row>
    <row r="579" spans="2:8" x14ac:dyDescent="0.2">
      <c r="B579" s="31" t="s">
        <v>96</v>
      </c>
      <c r="C579" s="32" t="s">
        <v>969</v>
      </c>
      <c r="D579" s="33" t="s">
        <v>22</v>
      </c>
      <c r="E579" s="30" t="s">
        <v>947</v>
      </c>
      <c r="F579" s="32" t="s">
        <v>356</v>
      </c>
      <c r="G579" s="30" t="s">
        <v>584</v>
      </c>
      <c r="H579" t="str">
        <f>CONCATENATE(Prequal[[#This Row],[CITY]], ", ",Prequal[[#This Row],[STATE]])</f>
        <v>Chicago, IL</v>
      </c>
    </row>
    <row r="580" spans="2:8" x14ac:dyDescent="0.2">
      <c r="B580" s="31" t="s">
        <v>96</v>
      </c>
      <c r="C580" s="32" t="s">
        <v>969</v>
      </c>
      <c r="D580" s="33" t="s">
        <v>39</v>
      </c>
      <c r="E580" s="30" t="s">
        <v>947</v>
      </c>
      <c r="F580" s="32" t="s">
        <v>356</v>
      </c>
      <c r="G580" s="30" t="s">
        <v>584</v>
      </c>
      <c r="H580" t="str">
        <f>CONCATENATE(Prequal[[#This Row],[CITY]], ", ",Prequal[[#This Row],[STATE]])</f>
        <v>Chicago, IL</v>
      </c>
    </row>
    <row r="581" spans="2:8" x14ac:dyDescent="0.2">
      <c r="B581" s="31" t="s">
        <v>96</v>
      </c>
      <c r="C581" s="32" t="s">
        <v>969</v>
      </c>
      <c r="D581" s="33" t="s">
        <v>12</v>
      </c>
      <c r="E581" s="30" t="s">
        <v>947</v>
      </c>
      <c r="F581" s="32" t="s">
        <v>356</v>
      </c>
      <c r="G581" s="30" t="s">
        <v>584</v>
      </c>
      <c r="H581" t="str">
        <f>CONCATENATE(Prequal[[#This Row],[CITY]], ", ",Prequal[[#This Row],[STATE]])</f>
        <v>Chicago, IL</v>
      </c>
    </row>
    <row r="582" spans="2:8" x14ac:dyDescent="0.2">
      <c r="B582" s="31" t="s">
        <v>96</v>
      </c>
      <c r="C582" s="32" t="s">
        <v>969</v>
      </c>
      <c r="D582" s="33" t="s">
        <v>37</v>
      </c>
      <c r="E582" s="30" t="s">
        <v>947</v>
      </c>
      <c r="F582" s="32" t="s">
        <v>356</v>
      </c>
      <c r="G582" s="30" t="s">
        <v>584</v>
      </c>
      <c r="H582" t="str">
        <f>CONCATENATE(Prequal[[#This Row],[CITY]], ", ",Prequal[[#This Row],[STATE]])</f>
        <v>Chicago, IL</v>
      </c>
    </row>
    <row r="583" spans="2:8" x14ac:dyDescent="0.2">
      <c r="B583" s="31" t="s">
        <v>96</v>
      </c>
      <c r="C583" s="32" t="s">
        <v>969</v>
      </c>
      <c r="D583" s="33" t="s">
        <v>13</v>
      </c>
      <c r="E583" s="30" t="s">
        <v>947</v>
      </c>
      <c r="F583" s="32" t="s">
        <v>356</v>
      </c>
      <c r="G583" s="30" t="s">
        <v>584</v>
      </c>
      <c r="H583" t="str">
        <f>CONCATENATE(Prequal[[#This Row],[CITY]], ", ",Prequal[[#This Row],[STATE]])</f>
        <v>Chicago, IL</v>
      </c>
    </row>
    <row r="584" spans="2:8" x14ac:dyDescent="0.2">
      <c r="B584" s="31" t="s">
        <v>96</v>
      </c>
      <c r="C584" s="32" t="s">
        <v>969</v>
      </c>
      <c r="D584" s="33" t="s">
        <v>14</v>
      </c>
      <c r="E584" s="30" t="s">
        <v>947</v>
      </c>
      <c r="F584" s="32" t="s">
        <v>356</v>
      </c>
      <c r="G584" s="30" t="s">
        <v>584</v>
      </c>
      <c r="H584" t="str">
        <f>CONCATENATE(Prequal[[#This Row],[CITY]], ", ",Prequal[[#This Row],[STATE]])</f>
        <v>Chicago, IL</v>
      </c>
    </row>
    <row r="585" spans="2:8" x14ac:dyDescent="0.2">
      <c r="B585" s="31" t="s">
        <v>96</v>
      </c>
      <c r="C585" s="32" t="s">
        <v>969</v>
      </c>
      <c r="D585" s="33" t="s">
        <v>15</v>
      </c>
      <c r="E585" s="30" t="s">
        <v>947</v>
      </c>
      <c r="F585" s="32" t="s">
        <v>356</v>
      </c>
      <c r="G585" s="30" t="s">
        <v>584</v>
      </c>
      <c r="H585" t="str">
        <f>CONCATENATE(Prequal[[#This Row],[CITY]], ", ",Prequal[[#This Row],[STATE]])</f>
        <v>Chicago, IL</v>
      </c>
    </row>
    <row r="586" spans="2:8" x14ac:dyDescent="0.2">
      <c r="B586" s="27" t="s">
        <v>96</v>
      </c>
      <c r="C586" s="28" t="s">
        <v>969</v>
      </c>
      <c r="D586" s="29" t="s">
        <v>30</v>
      </c>
      <c r="E586" s="30" t="s">
        <v>947</v>
      </c>
      <c r="F586" s="28" t="s">
        <v>356</v>
      </c>
      <c r="G586" s="30" t="s">
        <v>584</v>
      </c>
      <c r="H586" t="str">
        <f>CONCATENATE(Prequal[[#This Row],[CITY]], ", ",Prequal[[#This Row],[STATE]])</f>
        <v>Chicago, IL</v>
      </c>
    </row>
    <row r="587" spans="2:8" x14ac:dyDescent="0.2">
      <c r="B587" s="27" t="s">
        <v>96</v>
      </c>
      <c r="C587" s="28" t="s">
        <v>969</v>
      </c>
      <c r="D587" s="29" t="s">
        <v>53</v>
      </c>
      <c r="E587" s="30" t="s">
        <v>947</v>
      </c>
      <c r="F587" s="28" t="s">
        <v>356</v>
      </c>
      <c r="G587" s="30" t="s">
        <v>584</v>
      </c>
      <c r="H587" t="str">
        <f>CONCATENATE(Prequal[[#This Row],[CITY]], ", ",Prequal[[#This Row],[STATE]])</f>
        <v>Chicago, IL</v>
      </c>
    </row>
    <row r="588" spans="2:8" x14ac:dyDescent="0.2">
      <c r="B588" s="27" t="s">
        <v>96</v>
      </c>
      <c r="C588" s="28" t="s">
        <v>969</v>
      </c>
      <c r="D588" s="29" t="s">
        <v>31</v>
      </c>
      <c r="E588" s="30" t="s">
        <v>947</v>
      </c>
      <c r="F588" s="28" t="s">
        <v>356</v>
      </c>
      <c r="G588" s="30" t="s">
        <v>584</v>
      </c>
      <c r="H588" t="str">
        <f>CONCATENATE(Prequal[[#This Row],[CITY]], ", ",Prequal[[#This Row],[STATE]])</f>
        <v>Chicago, IL</v>
      </c>
    </row>
    <row r="589" spans="2:8" x14ac:dyDescent="0.2">
      <c r="B589" s="27" t="s">
        <v>96</v>
      </c>
      <c r="C589" s="28" t="s">
        <v>969</v>
      </c>
      <c r="D589" s="29" t="s">
        <v>32</v>
      </c>
      <c r="E589" s="30" t="s">
        <v>947</v>
      </c>
      <c r="F589" s="28" t="s">
        <v>356</v>
      </c>
      <c r="G589" s="30" t="s">
        <v>584</v>
      </c>
      <c r="H589" t="str">
        <f>CONCATENATE(Prequal[[#This Row],[CITY]], ", ",Prequal[[#This Row],[STATE]])</f>
        <v>Chicago, IL</v>
      </c>
    </row>
    <row r="590" spans="2:8" x14ac:dyDescent="0.2">
      <c r="B590" s="27" t="s">
        <v>96</v>
      </c>
      <c r="C590" s="28" t="s">
        <v>969</v>
      </c>
      <c r="D590" s="29" t="s">
        <v>54</v>
      </c>
      <c r="E590" s="30" t="s">
        <v>947</v>
      </c>
      <c r="F590" s="28" t="s">
        <v>356</v>
      </c>
      <c r="G590" s="30" t="s">
        <v>584</v>
      </c>
      <c r="H590" t="str">
        <f>CONCATENATE(Prequal[[#This Row],[CITY]], ", ",Prequal[[#This Row],[STATE]])</f>
        <v>Chicago, IL</v>
      </c>
    </row>
    <row r="591" spans="2:8" x14ac:dyDescent="0.2">
      <c r="B591" s="27" t="s">
        <v>96</v>
      </c>
      <c r="C591" s="28" t="s">
        <v>969</v>
      </c>
      <c r="D591" s="29" t="s">
        <v>38</v>
      </c>
      <c r="E591" s="30" t="s">
        <v>947</v>
      </c>
      <c r="F591" s="28" t="s">
        <v>356</v>
      </c>
      <c r="G591" s="30" t="s">
        <v>584</v>
      </c>
      <c r="H591" t="str">
        <f>CONCATENATE(Prequal[[#This Row],[CITY]], ", ",Prequal[[#This Row],[STATE]])</f>
        <v>Chicago, IL</v>
      </c>
    </row>
    <row r="592" spans="2:8" x14ac:dyDescent="0.2">
      <c r="B592" s="27" t="s">
        <v>96</v>
      </c>
      <c r="C592" s="28" t="s">
        <v>969</v>
      </c>
      <c r="D592" s="29" t="s">
        <v>55</v>
      </c>
      <c r="E592" s="30" t="s">
        <v>947</v>
      </c>
      <c r="F592" s="28" t="s">
        <v>356</v>
      </c>
      <c r="G592" s="30" t="s">
        <v>584</v>
      </c>
      <c r="H592" t="str">
        <f>CONCATENATE(Prequal[[#This Row],[CITY]], ", ",Prequal[[#This Row],[STATE]])</f>
        <v>Chicago, IL</v>
      </c>
    </row>
    <row r="593" spans="2:8" x14ac:dyDescent="0.2">
      <c r="B593" s="27" t="s">
        <v>96</v>
      </c>
      <c r="C593" s="28" t="s">
        <v>969</v>
      </c>
      <c r="D593" s="29" t="s">
        <v>33</v>
      </c>
      <c r="E593" s="30" t="s">
        <v>947</v>
      </c>
      <c r="F593" s="28" t="s">
        <v>356</v>
      </c>
      <c r="G593" s="30" t="s">
        <v>584</v>
      </c>
      <c r="H593" t="str">
        <f>CONCATENATE(Prequal[[#This Row],[CITY]], ", ",Prequal[[#This Row],[STATE]])</f>
        <v>Chicago, IL</v>
      </c>
    </row>
    <row r="594" spans="2:8" x14ac:dyDescent="0.2">
      <c r="B594" s="27" t="s">
        <v>97</v>
      </c>
      <c r="C594" s="28" t="s">
        <v>970</v>
      </c>
      <c r="D594" s="29" t="s">
        <v>125</v>
      </c>
      <c r="E594" s="30" t="s">
        <v>392</v>
      </c>
      <c r="F594" s="28" t="s">
        <v>393</v>
      </c>
      <c r="G594" s="30" t="s">
        <v>585</v>
      </c>
      <c r="H594" t="str">
        <f>CONCATENATE(Prequal[[#This Row],[CITY]], ", ",Prequal[[#This Row],[STATE]])</f>
        <v>Rockville, MD</v>
      </c>
    </row>
    <row r="595" spans="2:8" x14ac:dyDescent="0.2">
      <c r="B595" s="27" t="s">
        <v>97</v>
      </c>
      <c r="C595" s="28" t="s">
        <v>970</v>
      </c>
      <c r="D595" s="29" t="s">
        <v>5</v>
      </c>
      <c r="E595" s="30" t="s">
        <v>392</v>
      </c>
      <c r="F595" s="28" t="s">
        <v>393</v>
      </c>
      <c r="G595" s="30" t="s">
        <v>585</v>
      </c>
      <c r="H595" t="str">
        <f>CONCATENATE(Prequal[[#This Row],[CITY]], ", ",Prequal[[#This Row],[STATE]])</f>
        <v>Rockville, MD</v>
      </c>
    </row>
    <row r="596" spans="2:8" x14ac:dyDescent="0.2">
      <c r="B596" s="27" t="s">
        <v>97</v>
      </c>
      <c r="C596" s="28" t="s">
        <v>970</v>
      </c>
      <c r="D596" s="29" t="s">
        <v>8</v>
      </c>
      <c r="E596" s="30" t="s">
        <v>392</v>
      </c>
      <c r="F596" s="28" t="s">
        <v>393</v>
      </c>
      <c r="G596" s="30" t="s">
        <v>585</v>
      </c>
      <c r="H596" t="str">
        <f>CONCATENATE(Prequal[[#This Row],[CITY]], ", ",Prequal[[#This Row],[STATE]])</f>
        <v>Rockville, MD</v>
      </c>
    </row>
    <row r="597" spans="2:8" x14ac:dyDescent="0.2">
      <c r="B597" s="27" t="s">
        <v>97</v>
      </c>
      <c r="C597" s="28" t="s">
        <v>970</v>
      </c>
      <c r="D597" s="29" t="s">
        <v>24</v>
      </c>
      <c r="E597" s="30" t="s">
        <v>392</v>
      </c>
      <c r="F597" s="28" t="s">
        <v>393</v>
      </c>
      <c r="G597" s="30" t="s">
        <v>585</v>
      </c>
      <c r="H597" t="str">
        <f>CONCATENATE(Prequal[[#This Row],[CITY]], ", ",Prequal[[#This Row],[STATE]])</f>
        <v>Rockville, MD</v>
      </c>
    </row>
    <row r="598" spans="2:8" x14ac:dyDescent="0.2">
      <c r="B598" s="27" t="s">
        <v>97</v>
      </c>
      <c r="C598" s="28" t="s">
        <v>970</v>
      </c>
      <c r="D598" s="29" t="s">
        <v>25</v>
      </c>
      <c r="E598" s="30" t="s">
        <v>392</v>
      </c>
      <c r="F598" s="28" t="s">
        <v>393</v>
      </c>
      <c r="G598" s="30" t="s">
        <v>585</v>
      </c>
      <c r="H598" t="str">
        <f>CONCATENATE(Prequal[[#This Row],[CITY]], ", ",Prequal[[#This Row],[STATE]])</f>
        <v>Rockville, MD</v>
      </c>
    </row>
    <row r="599" spans="2:8" x14ac:dyDescent="0.2">
      <c r="B599" s="27" t="s">
        <v>97</v>
      </c>
      <c r="C599" s="28" t="s">
        <v>970</v>
      </c>
      <c r="D599" s="29" t="s">
        <v>9</v>
      </c>
      <c r="E599" s="30" t="s">
        <v>392</v>
      </c>
      <c r="F599" s="28" t="s">
        <v>393</v>
      </c>
      <c r="G599" s="30" t="s">
        <v>585</v>
      </c>
      <c r="H599" t="str">
        <f>CONCATENATE(Prequal[[#This Row],[CITY]], ", ",Prequal[[#This Row],[STATE]])</f>
        <v>Rockville, MD</v>
      </c>
    </row>
    <row r="600" spans="2:8" x14ac:dyDescent="0.2">
      <c r="B600" s="27" t="s">
        <v>97</v>
      </c>
      <c r="C600" s="28" t="s">
        <v>970</v>
      </c>
      <c r="D600" s="29" t="s">
        <v>21</v>
      </c>
      <c r="E600" s="30" t="s">
        <v>392</v>
      </c>
      <c r="F600" s="28" t="s">
        <v>393</v>
      </c>
      <c r="G600" s="30" t="s">
        <v>585</v>
      </c>
      <c r="H600" t="str">
        <f>CONCATENATE(Prequal[[#This Row],[CITY]], ", ",Prequal[[#This Row],[STATE]])</f>
        <v>Rockville, MD</v>
      </c>
    </row>
    <row r="601" spans="2:8" x14ac:dyDescent="0.2">
      <c r="B601" s="27" t="s">
        <v>97</v>
      </c>
      <c r="C601" s="28" t="s">
        <v>970</v>
      </c>
      <c r="D601" s="29" t="s">
        <v>22</v>
      </c>
      <c r="E601" s="30" t="s">
        <v>392</v>
      </c>
      <c r="F601" s="28" t="s">
        <v>393</v>
      </c>
      <c r="G601" s="30" t="s">
        <v>585</v>
      </c>
      <c r="H601" t="str">
        <f>CONCATENATE(Prequal[[#This Row],[CITY]], ", ",Prequal[[#This Row],[STATE]])</f>
        <v>Rockville, MD</v>
      </c>
    </row>
    <row r="602" spans="2:8" x14ac:dyDescent="0.2">
      <c r="B602" s="27" t="s">
        <v>97</v>
      </c>
      <c r="C602" s="28" t="s">
        <v>970</v>
      </c>
      <c r="D602" s="29" t="s">
        <v>31</v>
      </c>
      <c r="E602" s="30" t="s">
        <v>392</v>
      </c>
      <c r="F602" s="28" t="s">
        <v>393</v>
      </c>
      <c r="G602" s="30" t="s">
        <v>585</v>
      </c>
      <c r="H602" t="str">
        <f>CONCATENATE(Prequal[[#This Row],[CITY]], ", ",Prequal[[#This Row],[STATE]])</f>
        <v>Rockville, MD</v>
      </c>
    </row>
    <row r="603" spans="2:8" x14ac:dyDescent="0.2">
      <c r="B603" s="27" t="s">
        <v>97</v>
      </c>
      <c r="C603" s="28" t="s">
        <v>970</v>
      </c>
      <c r="D603" s="29" t="s">
        <v>32</v>
      </c>
      <c r="E603" s="30" t="s">
        <v>392</v>
      </c>
      <c r="F603" s="28" t="s">
        <v>393</v>
      </c>
      <c r="G603" s="30" t="s">
        <v>585</v>
      </c>
      <c r="H603" t="str">
        <f>CONCATENATE(Prequal[[#This Row],[CITY]], ", ",Prequal[[#This Row],[STATE]])</f>
        <v>Rockville, MD</v>
      </c>
    </row>
    <row r="604" spans="2:8" x14ac:dyDescent="0.2">
      <c r="B604" s="27" t="s">
        <v>586</v>
      </c>
      <c r="C604" s="28" t="s">
        <v>969</v>
      </c>
      <c r="D604" s="29" t="s">
        <v>70</v>
      </c>
      <c r="E604" s="30" t="s">
        <v>587</v>
      </c>
      <c r="F604" s="28" t="s">
        <v>588</v>
      </c>
      <c r="G604" s="30" t="s">
        <v>589</v>
      </c>
      <c r="H604" t="str">
        <f>CONCATENATE(Prequal[[#This Row],[CITY]], ", ",Prequal[[#This Row],[STATE]])</f>
        <v>Medford, MA</v>
      </c>
    </row>
    <row r="605" spans="2:8" x14ac:dyDescent="0.2">
      <c r="B605" s="27" t="s">
        <v>586</v>
      </c>
      <c r="C605" s="28" t="s">
        <v>969</v>
      </c>
      <c r="D605" s="29" t="s">
        <v>57</v>
      </c>
      <c r="E605" s="30" t="s">
        <v>587</v>
      </c>
      <c r="F605" s="28" t="s">
        <v>588</v>
      </c>
      <c r="G605" s="30" t="s">
        <v>589</v>
      </c>
      <c r="H605" t="str">
        <f>CONCATENATE(Prequal[[#This Row],[CITY]], ", ",Prequal[[#This Row],[STATE]])</f>
        <v>Medford, MA</v>
      </c>
    </row>
    <row r="606" spans="2:8" x14ac:dyDescent="0.2">
      <c r="B606" s="27" t="s">
        <v>98</v>
      </c>
      <c r="C606" s="28" t="s">
        <v>969</v>
      </c>
      <c r="D606" s="29" t="s">
        <v>5</v>
      </c>
      <c r="E606" s="30" t="s">
        <v>394</v>
      </c>
      <c r="F606" s="28" t="s">
        <v>361</v>
      </c>
      <c r="G606" s="30" t="s">
        <v>590</v>
      </c>
      <c r="H606" t="str">
        <f>CONCATENATE(Prequal[[#This Row],[CITY]], ", ",Prequal[[#This Row],[STATE]])</f>
        <v>St. Louis, MO</v>
      </c>
    </row>
    <row r="607" spans="2:8" x14ac:dyDescent="0.2">
      <c r="B607" s="27" t="s">
        <v>98</v>
      </c>
      <c r="C607" s="28" t="s">
        <v>969</v>
      </c>
      <c r="D607" s="29" t="s">
        <v>25</v>
      </c>
      <c r="E607" s="30" t="s">
        <v>394</v>
      </c>
      <c r="F607" s="28" t="s">
        <v>361</v>
      </c>
      <c r="G607" s="30" t="s">
        <v>590</v>
      </c>
      <c r="H607" t="str">
        <f>CONCATENATE(Prequal[[#This Row],[CITY]], ", ",Prequal[[#This Row],[STATE]])</f>
        <v>St. Louis, MO</v>
      </c>
    </row>
    <row r="608" spans="2:8" x14ac:dyDescent="0.2">
      <c r="B608" s="27" t="s">
        <v>98</v>
      </c>
      <c r="C608" s="28" t="s">
        <v>969</v>
      </c>
      <c r="D608" s="29" t="s">
        <v>9</v>
      </c>
      <c r="E608" s="30" t="s">
        <v>394</v>
      </c>
      <c r="F608" s="28" t="s">
        <v>361</v>
      </c>
      <c r="G608" s="30" t="s">
        <v>590</v>
      </c>
      <c r="H608" t="str">
        <f>CONCATENATE(Prequal[[#This Row],[CITY]], ", ",Prequal[[#This Row],[STATE]])</f>
        <v>St. Louis, MO</v>
      </c>
    </row>
    <row r="609" spans="2:8" x14ac:dyDescent="0.2">
      <c r="B609" s="27" t="s">
        <v>98</v>
      </c>
      <c r="C609" s="28" t="s">
        <v>969</v>
      </c>
      <c r="D609" s="29" t="s">
        <v>27</v>
      </c>
      <c r="E609" s="30" t="s">
        <v>394</v>
      </c>
      <c r="F609" s="28" t="s">
        <v>361</v>
      </c>
      <c r="G609" s="30" t="s">
        <v>590</v>
      </c>
      <c r="H609" t="str">
        <f>CONCATENATE(Prequal[[#This Row],[CITY]], ", ",Prequal[[#This Row],[STATE]])</f>
        <v>St. Louis, MO</v>
      </c>
    </row>
    <row r="610" spans="2:8" x14ac:dyDescent="0.2">
      <c r="B610" s="27" t="s">
        <v>98</v>
      </c>
      <c r="C610" s="28" t="s">
        <v>969</v>
      </c>
      <c r="D610" s="29" t="s">
        <v>37</v>
      </c>
      <c r="E610" s="30" t="s">
        <v>394</v>
      </c>
      <c r="F610" s="28" t="s">
        <v>361</v>
      </c>
      <c r="G610" s="30" t="s">
        <v>590</v>
      </c>
      <c r="H610" t="str">
        <f>CONCATENATE(Prequal[[#This Row],[CITY]], ", ",Prequal[[#This Row],[STATE]])</f>
        <v>St. Louis, MO</v>
      </c>
    </row>
    <row r="611" spans="2:8" x14ac:dyDescent="0.2">
      <c r="B611" s="27" t="s">
        <v>98</v>
      </c>
      <c r="C611" s="28" t="s">
        <v>969</v>
      </c>
      <c r="D611" s="29" t="s">
        <v>13</v>
      </c>
      <c r="E611" s="30" t="s">
        <v>394</v>
      </c>
      <c r="F611" s="28" t="s">
        <v>361</v>
      </c>
      <c r="G611" s="30" t="s">
        <v>590</v>
      </c>
      <c r="H611" t="str">
        <f>CONCATENATE(Prequal[[#This Row],[CITY]], ", ",Prequal[[#This Row],[STATE]])</f>
        <v>St. Louis, MO</v>
      </c>
    </row>
    <row r="612" spans="2:8" x14ac:dyDescent="0.2">
      <c r="B612" s="27" t="s">
        <v>98</v>
      </c>
      <c r="C612" s="28" t="s">
        <v>969</v>
      </c>
      <c r="D612" s="29" t="s">
        <v>52</v>
      </c>
      <c r="E612" s="30" t="s">
        <v>394</v>
      </c>
      <c r="F612" s="28" t="s">
        <v>361</v>
      </c>
      <c r="G612" s="30" t="s">
        <v>590</v>
      </c>
      <c r="H612" t="str">
        <f>CONCATENATE(Prequal[[#This Row],[CITY]], ", ",Prequal[[#This Row],[STATE]])</f>
        <v>St. Louis, MO</v>
      </c>
    </row>
    <row r="613" spans="2:8" x14ac:dyDescent="0.2">
      <c r="B613" s="27" t="s">
        <v>98</v>
      </c>
      <c r="C613" s="28" t="s">
        <v>969</v>
      </c>
      <c r="D613" s="29" t="s">
        <v>14</v>
      </c>
      <c r="E613" s="30" t="s">
        <v>394</v>
      </c>
      <c r="F613" s="28" t="s">
        <v>361</v>
      </c>
      <c r="G613" s="30" t="s">
        <v>590</v>
      </c>
      <c r="H613" t="str">
        <f>CONCATENATE(Prequal[[#This Row],[CITY]], ", ",Prequal[[#This Row],[STATE]])</f>
        <v>St. Louis, MO</v>
      </c>
    </row>
    <row r="614" spans="2:8" x14ac:dyDescent="0.2">
      <c r="B614" s="27" t="s">
        <v>975</v>
      </c>
      <c r="C614" s="28" t="s">
        <v>969</v>
      </c>
      <c r="D614" s="29" t="s">
        <v>976</v>
      </c>
      <c r="E614" s="30" t="s">
        <v>385</v>
      </c>
      <c r="F614" s="28" t="s">
        <v>378</v>
      </c>
      <c r="G614" s="30" t="s">
        <v>977</v>
      </c>
      <c r="H614" t="str">
        <f>CONCATENATE(Prequal[[#This Row],[CITY]], ", ",Prequal[[#This Row],[STATE]])</f>
        <v>Milwaukee, WI</v>
      </c>
    </row>
    <row r="615" spans="2:8" x14ac:dyDescent="0.2">
      <c r="B615" s="27" t="s">
        <v>975</v>
      </c>
      <c r="C615" s="28" t="s">
        <v>969</v>
      </c>
      <c r="D615" s="29" t="s">
        <v>978</v>
      </c>
      <c r="E615" s="30" t="s">
        <v>385</v>
      </c>
      <c r="F615" s="28" t="s">
        <v>378</v>
      </c>
      <c r="G615" s="30" t="s">
        <v>977</v>
      </c>
      <c r="H615" t="str">
        <f>CONCATENATE(Prequal[[#This Row],[CITY]], ", ",Prequal[[#This Row],[STATE]])</f>
        <v>Milwaukee, WI</v>
      </c>
    </row>
    <row r="616" spans="2:8" x14ac:dyDescent="0.2">
      <c r="B616" s="27" t="s">
        <v>99</v>
      </c>
      <c r="C616" s="28" t="s">
        <v>969</v>
      </c>
      <c r="D616" s="29" t="s">
        <v>70</v>
      </c>
      <c r="E616" s="30" t="s">
        <v>395</v>
      </c>
      <c r="F616" s="28" t="s">
        <v>356</v>
      </c>
      <c r="G616" s="30" t="s">
        <v>591</v>
      </c>
      <c r="H616" t="str">
        <f>CONCATENATE(Prequal[[#This Row],[CITY]], ", ",Prequal[[#This Row],[STATE]])</f>
        <v>Oakbrook Terrace, IL</v>
      </c>
    </row>
    <row r="617" spans="2:8" x14ac:dyDescent="0.2">
      <c r="B617" s="27" t="s">
        <v>100</v>
      </c>
      <c r="C617" s="28" t="s">
        <v>969</v>
      </c>
      <c r="D617" s="29" t="s">
        <v>5</v>
      </c>
      <c r="E617" s="30" t="s">
        <v>394</v>
      </c>
      <c r="F617" s="28" t="s">
        <v>361</v>
      </c>
      <c r="G617" s="30" t="s">
        <v>592</v>
      </c>
      <c r="H617" t="str">
        <f>CONCATENATE(Prequal[[#This Row],[CITY]], ", ",Prequal[[#This Row],[STATE]])</f>
        <v>St. Louis, MO</v>
      </c>
    </row>
    <row r="618" spans="2:8" x14ac:dyDescent="0.2">
      <c r="B618" s="27" t="s">
        <v>101</v>
      </c>
      <c r="C618" s="28" t="s">
        <v>969</v>
      </c>
      <c r="D618" s="29" t="s">
        <v>43</v>
      </c>
      <c r="E618" s="30" t="s">
        <v>947</v>
      </c>
      <c r="F618" s="28" t="s">
        <v>356</v>
      </c>
      <c r="G618" s="30" t="s">
        <v>593</v>
      </c>
      <c r="H618" t="str">
        <f>CONCATENATE(Prequal[[#This Row],[CITY]], ", ",Prequal[[#This Row],[STATE]])</f>
        <v>Chicago, IL</v>
      </c>
    </row>
    <row r="619" spans="2:8" x14ac:dyDescent="0.2">
      <c r="B619" s="27" t="s">
        <v>101</v>
      </c>
      <c r="C619" s="28" t="s">
        <v>969</v>
      </c>
      <c r="D619" s="29" t="s">
        <v>44</v>
      </c>
      <c r="E619" s="30" t="s">
        <v>947</v>
      </c>
      <c r="F619" s="28" t="s">
        <v>356</v>
      </c>
      <c r="G619" s="30" t="s">
        <v>593</v>
      </c>
      <c r="H619" t="str">
        <f>CONCATENATE(Prequal[[#This Row],[CITY]], ", ",Prequal[[#This Row],[STATE]])</f>
        <v>Chicago, IL</v>
      </c>
    </row>
    <row r="620" spans="2:8" x14ac:dyDescent="0.2">
      <c r="B620" s="27" t="s">
        <v>101</v>
      </c>
      <c r="C620" s="28" t="s">
        <v>969</v>
      </c>
      <c r="D620" s="29" t="s">
        <v>4</v>
      </c>
      <c r="E620" s="30" t="s">
        <v>947</v>
      </c>
      <c r="F620" s="28" t="s">
        <v>356</v>
      </c>
      <c r="G620" s="30" t="s">
        <v>593</v>
      </c>
      <c r="H620" t="str">
        <f>CONCATENATE(Prequal[[#This Row],[CITY]], ", ",Prequal[[#This Row],[STATE]])</f>
        <v>Chicago, IL</v>
      </c>
    </row>
    <row r="621" spans="2:8" x14ac:dyDescent="0.2">
      <c r="B621" s="27" t="s">
        <v>101</v>
      </c>
      <c r="C621" s="28" t="s">
        <v>969</v>
      </c>
      <c r="D621" s="29" t="s">
        <v>5</v>
      </c>
      <c r="E621" s="30" t="s">
        <v>947</v>
      </c>
      <c r="F621" s="28" t="s">
        <v>356</v>
      </c>
      <c r="G621" s="30" t="s">
        <v>593</v>
      </c>
      <c r="H621" t="str">
        <f>CONCATENATE(Prequal[[#This Row],[CITY]], ", ",Prequal[[#This Row],[STATE]])</f>
        <v>Chicago, IL</v>
      </c>
    </row>
    <row r="622" spans="2:8" x14ac:dyDescent="0.2">
      <c r="B622" s="27" t="s">
        <v>101</v>
      </c>
      <c r="C622" s="28" t="s">
        <v>969</v>
      </c>
      <c r="D622" s="29" t="s">
        <v>6</v>
      </c>
      <c r="E622" s="30" t="s">
        <v>947</v>
      </c>
      <c r="F622" s="28" t="s">
        <v>356</v>
      </c>
      <c r="G622" s="30" t="s">
        <v>593</v>
      </c>
      <c r="H622" t="str">
        <f>CONCATENATE(Prequal[[#This Row],[CITY]], ", ",Prequal[[#This Row],[STATE]])</f>
        <v>Chicago, IL</v>
      </c>
    </row>
    <row r="623" spans="2:8" x14ac:dyDescent="0.2">
      <c r="B623" s="27" t="s">
        <v>101</v>
      </c>
      <c r="C623" s="28" t="s">
        <v>969</v>
      </c>
      <c r="D623" s="29" t="s">
        <v>7</v>
      </c>
      <c r="E623" s="30" t="s">
        <v>947</v>
      </c>
      <c r="F623" s="28" t="s">
        <v>356</v>
      </c>
      <c r="G623" s="30" t="s">
        <v>593</v>
      </c>
      <c r="H623" t="str">
        <f>CONCATENATE(Prequal[[#This Row],[CITY]], ", ",Prequal[[#This Row],[STATE]])</f>
        <v>Chicago, IL</v>
      </c>
    </row>
    <row r="624" spans="2:8" x14ac:dyDescent="0.2">
      <c r="B624" s="27" t="s">
        <v>101</v>
      </c>
      <c r="C624" s="28" t="s">
        <v>969</v>
      </c>
      <c r="D624" s="29" t="s">
        <v>8</v>
      </c>
      <c r="E624" s="30" t="s">
        <v>947</v>
      </c>
      <c r="F624" s="28" t="s">
        <v>356</v>
      </c>
      <c r="G624" s="30" t="s">
        <v>593</v>
      </c>
      <c r="H624" t="str">
        <f>CONCATENATE(Prequal[[#This Row],[CITY]], ", ",Prequal[[#This Row],[STATE]])</f>
        <v>Chicago, IL</v>
      </c>
    </row>
    <row r="625" spans="2:8" x14ac:dyDescent="0.2">
      <c r="B625" s="31" t="s">
        <v>101</v>
      </c>
      <c r="C625" s="32" t="s">
        <v>969</v>
      </c>
      <c r="D625" s="33" t="s">
        <v>24</v>
      </c>
      <c r="E625" s="30" t="s">
        <v>947</v>
      </c>
      <c r="F625" s="32" t="s">
        <v>356</v>
      </c>
      <c r="G625" s="30" t="s">
        <v>593</v>
      </c>
      <c r="H625" t="str">
        <f>CONCATENATE(Prequal[[#This Row],[CITY]], ", ",Prequal[[#This Row],[STATE]])</f>
        <v>Chicago, IL</v>
      </c>
    </row>
    <row r="626" spans="2:8" x14ac:dyDescent="0.2">
      <c r="B626" s="31" t="s">
        <v>101</v>
      </c>
      <c r="C626" s="32" t="s">
        <v>969</v>
      </c>
      <c r="D626" s="33" t="s">
        <v>25</v>
      </c>
      <c r="E626" s="30" t="s">
        <v>947</v>
      </c>
      <c r="F626" s="32" t="s">
        <v>356</v>
      </c>
      <c r="G626" s="30" t="s">
        <v>593</v>
      </c>
      <c r="H626" t="str">
        <f>CONCATENATE(Prequal[[#This Row],[CITY]], ", ",Prequal[[#This Row],[STATE]])</f>
        <v>Chicago, IL</v>
      </c>
    </row>
    <row r="627" spans="2:8" x14ac:dyDescent="0.2">
      <c r="B627" s="27" t="s">
        <v>101</v>
      </c>
      <c r="C627" s="28" t="s">
        <v>969</v>
      </c>
      <c r="D627" s="29" t="s">
        <v>9</v>
      </c>
      <c r="E627" s="30" t="s">
        <v>947</v>
      </c>
      <c r="F627" s="28" t="s">
        <v>356</v>
      </c>
      <c r="G627" s="30" t="s">
        <v>593</v>
      </c>
      <c r="H627" t="str">
        <f>CONCATENATE(Prequal[[#This Row],[CITY]], ", ",Prequal[[#This Row],[STATE]])</f>
        <v>Chicago, IL</v>
      </c>
    </row>
    <row r="628" spans="2:8" x14ac:dyDescent="0.2">
      <c r="B628" s="27" t="s">
        <v>101</v>
      </c>
      <c r="C628" s="28" t="s">
        <v>969</v>
      </c>
      <c r="D628" s="29" t="s">
        <v>49</v>
      </c>
      <c r="E628" s="30" t="s">
        <v>947</v>
      </c>
      <c r="F628" s="28" t="s">
        <v>356</v>
      </c>
      <c r="G628" s="30" t="s">
        <v>593</v>
      </c>
      <c r="H628" t="str">
        <f>CONCATENATE(Prequal[[#This Row],[CITY]], ", ",Prequal[[#This Row],[STATE]])</f>
        <v>Chicago, IL</v>
      </c>
    </row>
    <row r="629" spans="2:8" x14ac:dyDescent="0.2">
      <c r="B629" s="27" t="s">
        <v>101</v>
      </c>
      <c r="C629" s="28" t="s">
        <v>969</v>
      </c>
      <c r="D629" s="29" t="s">
        <v>27</v>
      </c>
      <c r="E629" s="30" t="s">
        <v>947</v>
      </c>
      <c r="F629" s="28" t="s">
        <v>356</v>
      </c>
      <c r="G629" s="30" t="s">
        <v>593</v>
      </c>
      <c r="H629" t="str">
        <f>CONCATENATE(Prequal[[#This Row],[CITY]], ", ",Prequal[[#This Row],[STATE]])</f>
        <v>Chicago, IL</v>
      </c>
    </row>
    <row r="630" spans="2:8" x14ac:dyDescent="0.2">
      <c r="B630" s="27" t="s">
        <v>101</v>
      </c>
      <c r="C630" s="28" t="s">
        <v>969</v>
      </c>
      <c r="D630" s="29" t="s">
        <v>10</v>
      </c>
      <c r="E630" s="30" t="s">
        <v>947</v>
      </c>
      <c r="F630" s="28" t="s">
        <v>356</v>
      </c>
      <c r="G630" s="30" t="s">
        <v>593</v>
      </c>
      <c r="H630" t="str">
        <f>CONCATENATE(Prequal[[#This Row],[CITY]], ", ",Prequal[[#This Row],[STATE]])</f>
        <v>Chicago, IL</v>
      </c>
    </row>
    <row r="631" spans="2:8" x14ac:dyDescent="0.2">
      <c r="B631" s="27" t="s">
        <v>101</v>
      </c>
      <c r="C631" s="28" t="s">
        <v>969</v>
      </c>
      <c r="D631" s="29" t="s">
        <v>21</v>
      </c>
      <c r="E631" s="30" t="s">
        <v>947</v>
      </c>
      <c r="F631" s="28" t="s">
        <v>356</v>
      </c>
      <c r="G631" s="30" t="s">
        <v>593</v>
      </c>
      <c r="H631" t="str">
        <f>CONCATENATE(Prequal[[#This Row],[CITY]], ", ",Prequal[[#This Row],[STATE]])</f>
        <v>Chicago, IL</v>
      </c>
    </row>
    <row r="632" spans="2:8" x14ac:dyDescent="0.2">
      <c r="B632" s="27" t="s">
        <v>101</v>
      </c>
      <c r="C632" s="28" t="s">
        <v>969</v>
      </c>
      <c r="D632" s="29" t="s">
        <v>50</v>
      </c>
      <c r="E632" s="30" t="s">
        <v>947</v>
      </c>
      <c r="F632" s="28" t="s">
        <v>356</v>
      </c>
      <c r="G632" s="30" t="s">
        <v>593</v>
      </c>
      <c r="H632" t="str">
        <f>CONCATENATE(Prequal[[#This Row],[CITY]], ", ",Prequal[[#This Row],[STATE]])</f>
        <v>Chicago, IL</v>
      </c>
    </row>
    <row r="633" spans="2:8" x14ac:dyDescent="0.2">
      <c r="B633" s="27" t="s">
        <v>101</v>
      </c>
      <c r="C633" s="28" t="s">
        <v>969</v>
      </c>
      <c r="D633" s="29" t="s">
        <v>18</v>
      </c>
      <c r="E633" s="30" t="s">
        <v>947</v>
      </c>
      <c r="F633" s="28" t="s">
        <v>356</v>
      </c>
      <c r="G633" s="30" t="s">
        <v>593</v>
      </c>
      <c r="H633" t="str">
        <f>CONCATENATE(Prequal[[#This Row],[CITY]], ", ",Prequal[[#This Row],[STATE]])</f>
        <v>Chicago, IL</v>
      </c>
    </row>
    <row r="634" spans="2:8" x14ac:dyDescent="0.2">
      <c r="B634" s="27" t="s">
        <v>101</v>
      </c>
      <c r="C634" s="28" t="s">
        <v>969</v>
      </c>
      <c r="D634" s="29" t="s">
        <v>22</v>
      </c>
      <c r="E634" s="30" t="s">
        <v>947</v>
      </c>
      <c r="F634" s="28" t="s">
        <v>356</v>
      </c>
      <c r="G634" s="30" t="s">
        <v>593</v>
      </c>
      <c r="H634" t="str">
        <f>CONCATENATE(Prequal[[#This Row],[CITY]], ", ",Prequal[[#This Row],[STATE]])</f>
        <v>Chicago, IL</v>
      </c>
    </row>
    <row r="635" spans="2:8" x14ac:dyDescent="0.2">
      <c r="B635" s="27" t="s">
        <v>101</v>
      </c>
      <c r="C635" s="28" t="s">
        <v>969</v>
      </c>
      <c r="D635" s="29" t="s">
        <v>51</v>
      </c>
      <c r="E635" s="30" t="s">
        <v>947</v>
      </c>
      <c r="F635" s="28" t="s">
        <v>356</v>
      </c>
      <c r="G635" s="30" t="s">
        <v>593</v>
      </c>
      <c r="H635" t="str">
        <f>CONCATENATE(Prequal[[#This Row],[CITY]], ", ",Prequal[[#This Row],[STATE]])</f>
        <v>Chicago, IL</v>
      </c>
    </row>
    <row r="636" spans="2:8" x14ac:dyDescent="0.2">
      <c r="B636" s="27" t="s">
        <v>101</v>
      </c>
      <c r="C636" s="28" t="s">
        <v>969</v>
      </c>
      <c r="D636" s="29" t="s">
        <v>39</v>
      </c>
      <c r="E636" s="30" t="s">
        <v>947</v>
      </c>
      <c r="F636" s="28" t="s">
        <v>356</v>
      </c>
      <c r="G636" s="30" t="s">
        <v>593</v>
      </c>
      <c r="H636" t="str">
        <f>CONCATENATE(Prequal[[#This Row],[CITY]], ", ",Prequal[[#This Row],[STATE]])</f>
        <v>Chicago, IL</v>
      </c>
    </row>
    <row r="637" spans="2:8" x14ac:dyDescent="0.2">
      <c r="B637" s="27" t="s">
        <v>101</v>
      </c>
      <c r="C637" s="28" t="s">
        <v>969</v>
      </c>
      <c r="D637" s="29" t="s">
        <v>37</v>
      </c>
      <c r="E637" s="30" t="s">
        <v>947</v>
      </c>
      <c r="F637" s="28" t="s">
        <v>356</v>
      </c>
      <c r="G637" s="30" t="s">
        <v>593</v>
      </c>
      <c r="H637" t="str">
        <f>CONCATENATE(Prequal[[#This Row],[CITY]], ", ",Prequal[[#This Row],[STATE]])</f>
        <v>Chicago, IL</v>
      </c>
    </row>
    <row r="638" spans="2:8" x14ac:dyDescent="0.2">
      <c r="B638" s="27" t="s">
        <v>101</v>
      </c>
      <c r="C638" s="28" t="s">
        <v>969</v>
      </c>
      <c r="D638" s="29" t="s">
        <v>13</v>
      </c>
      <c r="E638" s="30" t="s">
        <v>947</v>
      </c>
      <c r="F638" s="28" t="s">
        <v>356</v>
      </c>
      <c r="G638" s="30" t="s">
        <v>593</v>
      </c>
      <c r="H638" t="str">
        <f>CONCATENATE(Prequal[[#This Row],[CITY]], ", ",Prequal[[#This Row],[STATE]])</f>
        <v>Chicago, IL</v>
      </c>
    </row>
    <row r="639" spans="2:8" x14ac:dyDescent="0.2">
      <c r="B639" s="27" t="s">
        <v>101</v>
      </c>
      <c r="C639" s="28" t="s">
        <v>969</v>
      </c>
      <c r="D639" s="29" t="s">
        <v>52</v>
      </c>
      <c r="E639" s="30" t="s">
        <v>947</v>
      </c>
      <c r="F639" s="28" t="s">
        <v>356</v>
      </c>
      <c r="G639" s="30" t="s">
        <v>593</v>
      </c>
      <c r="H639" t="str">
        <f>CONCATENATE(Prequal[[#This Row],[CITY]], ", ",Prequal[[#This Row],[STATE]])</f>
        <v>Chicago, IL</v>
      </c>
    </row>
    <row r="640" spans="2:8" x14ac:dyDescent="0.2">
      <c r="B640" s="27" t="s">
        <v>101</v>
      </c>
      <c r="C640" s="28" t="s">
        <v>969</v>
      </c>
      <c r="D640" s="29" t="s">
        <v>14</v>
      </c>
      <c r="E640" s="30" t="s">
        <v>947</v>
      </c>
      <c r="F640" s="28" t="s">
        <v>356</v>
      </c>
      <c r="G640" s="30" t="s">
        <v>593</v>
      </c>
      <c r="H640" t="str">
        <f>CONCATENATE(Prequal[[#This Row],[CITY]], ", ",Prequal[[#This Row],[STATE]])</f>
        <v>Chicago, IL</v>
      </c>
    </row>
    <row r="641" spans="2:8" x14ac:dyDescent="0.2">
      <c r="B641" s="27" t="s">
        <v>101</v>
      </c>
      <c r="C641" s="28" t="s">
        <v>969</v>
      </c>
      <c r="D641" s="29" t="s">
        <v>15</v>
      </c>
      <c r="E641" s="30" t="s">
        <v>947</v>
      </c>
      <c r="F641" s="28" t="s">
        <v>356</v>
      </c>
      <c r="G641" s="30" t="s">
        <v>593</v>
      </c>
      <c r="H641" t="str">
        <f>CONCATENATE(Prequal[[#This Row],[CITY]], ", ",Prequal[[#This Row],[STATE]])</f>
        <v>Chicago, IL</v>
      </c>
    </row>
    <row r="642" spans="2:8" x14ac:dyDescent="0.2">
      <c r="B642" s="27" t="s">
        <v>101</v>
      </c>
      <c r="C642" s="28" t="s">
        <v>969</v>
      </c>
      <c r="D642" s="29" t="s">
        <v>1004</v>
      </c>
      <c r="E642" s="30" t="s">
        <v>947</v>
      </c>
      <c r="F642" s="28" t="s">
        <v>356</v>
      </c>
      <c r="G642" s="30" t="s">
        <v>593</v>
      </c>
      <c r="H642" t="str">
        <f>CONCATENATE(Prequal[[#This Row],[CITY]], ", ",Prequal[[#This Row],[STATE]])</f>
        <v>Chicago, IL</v>
      </c>
    </row>
    <row r="643" spans="2:8" x14ac:dyDescent="0.2">
      <c r="B643" s="27" t="s">
        <v>101</v>
      </c>
      <c r="C643" s="28" t="s">
        <v>969</v>
      </c>
      <c r="D643" s="29" t="s">
        <v>30</v>
      </c>
      <c r="E643" s="30" t="s">
        <v>947</v>
      </c>
      <c r="F643" s="28" t="s">
        <v>356</v>
      </c>
      <c r="G643" s="30" t="s">
        <v>593</v>
      </c>
      <c r="H643" t="str">
        <f>CONCATENATE(Prequal[[#This Row],[CITY]], ", ",Prequal[[#This Row],[STATE]])</f>
        <v>Chicago, IL</v>
      </c>
    </row>
    <row r="644" spans="2:8" x14ac:dyDescent="0.2">
      <c r="B644" s="27" t="s">
        <v>101</v>
      </c>
      <c r="C644" s="28" t="s">
        <v>969</v>
      </c>
      <c r="D644" s="29" t="s">
        <v>53</v>
      </c>
      <c r="E644" s="30" t="s">
        <v>947</v>
      </c>
      <c r="F644" s="28" t="s">
        <v>356</v>
      </c>
      <c r="G644" s="30" t="s">
        <v>593</v>
      </c>
      <c r="H644" t="str">
        <f>CONCATENATE(Prequal[[#This Row],[CITY]], ", ",Prequal[[#This Row],[STATE]])</f>
        <v>Chicago, IL</v>
      </c>
    </row>
    <row r="645" spans="2:8" x14ac:dyDescent="0.2">
      <c r="B645" s="27" t="s">
        <v>101</v>
      </c>
      <c r="C645" s="28" t="s">
        <v>969</v>
      </c>
      <c r="D645" s="29" t="s">
        <v>31</v>
      </c>
      <c r="E645" s="30" t="s">
        <v>947</v>
      </c>
      <c r="F645" s="28" t="s">
        <v>356</v>
      </c>
      <c r="G645" s="30" t="s">
        <v>593</v>
      </c>
      <c r="H645" t="str">
        <f>CONCATENATE(Prequal[[#This Row],[CITY]], ", ",Prequal[[#This Row],[STATE]])</f>
        <v>Chicago, IL</v>
      </c>
    </row>
    <row r="646" spans="2:8" x14ac:dyDescent="0.2">
      <c r="B646" s="27" t="s">
        <v>101</v>
      </c>
      <c r="C646" s="28" t="s">
        <v>969</v>
      </c>
      <c r="D646" s="29" t="s">
        <v>32</v>
      </c>
      <c r="E646" s="30" t="s">
        <v>947</v>
      </c>
      <c r="F646" s="28" t="s">
        <v>356</v>
      </c>
      <c r="G646" s="30" t="s">
        <v>593</v>
      </c>
      <c r="H646" t="str">
        <f>CONCATENATE(Prequal[[#This Row],[CITY]], ", ",Prequal[[#This Row],[STATE]])</f>
        <v>Chicago, IL</v>
      </c>
    </row>
    <row r="647" spans="2:8" x14ac:dyDescent="0.2">
      <c r="B647" s="27" t="s">
        <v>101</v>
      </c>
      <c r="C647" s="28" t="s">
        <v>969</v>
      </c>
      <c r="D647" s="29" t="s">
        <v>56</v>
      </c>
      <c r="E647" s="30" t="s">
        <v>947</v>
      </c>
      <c r="F647" s="28" t="s">
        <v>356</v>
      </c>
      <c r="G647" s="30" t="s">
        <v>593</v>
      </c>
      <c r="H647" t="str">
        <f>CONCATENATE(Prequal[[#This Row],[CITY]], ", ",Prequal[[#This Row],[STATE]])</f>
        <v>Chicago, IL</v>
      </c>
    </row>
    <row r="648" spans="2:8" x14ac:dyDescent="0.2">
      <c r="B648" s="27" t="s">
        <v>101</v>
      </c>
      <c r="C648" s="28" t="s">
        <v>969</v>
      </c>
      <c r="D648" s="29" t="s">
        <v>33</v>
      </c>
      <c r="E648" s="30" t="s">
        <v>947</v>
      </c>
      <c r="F648" s="28" t="s">
        <v>356</v>
      </c>
      <c r="G648" s="30" t="s">
        <v>593</v>
      </c>
      <c r="H648" t="str">
        <f>CONCATENATE(Prequal[[#This Row],[CITY]], ", ",Prequal[[#This Row],[STATE]])</f>
        <v>Chicago, IL</v>
      </c>
    </row>
    <row r="649" spans="2:8" x14ac:dyDescent="0.2">
      <c r="B649" s="27" t="s">
        <v>101</v>
      </c>
      <c r="C649" s="28" t="s">
        <v>969</v>
      </c>
      <c r="D649" s="29" t="s">
        <v>57</v>
      </c>
      <c r="E649" s="30" t="s">
        <v>947</v>
      </c>
      <c r="F649" s="28" t="s">
        <v>356</v>
      </c>
      <c r="G649" s="30" t="s">
        <v>593</v>
      </c>
      <c r="H649" t="str">
        <f>CONCATENATE(Prequal[[#This Row],[CITY]], ", ",Prequal[[#This Row],[STATE]])</f>
        <v>Chicago, IL</v>
      </c>
    </row>
    <row r="650" spans="2:8" x14ac:dyDescent="0.2">
      <c r="B650" s="27" t="s">
        <v>102</v>
      </c>
      <c r="C650" s="28" t="s">
        <v>969</v>
      </c>
      <c r="D650" s="29" t="s">
        <v>5</v>
      </c>
      <c r="E650" s="30" t="s">
        <v>396</v>
      </c>
      <c r="F650" s="28" t="s">
        <v>356</v>
      </c>
      <c r="G650" s="30" t="s">
        <v>594</v>
      </c>
      <c r="H650" t="str">
        <f>CONCATENATE(Prequal[[#This Row],[CITY]], ", ",Prequal[[#This Row],[STATE]])</f>
        <v>Aurora, IL</v>
      </c>
    </row>
    <row r="651" spans="2:8" x14ac:dyDescent="0.2">
      <c r="B651" s="27" t="s">
        <v>102</v>
      </c>
      <c r="C651" s="28" t="s">
        <v>969</v>
      </c>
      <c r="D651" s="29" t="s">
        <v>7</v>
      </c>
      <c r="E651" s="30" t="s">
        <v>396</v>
      </c>
      <c r="F651" s="28" t="s">
        <v>356</v>
      </c>
      <c r="G651" s="30" t="s">
        <v>594</v>
      </c>
      <c r="H651" t="str">
        <f>CONCATENATE(Prequal[[#This Row],[CITY]], ", ",Prequal[[#This Row],[STATE]])</f>
        <v>Aurora, IL</v>
      </c>
    </row>
    <row r="652" spans="2:8" x14ac:dyDescent="0.2">
      <c r="B652" s="27" t="s">
        <v>102</v>
      </c>
      <c r="C652" s="28" t="s">
        <v>969</v>
      </c>
      <c r="D652" s="29" t="s">
        <v>8</v>
      </c>
      <c r="E652" s="30" t="s">
        <v>396</v>
      </c>
      <c r="F652" s="28" t="s">
        <v>356</v>
      </c>
      <c r="G652" s="30" t="s">
        <v>594</v>
      </c>
      <c r="H652" t="str">
        <f>CONCATENATE(Prequal[[#This Row],[CITY]], ", ",Prequal[[#This Row],[STATE]])</f>
        <v>Aurora, IL</v>
      </c>
    </row>
    <row r="653" spans="2:8" x14ac:dyDescent="0.2">
      <c r="B653" s="27" t="s">
        <v>102</v>
      </c>
      <c r="C653" s="28" t="s">
        <v>969</v>
      </c>
      <c r="D653" s="29" t="s">
        <v>25</v>
      </c>
      <c r="E653" s="30" t="s">
        <v>396</v>
      </c>
      <c r="F653" s="28" t="s">
        <v>356</v>
      </c>
      <c r="G653" s="30" t="s">
        <v>594</v>
      </c>
      <c r="H653" t="str">
        <f>CONCATENATE(Prequal[[#This Row],[CITY]], ", ",Prequal[[#This Row],[STATE]])</f>
        <v>Aurora, IL</v>
      </c>
    </row>
    <row r="654" spans="2:8" x14ac:dyDescent="0.2">
      <c r="B654" s="27" t="s">
        <v>102</v>
      </c>
      <c r="C654" s="28" t="s">
        <v>969</v>
      </c>
      <c r="D654" s="29" t="s">
        <v>9</v>
      </c>
      <c r="E654" s="30" t="s">
        <v>396</v>
      </c>
      <c r="F654" s="28" t="s">
        <v>356</v>
      </c>
      <c r="G654" s="30" t="s">
        <v>594</v>
      </c>
      <c r="H654" t="str">
        <f>CONCATENATE(Prequal[[#This Row],[CITY]], ", ",Prequal[[#This Row],[STATE]])</f>
        <v>Aurora, IL</v>
      </c>
    </row>
    <row r="655" spans="2:8" x14ac:dyDescent="0.2">
      <c r="B655" s="27" t="s">
        <v>102</v>
      </c>
      <c r="C655" s="28" t="s">
        <v>969</v>
      </c>
      <c r="D655" s="29" t="s">
        <v>29</v>
      </c>
      <c r="E655" s="30" t="s">
        <v>396</v>
      </c>
      <c r="F655" s="28" t="s">
        <v>356</v>
      </c>
      <c r="G655" s="30" t="s">
        <v>594</v>
      </c>
      <c r="H655" t="str">
        <f>CONCATENATE(Prequal[[#This Row],[CITY]], ", ",Prequal[[#This Row],[STATE]])</f>
        <v>Aurora, IL</v>
      </c>
    </row>
    <row r="656" spans="2:8" x14ac:dyDescent="0.2">
      <c r="B656" s="27" t="s">
        <v>102</v>
      </c>
      <c r="C656" s="28" t="s">
        <v>969</v>
      </c>
      <c r="D656" s="29" t="s">
        <v>37</v>
      </c>
      <c r="E656" s="30" t="s">
        <v>396</v>
      </c>
      <c r="F656" s="28" t="s">
        <v>356</v>
      </c>
      <c r="G656" s="30" t="s">
        <v>594</v>
      </c>
      <c r="H656" t="str">
        <f>CONCATENATE(Prequal[[#This Row],[CITY]], ", ",Prequal[[#This Row],[STATE]])</f>
        <v>Aurora, IL</v>
      </c>
    </row>
    <row r="657" spans="2:8" x14ac:dyDescent="0.2">
      <c r="B657" s="27" t="s">
        <v>102</v>
      </c>
      <c r="C657" s="28" t="s">
        <v>969</v>
      </c>
      <c r="D657" s="29" t="s">
        <v>15</v>
      </c>
      <c r="E657" s="30" t="s">
        <v>396</v>
      </c>
      <c r="F657" s="28" t="s">
        <v>356</v>
      </c>
      <c r="G657" s="30" t="s">
        <v>594</v>
      </c>
      <c r="H657" t="str">
        <f>CONCATENATE(Prequal[[#This Row],[CITY]], ", ",Prequal[[#This Row],[STATE]])</f>
        <v>Aurora, IL</v>
      </c>
    </row>
    <row r="658" spans="2:8" x14ac:dyDescent="0.2">
      <c r="B658" s="27" t="s">
        <v>103</v>
      </c>
      <c r="C658" s="28" t="s">
        <v>970</v>
      </c>
      <c r="D658" s="29" t="s">
        <v>10</v>
      </c>
      <c r="E658" s="30" t="s">
        <v>397</v>
      </c>
      <c r="F658" s="28" t="s">
        <v>378</v>
      </c>
      <c r="G658" s="30" t="s">
        <v>595</v>
      </c>
      <c r="H658" t="str">
        <f>CONCATENATE(Prequal[[#This Row],[CITY]], ", ",Prequal[[#This Row],[STATE]])</f>
        <v>Madison, WI</v>
      </c>
    </row>
    <row r="659" spans="2:8" x14ac:dyDescent="0.2">
      <c r="B659" s="27" t="s">
        <v>104</v>
      </c>
      <c r="C659" s="28" t="s">
        <v>970</v>
      </c>
      <c r="D659" s="29" t="s">
        <v>5</v>
      </c>
      <c r="E659" s="30" t="s">
        <v>947</v>
      </c>
      <c r="F659" s="28" t="s">
        <v>356</v>
      </c>
      <c r="G659" s="30" t="s">
        <v>596</v>
      </c>
      <c r="H659" t="str">
        <f>CONCATENATE(Prequal[[#This Row],[CITY]], ", ",Prequal[[#This Row],[STATE]])</f>
        <v>Chicago, IL</v>
      </c>
    </row>
    <row r="660" spans="2:8" x14ac:dyDescent="0.2">
      <c r="B660" s="27" t="s">
        <v>104</v>
      </c>
      <c r="C660" s="28" t="s">
        <v>970</v>
      </c>
      <c r="D660" s="29" t="s">
        <v>10</v>
      </c>
      <c r="E660" s="30" t="s">
        <v>947</v>
      </c>
      <c r="F660" s="28" t="s">
        <v>356</v>
      </c>
      <c r="G660" s="30" t="s">
        <v>596</v>
      </c>
      <c r="H660" t="str">
        <f>CONCATENATE(Prequal[[#This Row],[CITY]], ", ",Prequal[[#This Row],[STATE]])</f>
        <v>Chicago, IL</v>
      </c>
    </row>
    <row r="661" spans="2:8" x14ac:dyDescent="0.2">
      <c r="B661" s="27" t="s">
        <v>104</v>
      </c>
      <c r="C661" s="28" t="s">
        <v>970</v>
      </c>
      <c r="D661" s="29" t="s">
        <v>12</v>
      </c>
      <c r="E661" s="30" t="s">
        <v>947</v>
      </c>
      <c r="F661" s="28" t="s">
        <v>356</v>
      </c>
      <c r="G661" s="30" t="s">
        <v>596</v>
      </c>
      <c r="H661" t="str">
        <f>CONCATENATE(Prequal[[#This Row],[CITY]], ", ",Prequal[[#This Row],[STATE]])</f>
        <v>Chicago, IL</v>
      </c>
    </row>
    <row r="662" spans="2:8" x14ac:dyDescent="0.2">
      <c r="B662" s="27" t="s">
        <v>104</v>
      </c>
      <c r="C662" s="28" t="s">
        <v>970</v>
      </c>
      <c r="D662" s="29" t="s">
        <v>13</v>
      </c>
      <c r="E662" s="30" t="s">
        <v>947</v>
      </c>
      <c r="F662" s="28" t="s">
        <v>356</v>
      </c>
      <c r="G662" s="30" t="s">
        <v>596</v>
      </c>
      <c r="H662" t="str">
        <f>CONCATENATE(Prequal[[#This Row],[CITY]], ", ",Prequal[[#This Row],[STATE]])</f>
        <v>Chicago, IL</v>
      </c>
    </row>
    <row r="663" spans="2:8" x14ac:dyDescent="0.2">
      <c r="B663" s="27" t="s">
        <v>104</v>
      </c>
      <c r="C663" s="28" t="s">
        <v>970</v>
      </c>
      <c r="D663" s="29" t="s">
        <v>14</v>
      </c>
      <c r="E663" s="30" t="s">
        <v>947</v>
      </c>
      <c r="F663" s="28" t="s">
        <v>356</v>
      </c>
      <c r="G663" s="30" t="s">
        <v>596</v>
      </c>
      <c r="H663" t="str">
        <f>CONCATENATE(Prequal[[#This Row],[CITY]], ", ",Prequal[[#This Row],[STATE]])</f>
        <v>Chicago, IL</v>
      </c>
    </row>
    <row r="664" spans="2:8" x14ac:dyDescent="0.2">
      <c r="B664" s="27" t="s">
        <v>105</v>
      </c>
      <c r="C664" s="28" t="s">
        <v>969</v>
      </c>
      <c r="D664" s="29" t="s">
        <v>5</v>
      </c>
      <c r="E664" s="30" t="s">
        <v>398</v>
      </c>
      <c r="F664" s="28" t="s">
        <v>356</v>
      </c>
      <c r="G664" s="30" t="s">
        <v>597</v>
      </c>
      <c r="H664" t="str">
        <f>CONCATENATE(Prequal[[#This Row],[CITY]], ", ",Prequal[[#This Row],[STATE]])</f>
        <v>Belvidere, IL</v>
      </c>
    </row>
    <row r="665" spans="2:8" x14ac:dyDescent="0.2">
      <c r="B665" s="27" t="s">
        <v>105</v>
      </c>
      <c r="C665" s="28" t="s">
        <v>969</v>
      </c>
      <c r="D665" s="29" t="s">
        <v>10</v>
      </c>
      <c r="E665" s="30" t="s">
        <v>398</v>
      </c>
      <c r="F665" s="28" t="s">
        <v>356</v>
      </c>
      <c r="G665" s="30" t="s">
        <v>597</v>
      </c>
      <c r="H665" t="str">
        <f>CONCATENATE(Prequal[[#This Row],[CITY]], ", ",Prequal[[#This Row],[STATE]])</f>
        <v>Belvidere, IL</v>
      </c>
    </row>
    <row r="666" spans="2:8" x14ac:dyDescent="0.2">
      <c r="B666" s="27" t="s">
        <v>105</v>
      </c>
      <c r="C666" s="28" t="s">
        <v>969</v>
      </c>
      <c r="D666" s="29" t="s">
        <v>29</v>
      </c>
      <c r="E666" s="30" t="s">
        <v>398</v>
      </c>
      <c r="F666" s="28" t="s">
        <v>356</v>
      </c>
      <c r="G666" s="30" t="s">
        <v>597</v>
      </c>
      <c r="H666" t="str">
        <f>CONCATENATE(Prequal[[#This Row],[CITY]], ", ",Prequal[[#This Row],[STATE]])</f>
        <v>Belvidere, IL</v>
      </c>
    </row>
    <row r="667" spans="2:8" x14ac:dyDescent="0.2">
      <c r="B667" s="27" t="s">
        <v>106</v>
      </c>
      <c r="C667" s="28" t="s">
        <v>970</v>
      </c>
      <c r="D667" s="29" t="s">
        <v>46</v>
      </c>
      <c r="E667" s="30" t="s">
        <v>399</v>
      </c>
      <c r="F667" s="28" t="s">
        <v>356</v>
      </c>
      <c r="G667" s="30" t="s">
        <v>598</v>
      </c>
      <c r="H667" t="str">
        <f>CONCATENATE(Prequal[[#This Row],[CITY]], ", ",Prequal[[#This Row],[STATE]])</f>
        <v>Elk Grove Village, IL</v>
      </c>
    </row>
    <row r="668" spans="2:8" x14ac:dyDescent="0.2">
      <c r="B668" s="27" t="s">
        <v>106</v>
      </c>
      <c r="C668" s="28" t="s">
        <v>970</v>
      </c>
      <c r="D668" s="29" t="s">
        <v>107</v>
      </c>
      <c r="E668" s="30" t="s">
        <v>399</v>
      </c>
      <c r="F668" s="28" t="s">
        <v>356</v>
      </c>
      <c r="G668" s="30" t="s">
        <v>598</v>
      </c>
      <c r="H668" t="str">
        <f>CONCATENATE(Prequal[[#This Row],[CITY]], ", ",Prequal[[#This Row],[STATE]])</f>
        <v>Elk Grove Village, IL</v>
      </c>
    </row>
    <row r="669" spans="2:8" x14ac:dyDescent="0.2">
      <c r="B669" s="27" t="s">
        <v>106</v>
      </c>
      <c r="C669" s="28" t="s">
        <v>970</v>
      </c>
      <c r="D669" s="29" t="s">
        <v>108</v>
      </c>
      <c r="E669" s="30" t="s">
        <v>399</v>
      </c>
      <c r="F669" s="28" t="s">
        <v>356</v>
      </c>
      <c r="G669" s="30" t="s">
        <v>598</v>
      </c>
      <c r="H669" t="str">
        <f>CONCATENATE(Prequal[[#This Row],[CITY]], ", ",Prequal[[#This Row],[STATE]])</f>
        <v>Elk Grove Village, IL</v>
      </c>
    </row>
    <row r="670" spans="2:8" x14ac:dyDescent="0.2">
      <c r="B670" s="27" t="s">
        <v>109</v>
      </c>
      <c r="C670" s="28" t="s">
        <v>969</v>
      </c>
      <c r="D670" s="29" t="s">
        <v>35</v>
      </c>
      <c r="E670" s="30" t="s">
        <v>400</v>
      </c>
      <c r="F670" s="28" t="s">
        <v>356</v>
      </c>
      <c r="G670" s="30" t="s">
        <v>599</v>
      </c>
      <c r="H670" t="str">
        <f>CONCATENATE(Prequal[[#This Row],[CITY]], ", ",Prequal[[#This Row],[STATE]])</f>
        <v>Peru, IL</v>
      </c>
    </row>
    <row r="671" spans="2:8" x14ac:dyDescent="0.2">
      <c r="B671" s="27" t="s">
        <v>109</v>
      </c>
      <c r="C671" s="28" t="s">
        <v>969</v>
      </c>
      <c r="D671" s="29" t="s">
        <v>36</v>
      </c>
      <c r="E671" s="30" t="s">
        <v>400</v>
      </c>
      <c r="F671" s="28" t="s">
        <v>356</v>
      </c>
      <c r="G671" s="30" t="s">
        <v>599</v>
      </c>
      <c r="H671" t="str">
        <f>CONCATENATE(Prequal[[#This Row],[CITY]], ", ",Prequal[[#This Row],[STATE]])</f>
        <v>Peru, IL</v>
      </c>
    </row>
    <row r="672" spans="2:8" x14ac:dyDescent="0.2">
      <c r="B672" s="27" t="s">
        <v>109</v>
      </c>
      <c r="C672" s="28" t="s">
        <v>969</v>
      </c>
      <c r="D672" s="29" t="s">
        <v>46</v>
      </c>
      <c r="E672" s="30" t="s">
        <v>400</v>
      </c>
      <c r="F672" s="28" t="s">
        <v>356</v>
      </c>
      <c r="G672" s="30" t="s">
        <v>599</v>
      </c>
      <c r="H672" t="str">
        <f>CONCATENATE(Prequal[[#This Row],[CITY]], ", ",Prequal[[#This Row],[STATE]])</f>
        <v>Peru, IL</v>
      </c>
    </row>
    <row r="673" spans="2:8" x14ac:dyDescent="0.2">
      <c r="B673" s="27" t="s">
        <v>109</v>
      </c>
      <c r="C673" s="28" t="s">
        <v>969</v>
      </c>
      <c r="D673" s="29" t="s">
        <v>47</v>
      </c>
      <c r="E673" s="30" t="s">
        <v>400</v>
      </c>
      <c r="F673" s="28" t="s">
        <v>356</v>
      </c>
      <c r="G673" s="30" t="s">
        <v>599</v>
      </c>
      <c r="H673" t="str">
        <f>CONCATENATE(Prequal[[#This Row],[CITY]], ", ",Prequal[[#This Row],[STATE]])</f>
        <v>Peru, IL</v>
      </c>
    </row>
    <row r="674" spans="2:8" x14ac:dyDescent="0.2">
      <c r="B674" s="27" t="s">
        <v>109</v>
      </c>
      <c r="C674" s="28" t="s">
        <v>969</v>
      </c>
      <c r="D674" s="29" t="s">
        <v>4</v>
      </c>
      <c r="E674" s="30" t="s">
        <v>400</v>
      </c>
      <c r="F674" s="28" t="s">
        <v>356</v>
      </c>
      <c r="G674" s="30" t="s">
        <v>599</v>
      </c>
      <c r="H674" t="str">
        <f>CONCATENATE(Prequal[[#This Row],[CITY]], ", ",Prequal[[#This Row],[STATE]])</f>
        <v>Peru, IL</v>
      </c>
    </row>
    <row r="675" spans="2:8" x14ac:dyDescent="0.2">
      <c r="B675" s="27" t="s">
        <v>109</v>
      </c>
      <c r="C675" s="28" t="s">
        <v>969</v>
      </c>
      <c r="D675" s="29" t="s">
        <v>5</v>
      </c>
      <c r="E675" s="30" t="s">
        <v>400</v>
      </c>
      <c r="F675" s="28" t="s">
        <v>356</v>
      </c>
      <c r="G675" s="30" t="s">
        <v>599</v>
      </c>
      <c r="H675" t="str">
        <f>CONCATENATE(Prequal[[#This Row],[CITY]], ", ",Prequal[[#This Row],[STATE]])</f>
        <v>Peru, IL</v>
      </c>
    </row>
    <row r="676" spans="2:8" x14ac:dyDescent="0.2">
      <c r="B676" s="27" t="s">
        <v>109</v>
      </c>
      <c r="C676" s="28" t="s">
        <v>969</v>
      </c>
      <c r="D676" s="29" t="s">
        <v>7</v>
      </c>
      <c r="E676" s="30" t="s">
        <v>400</v>
      </c>
      <c r="F676" s="28" t="s">
        <v>356</v>
      </c>
      <c r="G676" s="30" t="s">
        <v>599</v>
      </c>
      <c r="H676" t="str">
        <f>CONCATENATE(Prequal[[#This Row],[CITY]], ", ",Prequal[[#This Row],[STATE]])</f>
        <v>Peru, IL</v>
      </c>
    </row>
    <row r="677" spans="2:8" x14ac:dyDescent="0.2">
      <c r="B677" s="27" t="s">
        <v>109</v>
      </c>
      <c r="C677" s="28" t="s">
        <v>969</v>
      </c>
      <c r="D677" s="29" t="s">
        <v>8</v>
      </c>
      <c r="E677" s="30" t="s">
        <v>400</v>
      </c>
      <c r="F677" s="28" t="s">
        <v>356</v>
      </c>
      <c r="G677" s="30" t="s">
        <v>599</v>
      </c>
      <c r="H677" t="str">
        <f>CONCATENATE(Prequal[[#This Row],[CITY]], ", ",Prequal[[#This Row],[STATE]])</f>
        <v>Peru, IL</v>
      </c>
    </row>
    <row r="678" spans="2:8" x14ac:dyDescent="0.2">
      <c r="B678" s="27" t="s">
        <v>109</v>
      </c>
      <c r="C678" s="28" t="s">
        <v>969</v>
      </c>
      <c r="D678" s="29" t="s">
        <v>24</v>
      </c>
      <c r="E678" s="30" t="s">
        <v>400</v>
      </c>
      <c r="F678" s="28" t="s">
        <v>356</v>
      </c>
      <c r="G678" s="30" t="s">
        <v>599</v>
      </c>
      <c r="H678" t="str">
        <f>CONCATENATE(Prequal[[#This Row],[CITY]], ", ",Prequal[[#This Row],[STATE]])</f>
        <v>Peru, IL</v>
      </c>
    </row>
    <row r="679" spans="2:8" x14ac:dyDescent="0.2">
      <c r="B679" s="27" t="s">
        <v>109</v>
      </c>
      <c r="C679" s="28" t="s">
        <v>969</v>
      </c>
      <c r="D679" s="29" t="s">
        <v>25</v>
      </c>
      <c r="E679" s="30" t="s">
        <v>400</v>
      </c>
      <c r="F679" s="28" t="s">
        <v>356</v>
      </c>
      <c r="G679" s="30" t="s">
        <v>599</v>
      </c>
      <c r="H679" t="str">
        <f>CONCATENATE(Prequal[[#This Row],[CITY]], ", ",Prequal[[#This Row],[STATE]])</f>
        <v>Peru, IL</v>
      </c>
    </row>
    <row r="680" spans="2:8" x14ac:dyDescent="0.2">
      <c r="B680" s="27" t="s">
        <v>109</v>
      </c>
      <c r="C680" s="28" t="s">
        <v>969</v>
      </c>
      <c r="D680" s="29" t="s">
        <v>9</v>
      </c>
      <c r="E680" s="30" t="s">
        <v>400</v>
      </c>
      <c r="F680" s="28" t="s">
        <v>356</v>
      </c>
      <c r="G680" s="30" t="s">
        <v>599</v>
      </c>
      <c r="H680" t="str">
        <f>CONCATENATE(Prequal[[#This Row],[CITY]], ", ",Prequal[[#This Row],[STATE]])</f>
        <v>Peru, IL</v>
      </c>
    </row>
    <row r="681" spans="2:8" x14ac:dyDescent="0.2">
      <c r="B681" s="27" t="s">
        <v>109</v>
      </c>
      <c r="C681" s="28" t="s">
        <v>969</v>
      </c>
      <c r="D681" s="29" t="s">
        <v>27</v>
      </c>
      <c r="E681" s="30" t="s">
        <v>400</v>
      </c>
      <c r="F681" s="28" t="s">
        <v>356</v>
      </c>
      <c r="G681" s="30" t="s">
        <v>599</v>
      </c>
      <c r="H681" t="str">
        <f>CONCATENATE(Prequal[[#This Row],[CITY]], ", ",Prequal[[#This Row],[STATE]])</f>
        <v>Peru, IL</v>
      </c>
    </row>
    <row r="682" spans="2:8" x14ac:dyDescent="0.2">
      <c r="B682" s="27" t="s">
        <v>109</v>
      </c>
      <c r="C682" s="28" t="s">
        <v>969</v>
      </c>
      <c r="D682" s="29" t="s">
        <v>10</v>
      </c>
      <c r="E682" s="30" t="s">
        <v>400</v>
      </c>
      <c r="F682" s="28" t="s">
        <v>356</v>
      </c>
      <c r="G682" s="30" t="s">
        <v>599</v>
      </c>
      <c r="H682" t="str">
        <f>CONCATENATE(Prequal[[#This Row],[CITY]], ", ",Prequal[[#This Row],[STATE]])</f>
        <v>Peru, IL</v>
      </c>
    </row>
    <row r="683" spans="2:8" x14ac:dyDescent="0.2">
      <c r="B683" s="27" t="s">
        <v>109</v>
      </c>
      <c r="C683" s="28" t="s">
        <v>969</v>
      </c>
      <c r="D683" s="29" t="s">
        <v>11</v>
      </c>
      <c r="E683" s="30" t="s">
        <v>400</v>
      </c>
      <c r="F683" s="28" t="s">
        <v>356</v>
      </c>
      <c r="G683" s="30" t="s">
        <v>599</v>
      </c>
      <c r="H683" t="str">
        <f>CONCATENATE(Prequal[[#This Row],[CITY]], ", ",Prequal[[#This Row],[STATE]])</f>
        <v>Peru, IL</v>
      </c>
    </row>
    <row r="684" spans="2:8" x14ac:dyDescent="0.2">
      <c r="B684" s="27" t="s">
        <v>109</v>
      </c>
      <c r="C684" s="28" t="s">
        <v>969</v>
      </c>
      <c r="D684" s="29" t="s">
        <v>12</v>
      </c>
      <c r="E684" s="30" t="s">
        <v>400</v>
      </c>
      <c r="F684" s="28" t="s">
        <v>356</v>
      </c>
      <c r="G684" s="30" t="s">
        <v>599</v>
      </c>
      <c r="H684" t="str">
        <f>CONCATENATE(Prequal[[#This Row],[CITY]], ", ",Prequal[[#This Row],[STATE]])</f>
        <v>Peru, IL</v>
      </c>
    </row>
    <row r="685" spans="2:8" x14ac:dyDescent="0.2">
      <c r="B685" s="27" t="s">
        <v>109</v>
      </c>
      <c r="C685" s="28" t="s">
        <v>969</v>
      </c>
      <c r="D685" s="29" t="s">
        <v>29</v>
      </c>
      <c r="E685" s="30" t="s">
        <v>400</v>
      </c>
      <c r="F685" s="28" t="s">
        <v>356</v>
      </c>
      <c r="G685" s="30" t="s">
        <v>599</v>
      </c>
      <c r="H685" t="str">
        <f>CONCATENATE(Prequal[[#This Row],[CITY]], ", ",Prequal[[#This Row],[STATE]])</f>
        <v>Peru, IL</v>
      </c>
    </row>
    <row r="686" spans="2:8" x14ac:dyDescent="0.2">
      <c r="B686" s="27" t="s">
        <v>109</v>
      </c>
      <c r="C686" s="28" t="s">
        <v>969</v>
      </c>
      <c r="D686" s="29" t="s">
        <v>37</v>
      </c>
      <c r="E686" s="30" t="s">
        <v>400</v>
      </c>
      <c r="F686" s="28" t="s">
        <v>356</v>
      </c>
      <c r="G686" s="30" t="s">
        <v>599</v>
      </c>
      <c r="H686" t="str">
        <f>CONCATENATE(Prequal[[#This Row],[CITY]], ", ",Prequal[[#This Row],[STATE]])</f>
        <v>Peru, IL</v>
      </c>
    </row>
    <row r="687" spans="2:8" x14ac:dyDescent="0.2">
      <c r="B687" s="27" t="s">
        <v>109</v>
      </c>
      <c r="C687" s="28" t="s">
        <v>969</v>
      </c>
      <c r="D687" s="29" t="s">
        <v>13</v>
      </c>
      <c r="E687" s="30" t="s">
        <v>400</v>
      </c>
      <c r="F687" s="28" t="s">
        <v>356</v>
      </c>
      <c r="G687" s="30" t="s">
        <v>599</v>
      </c>
      <c r="H687" t="str">
        <f>CONCATENATE(Prequal[[#This Row],[CITY]], ", ",Prequal[[#This Row],[STATE]])</f>
        <v>Peru, IL</v>
      </c>
    </row>
    <row r="688" spans="2:8" x14ac:dyDescent="0.2">
      <c r="B688" s="27" t="s">
        <v>109</v>
      </c>
      <c r="C688" s="28" t="s">
        <v>969</v>
      </c>
      <c r="D688" s="29" t="s">
        <v>14</v>
      </c>
      <c r="E688" s="30" t="s">
        <v>400</v>
      </c>
      <c r="F688" s="28" t="s">
        <v>356</v>
      </c>
      <c r="G688" s="30" t="s">
        <v>599</v>
      </c>
      <c r="H688" t="str">
        <f>CONCATENATE(Prequal[[#This Row],[CITY]], ", ",Prequal[[#This Row],[STATE]])</f>
        <v>Peru, IL</v>
      </c>
    </row>
    <row r="689" spans="2:8" x14ac:dyDescent="0.2">
      <c r="B689" s="27" t="s">
        <v>109</v>
      </c>
      <c r="C689" s="28" t="s">
        <v>969</v>
      </c>
      <c r="D689" s="29" t="s">
        <v>15</v>
      </c>
      <c r="E689" s="30" t="s">
        <v>400</v>
      </c>
      <c r="F689" s="28" t="s">
        <v>356</v>
      </c>
      <c r="G689" s="30" t="s">
        <v>599</v>
      </c>
      <c r="H689" t="str">
        <f>CONCATENATE(Prequal[[#This Row],[CITY]], ", ",Prequal[[#This Row],[STATE]])</f>
        <v>Peru, IL</v>
      </c>
    </row>
    <row r="690" spans="2:8" x14ac:dyDescent="0.2">
      <c r="B690" s="27" t="s">
        <v>109</v>
      </c>
      <c r="C690" s="28" t="s">
        <v>969</v>
      </c>
      <c r="D690" s="29" t="s">
        <v>31</v>
      </c>
      <c r="E690" s="30" t="s">
        <v>400</v>
      </c>
      <c r="F690" s="28" t="s">
        <v>356</v>
      </c>
      <c r="G690" s="30" t="s">
        <v>599</v>
      </c>
      <c r="H690" t="str">
        <f>CONCATENATE(Prequal[[#This Row],[CITY]], ", ",Prequal[[#This Row],[STATE]])</f>
        <v>Peru, IL</v>
      </c>
    </row>
    <row r="691" spans="2:8" x14ac:dyDescent="0.2">
      <c r="B691" s="27" t="s">
        <v>109</v>
      </c>
      <c r="C691" s="28" t="s">
        <v>969</v>
      </c>
      <c r="D691" s="29" t="s">
        <v>32</v>
      </c>
      <c r="E691" s="30" t="s">
        <v>400</v>
      </c>
      <c r="F691" s="28" t="s">
        <v>356</v>
      </c>
      <c r="G691" s="30" t="s">
        <v>599</v>
      </c>
      <c r="H691" t="str">
        <f>CONCATENATE(Prequal[[#This Row],[CITY]], ", ",Prequal[[#This Row],[STATE]])</f>
        <v>Peru, IL</v>
      </c>
    </row>
    <row r="692" spans="2:8" x14ac:dyDescent="0.2">
      <c r="B692" s="27" t="s">
        <v>110</v>
      </c>
      <c r="C692" s="28" t="s">
        <v>969</v>
      </c>
      <c r="D692" s="29" t="s">
        <v>4</v>
      </c>
      <c r="E692" s="30" t="s">
        <v>384</v>
      </c>
      <c r="F692" s="28" t="s">
        <v>356</v>
      </c>
      <c r="G692" s="30" t="s">
        <v>600</v>
      </c>
      <c r="H692" t="str">
        <f>CONCATENATE(Prequal[[#This Row],[CITY]], ", ",Prequal[[#This Row],[STATE]])</f>
        <v>Decatur, IL</v>
      </c>
    </row>
    <row r="693" spans="2:8" x14ac:dyDescent="0.2">
      <c r="B693" s="27" t="s">
        <v>110</v>
      </c>
      <c r="C693" s="28" t="s">
        <v>969</v>
      </c>
      <c r="D693" s="29" t="s">
        <v>5</v>
      </c>
      <c r="E693" s="30" t="s">
        <v>384</v>
      </c>
      <c r="F693" s="28" t="s">
        <v>356</v>
      </c>
      <c r="G693" s="30" t="s">
        <v>600</v>
      </c>
      <c r="H693" t="str">
        <f>CONCATENATE(Prequal[[#This Row],[CITY]], ", ",Prequal[[#This Row],[STATE]])</f>
        <v>Decatur, IL</v>
      </c>
    </row>
    <row r="694" spans="2:8" x14ac:dyDescent="0.2">
      <c r="B694" s="27" t="s">
        <v>110</v>
      </c>
      <c r="C694" s="28" t="s">
        <v>969</v>
      </c>
      <c r="D694" s="29" t="s">
        <v>8</v>
      </c>
      <c r="E694" s="30" t="s">
        <v>384</v>
      </c>
      <c r="F694" s="28" t="s">
        <v>356</v>
      </c>
      <c r="G694" s="30" t="s">
        <v>600</v>
      </c>
      <c r="H694" t="str">
        <f>CONCATENATE(Prequal[[#This Row],[CITY]], ", ",Prequal[[#This Row],[STATE]])</f>
        <v>Decatur, IL</v>
      </c>
    </row>
    <row r="695" spans="2:8" x14ac:dyDescent="0.2">
      <c r="B695" s="27" t="s">
        <v>110</v>
      </c>
      <c r="C695" s="28" t="s">
        <v>969</v>
      </c>
      <c r="D695" s="29" t="s">
        <v>24</v>
      </c>
      <c r="E695" s="30" t="s">
        <v>384</v>
      </c>
      <c r="F695" s="28" t="s">
        <v>356</v>
      </c>
      <c r="G695" s="30" t="s">
        <v>600</v>
      </c>
      <c r="H695" t="str">
        <f>CONCATENATE(Prequal[[#This Row],[CITY]], ", ",Prequal[[#This Row],[STATE]])</f>
        <v>Decatur, IL</v>
      </c>
    </row>
    <row r="696" spans="2:8" x14ac:dyDescent="0.2">
      <c r="B696" s="27" t="s">
        <v>110</v>
      </c>
      <c r="C696" s="28" t="s">
        <v>969</v>
      </c>
      <c r="D696" s="29" t="s">
        <v>25</v>
      </c>
      <c r="E696" s="30" t="s">
        <v>384</v>
      </c>
      <c r="F696" s="28" t="s">
        <v>356</v>
      </c>
      <c r="G696" s="30" t="s">
        <v>600</v>
      </c>
      <c r="H696" t="str">
        <f>CONCATENATE(Prequal[[#This Row],[CITY]], ", ",Prequal[[#This Row],[STATE]])</f>
        <v>Decatur, IL</v>
      </c>
    </row>
    <row r="697" spans="2:8" x14ac:dyDescent="0.2">
      <c r="B697" s="27" t="s">
        <v>110</v>
      </c>
      <c r="C697" s="28" t="s">
        <v>969</v>
      </c>
      <c r="D697" s="29" t="s">
        <v>9</v>
      </c>
      <c r="E697" s="30" t="s">
        <v>384</v>
      </c>
      <c r="F697" s="28" t="s">
        <v>356</v>
      </c>
      <c r="G697" s="30" t="s">
        <v>600</v>
      </c>
      <c r="H697" t="str">
        <f>CONCATENATE(Prequal[[#This Row],[CITY]], ", ",Prequal[[#This Row],[STATE]])</f>
        <v>Decatur, IL</v>
      </c>
    </row>
    <row r="698" spans="2:8" x14ac:dyDescent="0.2">
      <c r="B698" s="27" t="s">
        <v>110</v>
      </c>
      <c r="C698" s="28" t="s">
        <v>969</v>
      </c>
      <c r="D698" s="29" t="s">
        <v>27</v>
      </c>
      <c r="E698" s="30" t="s">
        <v>384</v>
      </c>
      <c r="F698" s="28" t="s">
        <v>356</v>
      </c>
      <c r="G698" s="30" t="s">
        <v>600</v>
      </c>
      <c r="H698" t="str">
        <f>CONCATENATE(Prequal[[#This Row],[CITY]], ", ",Prequal[[#This Row],[STATE]])</f>
        <v>Decatur, IL</v>
      </c>
    </row>
    <row r="699" spans="2:8" x14ac:dyDescent="0.2">
      <c r="B699" s="27" t="s">
        <v>110</v>
      </c>
      <c r="C699" s="28" t="s">
        <v>969</v>
      </c>
      <c r="D699" s="29" t="s">
        <v>10</v>
      </c>
      <c r="E699" s="30" t="s">
        <v>384</v>
      </c>
      <c r="F699" s="28" t="s">
        <v>356</v>
      </c>
      <c r="G699" s="30" t="s">
        <v>600</v>
      </c>
      <c r="H699" t="str">
        <f>CONCATENATE(Prequal[[#This Row],[CITY]], ", ",Prequal[[#This Row],[STATE]])</f>
        <v>Decatur, IL</v>
      </c>
    </row>
    <row r="700" spans="2:8" x14ac:dyDescent="0.2">
      <c r="B700" s="27" t="s">
        <v>110</v>
      </c>
      <c r="C700" s="28" t="s">
        <v>969</v>
      </c>
      <c r="D700" s="29" t="s">
        <v>29</v>
      </c>
      <c r="E700" s="30" t="s">
        <v>384</v>
      </c>
      <c r="F700" s="28" t="s">
        <v>356</v>
      </c>
      <c r="G700" s="30" t="s">
        <v>600</v>
      </c>
      <c r="H700" t="str">
        <f>CONCATENATE(Prequal[[#This Row],[CITY]], ", ",Prequal[[#This Row],[STATE]])</f>
        <v>Decatur, IL</v>
      </c>
    </row>
    <row r="701" spans="2:8" x14ac:dyDescent="0.2">
      <c r="B701" s="27" t="s">
        <v>110</v>
      </c>
      <c r="C701" s="28" t="s">
        <v>969</v>
      </c>
      <c r="D701" s="29" t="s">
        <v>14</v>
      </c>
      <c r="E701" s="30" t="s">
        <v>384</v>
      </c>
      <c r="F701" s="28" t="s">
        <v>356</v>
      </c>
      <c r="G701" s="30" t="s">
        <v>600</v>
      </c>
      <c r="H701" t="str">
        <f>CONCATENATE(Prequal[[#This Row],[CITY]], ", ",Prequal[[#This Row],[STATE]])</f>
        <v>Decatur, IL</v>
      </c>
    </row>
    <row r="702" spans="2:8" x14ac:dyDescent="0.2">
      <c r="B702" s="27" t="s">
        <v>110</v>
      </c>
      <c r="C702" s="28" t="s">
        <v>969</v>
      </c>
      <c r="D702" s="29" t="s">
        <v>15</v>
      </c>
      <c r="E702" s="30" t="s">
        <v>384</v>
      </c>
      <c r="F702" s="28" t="s">
        <v>356</v>
      </c>
      <c r="G702" s="30" t="s">
        <v>600</v>
      </c>
      <c r="H702" t="str">
        <f>CONCATENATE(Prequal[[#This Row],[CITY]], ", ",Prequal[[#This Row],[STATE]])</f>
        <v>Decatur, IL</v>
      </c>
    </row>
    <row r="703" spans="2:8" x14ac:dyDescent="0.2">
      <c r="B703" s="27" t="s">
        <v>110</v>
      </c>
      <c r="C703" s="28" t="s">
        <v>969</v>
      </c>
      <c r="D703" s="29" t="s">
        <v>1004</v>
      </c>
      <c r="E703" s="30" t="s">
        <v>384</v>
      </c>
      <c r="F703" s="28" t="s">
        <v>356</v>
      </c>
      <c r="G703" s="30" t="s">
        <v>600</v>
      </c>
      <c r="H703" t="str">
        <f>CONCATENATE(Prequal[[#This Row],[CITY]], ", ",Prequal[[#This Row],[STATE]])</f>
        <v>Decatur, IL</v>
      </c>
    </row>
    <row r="704" spans="2:8" x14ac:dyDescent="0.2">
      <c r="B704" s="27" t="s">
        <v>110</v>
      </c>
      <c r="C704" s="28" t="s">
        <v>969</v>
      </c>
      <c r="D704" s="29" t="s">
        <v>30</v>
      </c>
      <c r="E704" s="30" t="s">
        <v>384</v>
      </c>
      <c r="F704" s="28" t="s">
        <v>356</v>
      </c>
      <c r="G704" s="30" t="s">
        <v>600</v>
      </c>
      <c r="H704" t="str">
        <f>CONCATENATE(Prequal[[#This Row],[CITY]], ", ",Prequal[[#This Row],[STATE]])</f>
        <v>Decatur, IL</v>
      </c>
    </row>
    <row r="705" spans="2:8" x14ac:dyDescent="0.2">
      <c r="B705" s="27" t="s">
        <v>110</v>
      </c>
      <c r="C705" s="28" t="s">
        <v>969</v>
      </c>
      <c r="D705" s="29" t="s">
        <v>31</v>
      </c>
      <c r="E705" s="30" t="s">
        <v>384</v>
      </c>
      <c r="F705" s="28" t="s">
        <v>356</v>
      </c>
      <c r="G705" s="30" t="s">
        <v>600</v>
      </c>
      <c r="H705" t="str">
        <f>CONCATENATE(Prequal[[#This Row],[CITY]], ", ",Prequal[[#This Row],[STATE]])</f>
        <v>Decatur, IL</v>
      </c>
    </row>
    <row r="706" spans="2:8" x14ac:dyDescent="0.2">
      <c r="B706" s="27" t="s">
        <v>110</v>
      </c>
      <c r="C706" s="28" t="s">
        <v>969</v>
      </c>
      <c r="D706" s="29" t="s">
        <v>32</v>
      </c>
      <c r="E706" s="30" t="s">
        <v>384</v>
      </c>
      <c r="F706" s="28" t="s">
        <v>356</v>
      </c>
      <c r="G706" s="30" t="s">
        <v>600</v>
      </c>
      <c r="H706" t="str">
        <f>CONCATENATE(Prequal[[#This Row],[CITY]], ", ",Prequal[[#This Row],[STATE]])</f>
        <v>Decatur, IL</v>
      </c>
    </row>
    <row r="707" spans="2:8" x14ac:dyDescent="0.2">
      <c r="B707" s="27" t="s">
        <v>862</v>
      </c>
      <c r="C707" s="28" t="s">
        <v>970</v>
      </c>
      <c r="D707" s="29" t="s">
        <v>46</v>
      </c>
      <c r="E707" s="30" t="s">
        <v>473</v>
      </c>
      <c r="F707" s="28" t="s">
        <v>356</v>
      </c>
      <c r="G707" s="30" t="s">
        <v>863</v>
      </c>
      <c r="H707" t="str">
        <f>CONCATENATE(Prequal[[#This Row],[CITY]], ", ",Prequal[[#This Row],[STATE]])</f>
        <v>Glenview, IL</v>
      </c>
    </row>
    <row r="708" spans="2:8" x14ac:dyDescent="0.2">
      <c r="B708" s="27" t="s">
        <v>1025</v>
      </c>
      <c r="C708" s="28" t="s">
        <v>969</v>
      </c>
      <c r="D708" s="29" t="s">
        <v>70</v>
      </c>
      <c r="E708" s="30" t="s">
        <v>376</v>
      </c>
      <c r="F708" s="28" t="s">
        <v>356</v>
      </c>
      <c r="G708" s="30" t="s">
        <v>1026</v>
      </c>
      <c r="H708" t="str">
        <f>CONCATENATE(Prequal[[#This Row],[CITY]], ", ",Prequal[[#This Row],[STATE]])</f>
        <v>Northbrook, IL</v>
      </c>
    </row>
    <row r="709" spans="2:8" x14ac:dyDescent="0.2">
      <c r="B709" s="27" t="s">
        <v>1025</v>
      </c>
      <c r="C709" s="28" t="s">
        <v>969</v>
      </c>
      <c r="D709" s="29" t="s">
        <v>976</v>
      </c>
      <c r="E709" s="30" t="s">
        <v>376</v>
      </c>
      <c r="F709" s="28" t="s">
        <v>356</v>
      </c>
      <c r="G709" s="30" t="s">
        <v>1026</v>
      </c>
      <c r="H709" t="str">
        <f>CONCATENATE(Prequal[[#This Row],[CITY]], ", ",Prequal[[#This Row],[STATE]])</f>
        <v>Northbrook, IL</v>
      </c>
    </row>
    <row r="710" spans="2:8" x14ac:dyDescent="0.2">
      <c r="B710" s="27" t="s">
        <v>1025</v>
      </c>
      <c r="C710" s="28" t="s">
        <v>969</v>
      </c>
      <c r="D710" s="29" t="s">
        <v>978</v>
      </c>
      <c r="E710" s="30" t="s">
        <v>376</v>
      </c>
      <c r="F710" s="28" t="s">
        <v>356</v>
      </c>
      <c r="G710" s="30" t="s">
        <v>1026</v>
      </c>
      <c r="H710" t="str">
        <f>CONCATENATE(Prequal[[#This Row],[CITY]], ", ",Prequal[[#This Row],[STATE]])</f>
        <v>Northbrook, IL</v>
      </c>
    </row>
    <row r="711" spans="2:8" x14ac:dyDescent="0.2">
      <c r="B711" s="27" t="s">
        <v>111</v>
      </c>
      <c r="C711" s="28" t="s">
        <v>969</v>
      </c>
      <c r="D711" s="29" t="s">
        <v>46</v>
      </c>
      <c r="E711" s="30" t="s">
        <v>401</v>
      </c>
      <c r="F711" s="28" t="s">
        <v>356</v>
      </c>
      <c r="G711" s="30" t="s">
        <v>601</v>
      </c>
      <c r="H711" t="str">
        <f>CONCATENATE(Prequal[[#This Row],[CITY]], ", ",Prequal[[#This Row],[STATE]])</f>
        <v>Thornton, IL</v>
      </c>
    </row>
    <row r="712" spans="2:8" x14ac:dyDescent="0.2">
      <c r="B712" s="27" t="s">
        <v>111</v>
      </c>
      <c r="C712" s="28" t="s">
        <v>969</v>
      </c>
      <c r="D712" s="29" t="s">
        <v>47</v>
      </c>
      <c r="E712" s="30" t="s">
        <v>401</v>
      </c>
      <c r="F712" s="28" t="s">
        <v>356</v>
      </c>
      <c r="G712" s="30" t="s">
        <v>601</v>
      </c>
      <c r="H712" t="str">
        <f>CONCATENATE(Prequal[[#This Row],[CITY]], ", ",Prequal[[#This Row],[STATE]])</f>
        <v>Thornton, IL</v>
      </c>
    </row>
    <row r="713" spans="2:8" x14ac:dyDescent="0.2">
      <c r="B713" s="27" t="s">
        <v>111</v>
      </c>
      <c r="C713" s="28" t="s">
        <v>969</v>
      </c>
      <c r="D713" s="29" t="s">
        <v>48</v>
      </c>
      <c r="E713" s="30" t="s">
        <v>401</v>
      </c>
      <c r="F713" s="28" t="s">
        <v>356</v>
      </c>
      <c r="G713" s="30" t="s">
        <v>601</v>
      </c>
      <c r="H713" t="str">
        <f>CONCATENATE(Prequal[[#This Row],[CITY]], ", ",Prequal[[#This Row],[STATE]])</f>
        <v>Thornton, IL</v>
      </c>
    </row>
    <row r="714" spans="2:8" x14ac:dyDescent="0.2">
      <c r="B714" s="27" t="s">
        <v>111</v>
      </c>
      <c r="C714" s="28" t="s">
        <v>969</v>
      </c>
      <c r="D714" s="29" t="s">
        <v>107</v>
      </c>
      <c r="E714" s="30" t="s">
        <v>401</v>
      </c>
      <c r="F714" s="28" t="s">
        <v>356</v>
      </c>
      <c r="G714" s="30" t="s">
        <v>601</v>
      </c>
      <c r="H714" t="str">
        <f>CONCATENATE(Prequal[[#This Row],[CITY]], ", ",Prequal[[#This Row],[STATE]])</f>
        <v>Thornton, IL</v>
      </c>
    </row>
    <row r="715" spans="2:8" x14ac:dyDescent="0.2">
      <c r="B715" s="27" t="s">
        <v>111</v>
      </c>
      <c r="C715" s="28" t="s">
        <v>969</v>
      </c>
      <c r="D715" s="29" t="s">
        <v>108</v>
      </c>
      <c r="E715" s="30" t="s">
        <v>401</v>
      </c>
      <c r="F715" s="28" t="s">
        <v>356</v>
      </c>
      <c r="G715" s="30" t="s">
        <v>601</v>
      </c>
      <c r="H715" t="str">
        <f>CONCATENATE(Prequal[[#This Row],[CITY]], ", ",Prequal[[#This Row],[STATE]])</f>
        <v>Thornton, IL</v>
      </c>
    </row>
    <row r="716" spans="2:8" x14ac:dyDescent="0.2">
      <c r="B716" s="27" t="s">
        <v>112</v>
      </c>
      <c r="C716" s="28" t="s">
        <v>970</v>
      </c>
      <c r="D716" s="29" t="s">
        <v>35</v>
      </c>
      <c r="E716" s="30" t="s">
        <v>947</v>
      </c>
      <c r="F716" s="28" t="s">
        <v>356</v>
      </c>
      <c r="G716" s="30" t="s">
        <v>602</v>
      </c>
      <c r="H716" t="str">
        <f>CONCATENATE(Prequal[[#This Row],[CITY]], ", ",Prequal[[#This Row],[STATE]])</f>
        <v>Chicago, IL</v>
      </c>
    </row>
    <row r="717" spans="2:8" x14ac:dyDescent="0.2">
      <c r="B717" s="27" t="s">
        <v>112</v>
      </c>
      <c r="C717" s="28" t="s">
        <v>970</v>
      </c>
      <c r="D717" s="29" t="s">
        <v>36</v>
      </c>
      <c r="E717" s="30" t="s">
        <v>947</v>
      </c>
      <c r="F717" s="28" t="s">
        <v>356</v>
      </c>
      <c r="G717" s="30" t="s">
        <v>602</v>
      </c>
      <c r="H717" t="str">
        <f>CONCATENATE(Prequal[[#This Row],[CITY]], ", ",Prequal[[#This Row],[STATE]])</f>
        <v>Chicago, IL</v>
      </c>
    </row>
    <row r="718" spans="2:8" x14ac:dyDescent="0.2">
      <c r="B718" s="27" t="s">
        <v>112</v>
      </c>
      <c r="C718" s="28" t="s">
        <v>970</v>
      </c>
      <c r="D718" s="29" t="s">
        <v>4</v>
      </c>
      <c r="E718" s="30" t="s">
        <v>947</v>
      </c>
      <c r="F718" s="28" t="s">
        <v>356</v>
      </c>
      <c r="G718" s="30" t="s">
        <v>602</v>
      </c>
      <c r="H718" t="str">
        <f>CONCATENATE(Prequal[[#This Row],[CITY]], ", ",Prequal[[#This Row],[STATE]])</f>
        <v>Chicago, IL</v>
      </c>
    </row>
    <row r="719" spans="2:8" x14ac:dyDescent="0.2">
      <c r="B719" s="27" t="s">
        <v>112</v>
      </c>
      <c r="C719" s="28" t="s">
        <v>970</v>
      </c>
      <c r="D719" s="29" t="s">
        <v>5</v>
      </c>
      <c r="E719" s="30" t="s">
        <v>947</v>
      </c>
      <c r="F719" s="28" t="s">
        <v>356</v>
      </c>
      <c r="G719" s="30" t="s">
        <v>602</v>
      </c>
      <c r="H719" t="str">
        <f>CONCATENATE(Prequal[[#This Row],[CITY]], ", ",Prequal[[#This Row],[STATE]])</f>
        <v>Chicago, IL</v>
      </c>
    </row>
    <row r="720" spans="2:8" x14ac:dyDescent="0.2">
      <c r="B720" s="27" t="s">
        <v>112</v>
      </c>
      <c r="C720" s="28" t="s">
        <v>970</v>
      </c>
      <c r="D720" s="29" t="s">
        <v>25</v>
      </c>
      <c r="E720" s="30" t="s">
        <v>947</v>
      </c>
      <c r="F720" s="28" t="s">
        <v>356</v>
      </c>
      <c r="G720" s="30" t="s">
        <v>602</v>
      </c>
      <c r="H720" t="str">
        <f>CONCATENATE(Prequal[[#This Row],[CITY]], ", ",Prequal[[#This Row],[STATE]])</f>
        <v>Chicago, IL</v>
      </c>
    </row>
    <row r="721" spans="2:8" x14ac:dyDescent="0.2">
      <c r="B721" s="27" t="s">
        <v>112</v>
      </c>
      <c r="C721" s="28" t="s">
        <v>970</v>
      </c>
      <c r="D721" s="29" t="s">
        <v>9</v>
      </c>
      <c r="E721" s="30" t="s">
        <v>947</v>
      </c>
      <c r="F721" s="28" t="s">
        <v>356</v>
      </c>
      <c r="G721" s="30" t="s">
        <v>602</v>
      </c>
      <c r="H721" t="str">
        <f>CONCATENATE(Prequal[[#This Row],[CITY]], ", ",Prequal[[#This Row],[STATE]])</f>
        <v>Chicago, IL</v>
      </c>
    </row>
    <row r="722" spans="2:8" x14ac:dyDescent="0.2">
      <c r="B722" s="27" t="s">
        <v>112</v>
      </c>
      <c r="C722" s="28" t="s">
        <v>970</v>
      </c>
      <c r="D722" s="29" t="s">
        <v>27</v>
      </c>
      <c r="E722" s="30" t="s">
        <v>947</v>
      </c>
      <c r="F722" s="28" t="s">
        <v>356</v>
      </c>
      <c r="G722" s="30" t="s">
        <v>602</v>
      </c>
      <c r="H722" t="str">
        <f>CONCATENATE(Prequal[[#This Row],[CITY]], ", ",Prequal[[#This Row],[STATE]])</f>
        <v>Chicago, IL</v>
      </c>
    </row>
    <row r="723" spans="2:8" x14ac:dyDescent="0.2">
      <c r="B723" s="27" t="s">
        <v>112</v>
      </c>
      <c r="C723" s="28" t="s">
        <v>970</v>
      </c>
      <c r="D723" s="29" t="s">
        <v>10</v>
      </c>
      <c r="E723" s="30" t="s">
        <v>947</v>
      </c>
      <c r="F723" s="28" t="s">
        <v>356</v>
      </c>
      <c r="G723" s="30" t="s">
        <v>602</v>
      </c>
      <c r="H723" t="str">
        <f>CONCATENATE(Prequal[[#This Row],[CITY]], ", ",Prequal[[#This Row],[STATE]])</f>
        <v>Chicago, IL</v>
      </c>
    </row>
    <row r="724" spans="2:8" x14ac:dyDescent="0.2">
      <c r="B724" s="27" t="s">
        <v>112</v>
      </c>
      <c r="C724" s="28" t="s">
        <v>970</v>
      </c>
      <c r="D724" s="29" t="s">
        <v>51</v>
      </c>
      <c r="E724" s="30" t="s">
        <v>947</v>
      </c>
      <c r="F724" s="28" t="s">
        <v>356</v>
      </c>
      <c r="G724" s="30" t="s">
        <v>602</v>
      </c>
      <c r="H724" t="str">
        <f>CONCATENATE(Prequal[[#This Row],[CITY]], ", ",Prequal[[#This Row],[STATE]])</f>
        <v>Chicago, IL</v>
      </c>
    </row>
    <row r="725" spans="2:8" x14ac:dyDescent="0.2">
      <c r="B725" s="27" t="s">
        <v>112</v>
      </c>
      <c r="C725" s="28" t="s">
        <v>970</v>
      </c>
      <c r="D725" s="29" t="s">
        <v>39</v>
      </c>
      <c r="E725" s="30" t="s">
        <v>947</v>
      </c>
      <c r="F725" s="28" t="s">
        <v>356</v>
      </c>
      <c r="G725" s="30" t="s">
        <v>602</v>
      </c>
      <c r="H725" t="str">
        <f>CONCATENATE(Prequal[[#This Row],[CITY]], ", ",Prequal[[#This Row],[STATE]])</f>
        <v>Chicago, IL</v>
      </c>
    </row>
    <row r="726" spans="2:8" x14ac:dyDescent="0.2">
      <c r="B726" s="27" t="s">
        <v>112</v>
      </c>
      <c r="C726" s="28" t="s">
        <v>970</v>
      </c>
      <c r="D726" s="29" t="s">
        <v>56</v>
      </c>
      <c r="E726" s="30" t="s">
        <v>947</v>
      </c>
      <c r="F726" s="28" t="s">
        <v>356</v>
      </c>
      <c r="G726" s="30" t="s">
        <v>602</v>
      </c>
      <c r="H726" t="str">
        <f>CONCATENATE(Prequal[[#This Row],[CITY]], ", ",Prequal[[#This Row],[STATE]])</f>
        <v>Chicago, IL</v>
      </c>
    </row>
    <row r="727" spans="2:8" x14ac:dyDescent="0.2">
      <c r="B727" s="27" t="s">
        <v>112</v>
      </c>
      <c r="C727" s="28" t="s">
        <v>970</v>
      </c>
      <c r="D727" s="29" t="s">
        <v>57</v>
      </c>
      <c r="E727" s="30" t="s">
        <v>947</v>
      </c>
      <c r="F727" s="28" t="s">
        <v>356</v>
      </c>
      <c r="G727" s="30" t="s">
        <v>602</v>
      </c>
      <c r="H727" t="str">
        <f>CONCATENATE(Prequal[[#This Row],[CITY]], ", ",Prequal[[#This Row],[STATE]])</f>
        <v>Chicago, IL</v>
      </c>
    </row>
    <row r="728" spans="2:8" x14ac:dyDescent="0.2">
      <c r="B728" s="27" t="s">
        <v>113</v>
      </c>
      <c r="C728" s="28" t="s">
        <v>969</v>
      </c>
      <c r="D728" s="29" t="s">
        <v>4</v>
      </c>
      <c r="E728" s="30" t="s">
        <v>947</v>
      </c>
      <c r="F728" s="28" t="s">
        <v>356</v>
      </c>
      <c r="G728" s="30" t="s">
        <v>603</v>
      </c>
      <c r="H728" t="str">
        <f>CONCATENATE(Prequal[[#This Row],[CITY]], ", ",Prequal[[#This Row],[STATE]])</f>
        <v>Chicago, IL</v>
      </c>
    </row>
    <row r="729" spans="2:8" x14ac:dyDescent="0.2">
      <c r="B729" s="27" t="s">
        <v>113</v>
      </c>
      <c r="C729" s="28" t="s">
        <v>969</v>
      </c>
      <c r="D729" s="29" t="s">
        <v>5</v>
      </c>
      <c r="E729" s="30" t="s">
        <v>947</v>
      </c>
      <c r="F729" s="28" t="s">
        <v>356</v>
      </c>
      <c r="G729" s="30" t="s">
        <v>603</v>
      </c>
      <c r="H729" t="str">
        <f>CONCATENATE(Prequal[[#This Row],[CITY]], ", ",Prequal[[#This Row],[STATE]])</f>
        <v>Chicago, IL</v>
      </c>
    </row>
    <row r="730" spans="2:8" x14ac:dyDescent="0.2">
      <c r="B730" s="27" t="s">
        <v>113</v>
      </c>
      <c r="C730" s="28" t="s">
        <v>969</v>
      </c>
      <c r="D730" s="29" t="s">
        <v>6</v>
      </c>
      <c r="E730" s="30" t="s">
        <v>947</v>
      </c>
      <c r="F730" s="28" t="s">
        <v>356</v>
      </c>
      <c r="G730" s="30" t="s">
        <v>603</v>
      </c>
      <c r="H730" t="str">
        <f>CONCATENATE(Prequal[[#This Row],[CITY]], ", ",Prequal[[#This Row],[STATE]])</f>
        <v>Chicago, IL</v>
      </c>
    </row>
    <row r="731" spans="2:8" x14ac:dyDescent="0.2">
      <c r="B731" s="27" t="s">
        <v>113</v>
      </c>
      <c r="C731" s="28" t="s">
        <v>969</v>
      </c>
      <c r="D731" s="29" t="s">
        <v>7</v>
      </c>
      <c r="E731" s="30" t="s">
        <v>947</v>
      </c>
      <c r="F731" s="28" t="s">
        <v>356</v>
      </c>
      <c r="G731" s="30" t="s">
        <v>603</v>
      </c>
      <c r="H731" t="str">
        <f>CONCATENATE(Prequal[[#This Row],[CITY]], ", ",Prequal[[#This Row],[STATE]])</f>
        <v>Chicago, IL</v>
      </c>
    </row>
    <row r="732" spans="2:8" x14ac:dyDescent="0.2">
      <c r="B732" s="27" t="s">
        <v>113</v>
      </c>
      <c r="C732" s="28" t="s">
        <v>969</v>
      </c>
      <c r="D732" s="29" t="s">
        <v>8</v>
      </c>
      <c r="E732" s="30" t="s">
        <v>947</v>
      </c>
      <c r="F732" s="28" t="s">
        <v>356</v>
      </c>
      <c r="G732" s="30" t="s">
        <v>603</v>
      </c>
      <c r="H732" t="str">
        <f>CONCATENATE(Prequal[[#This Row],[CITY]], ", ",Prequal[[#This Row],[STATE]])</f>
        <v>Chicago, IL</v>
      </c>
    </row>
    <row r="733" spans="2:8" x14ac:dyDescent="0.2">
      <c r="B733" s="27" t="s">
        <v>113</v>
      </c>
      <c r="C733" s="28" t="s">
        <v>969</v>
      </c>
      <c r="D733" s="29" t="s">
        <v>24</v>
      </c>
      <c r="E733" s="30" t="s">
        <v>947</v>
      </c>
      <c r="F733" s="28" t="s">
        <v>356</v>
      </c>
      <c r="G733" s="30" t="s">
        <v>603</v>
      </c>
      <c r="H733" t="str">
        <f>CONCATENATE(Prequal[[#This Row],[CITY]], ", ",Prequal[[#This Row],[STATE]])</f>
        <v>Chicago, IL</v>
      </c>
    </row>
    <row r="734" spans="2:8" x14ac:dyDescent="0.2">
      <c r="B734" s="27" t="s">
        <v>113</v>
      </c>
      <c r="C734" s="28" t="s">
        <v>969</v>
      </c>
      <c r="D734" s="29" t="s">
        <v>25</v>
      </c>
      <c r="E734" s="30" t="s">
        <v>947</v>
      </c>
      <c r="F734" s="28" t="s">
        <v>356</v>
      </c>
      <c r="G734" s="30" t="s">
        <v>603</v>
      </c>
      <c r="H734" t="str">
        <f>CONCATENATE(Prequal[[#This Row],[CITY]], ", ",Prequal[[#This Row],[STATE]])</f>
        <v>Chicago, IL</v>
      </c>
    </row>
    <row r="735" spans="2:8" x14ac:dyDescent="0.2">
      <c r="B735" s="27" t="s">
        <v>113</v>
      </c>
      <c r="C735" s="28" t="s">
        <v>969</v>
      </c>
      <c r="D735" s="29" t="s">
        <v>9</v>
      </c>
      <c r="E735" s="30" t="s">
        <v>947</v>
      </c>
      <c r="F735" s="28" t="s">
        <v>356</v>
      </c>
      <c r="G735" s="30" t="s">
        <v>603</v>
      </c>
      <c r="H735" t="str">
        <f>CONCATENATE(Prequal[[#This Row],[CITY]], ", ",Prequal[[#This Row],[STATE]])</f>
        <v>Chicago, IL</v>
      </c>
    </row>
    <row r="736" spans="2:8" x14ac:dyDescent="0.2">
      <c r="B736" s="27" t="s">
        <v>113</v>
      </c>
      <c r="C736" s="28" t="s">
        <v>969</v>
      </c>
      <c r="D736" s="29" t="s">
        <v>26</v>
      </c>
      <c r="E736" s="30" t="s">
        <v>947</v>
      </c>
      <c r="F736" s="28" t="s">
        <v>356</v>
      </c>
      <c r="G736" s="30" t="s">
        <v>603</v>
      </c>
      <c r="H736" t="str">
        <f>CONCATENATE(Prequal[[#This Row],[CITY]], ", ",Prequal[[#This Row],[STATE]])</f>
        <v>Chicago, IL</v>
      </c>
    </row>
    <row r="737" spans="2:8" x14ac:dyDescent="0.2">
      <c r="B737" s="27" t="s">
        <v>113</v>
      </c>
      <c r="C737" s="28" t="s">
        <v>969</v>
      </c>
      <c r="D737" s="29" t="s">
        <v>20</v>
      </c>
      <c r="E737" s="30" t="s">
        <v>947</v>
      </c>
      <c r="F737" s="28" t="s">
        <v>356</v>
      </c>
      <c r="G737" s="30" t="s">
        <v>603</v>
      </c>
      <c r="H737" t="str">
        <f>CONCATENATE(Prequal[[#This Row],[CITY]], ", ",Prequal[[#This Row],[STATE]])</f>
        <v>Chicago, IL</v>
      </c>
    </row>
    <row r="738" spans="2:8" x14ac:dyDescent="0.2">
      <c r="B738" s="27" t="s">
        <v>113</v>
      </c>
      <c r="C738" s="28" t="s">
        <v>969</v>
      </c>
      <c r="D738" s="29" t="s">
        <v>49</v>
      </c>
      <c r="E738" s="30" t="s">
        <v>947</v>
      </c>
      <c r="F738" s="28" t="s">
        <v>356</v>
      </c>
      <c r="G738" s="30" t="s">
        <v>603</v>
      </c>
      <c r="H738" t="str">
        <f>CONCATENATE(Prequal[[#This Row],[CITY]], ", ",Prequal[[#This Row],[STATE]])</f>
        <v>Chicago, IL</v>
      </c>
    </row>
    <row r="739" spans="2:8" x14ac:dyDescent="0.2">
      <c r="B739" s="27" t="s">
        <v>113</v>
      </c>
      <c r="C739" s="28" t="s">
        <v>969</v>
      </c>
      <c r="D739" s="29" t="s">
        <v>27</v>
      </c>
      <c r="E739" s="30" t="s">
        <v>947</v>
      </c>
      <c r="F739" s="28" t="s">
        <v>356</v>
      </c>
      <c r="G739" s="30" t="s">
        <v>603</v>
      </c>
      <c r="H739" t="str">
        <f>CONCATENATE(Prequal[[#This Row],[CITY]], ", ",Prequal[[#This Row],[STATE]])</f>
        <v>Chicago, IL</v>
      </c>
    </row>
    <row r="740" spans="2:8" x14ac:dyDescent="0.2">
      <c r="B740" s="27" t="s">
        <v>113</v>
      </c>
      <c r="C740" s="28" t="s">
        <v>969</v>
      </c>
      <c r="D740" s="29" t="s">
        <v>10</v>
      </c>
      <c r="E740" s="30" t="s">
        <v>947</v>
      </c>
      <c r="F740" s="28" t="s">
        <v>356</v>
      </c>
      <c r="G740" s="30" t="s">
        <v>603</v>
      </c>
      <c r="H740" t="str">
        <f>CONCATENATE(Prequal[[#This Row],[CITY]], ", ",Prequal[[#This Row],[STATE]])</f>
        <v>Chicago, IL</v>
      </c>
    </row>
    <row r="741" spans="2:8" x14ac:dyDescent="0.2">
      <c r="B741" s="27" t="s">
        <v>113</v>
      </c>
      <c r="C741" s="28" t="s">
        <v>969</v>
      </c>
      <c r="D741" s="29" t="s">
        <v>21</v>
      </c>
      <c r="E741" s="30" t="s">
        <v>947</v>
      </c>
      <c r="F741" s="28" t="s">
        <v>356</v>
      </c>
      <c r="G741" s="30" t="s">
        <v>603</v>
      </c>
      <c r="H741" t="str">
        <f>CONCATENATE(Prequal[[#This Row],[CITY]], ", ",Prequal[[#This Row],[STATE]])</f>
        <v>Chicago, IL</v>
      </c>
    </row>
    <row r="742" spans="2:8" x14ac:dyDescent="0.2">
      <c r="B742" s="27" t="s">
        <v>113</v>
      </c>
      <c r="C742" s="28" t="s">
        <v>969</v>
      </c>
      <c r="D742" s="29" t="s">
        <v>22</v>
      </c>
      <c r="E742" s="30" t="s">
        <v>947</v>
      </c>
      <c r="F742" s="28" t="s">
        <v>356</v>
      </c>
      <c r="G742" s="30" t="s">
        <v>603</v>
      </c>
      <c r="H742" t="str">
        <f>CONCATENATE(Prequal[[#This Row],[CITY]], ", ",Prequal[[#This Row],[STATE]])</f>
        <v>Chicago, IL</v>
      </c>
    </row>
    <row r="743" spans="2:8" x14ac:dyDescent="0.2">
      <c r="B743" s="27" t="s">
        <v>113</v>
      </c>
      <c r="C743" s="28" t="s">
        <v>969</v>
      </c>
      <c r="D743" s="29" t="s">
        <v>39</v>
      </c>
      <c r="E743" s="30" t="s">
        <v>947</v>
      </c>
      <c r="F743" s="28" t="s">
        <v>356</v>
      </c>
      <c r="G743" s="30" t="s">
        <v>603</v>
      </c>
      <c r="H743" t="str">
        <f>CONCATENATE(Prequal[[#This Row],[CITY]], ", ",Prequal[[#This Row],[STATE]])</f>
        <v>Chicago, IL</v>
      </c>
    </row>
    <row r="744" spans="2:8" x14ac:dyDescent="0.2">
      <c r="B744" s="27" t="s">
        <v>113</v>
      </c>
      <c r="C744" s="28" t="s">
        <v>969</v>
      </c>
      <c r="D744" s="29" t="s">
        <v>12</v>
      </c>
      <c r="E744" s="30" t="s">
        <v>947</v>
      </c>
      <c r="F744" s="28" t="s">
        <v>356</v>
      </c>
      <c r="G744" s="30" t="s">
        <v>603</v>
      </c>
      <c r="H744" t="str">
        <f>CONCATENATE(Prequal[[#This Row],[CITY]], ", ",Prequal[[#This Row],[STATE]])</f>
        <v>Chicago, IL</v>
      </c>
    </row>
    <row r="745" spans="2:8" x14ac:dyDescent="0.2">
      <c r="B745" s="27" t="s">
        <v>113</v>
      </c>
      <c r="C745" s="28" t="s">
        <v>969</v>
      </c>
      <c r="D745" s="29" t="s">
        <v>29</v>
      </c>
      <c r="E745" s="30" t="s">
        <v>947</v>
      </c>
      <c r="F745" s="28" t="s">
        <v>356</v>
      </c>
      <c r="G745" s="30" t="s">
        <v>603</v>
      </c>
      <c r="H745" t="str">
        <f>CONCATENATE(Prequal[[#This Row],[CITY]], ", ",Prequal[[#This Row],[STATE]])</f>
        <v>Chicago, IL</v>
      </c>
    </row>
    <row r="746" spans="2:8" x14ac:dyDescent="0.2">
      <c r="B746" s="27" t="s">
        <v>113</v>
      </c>
      <c r="C746" s="28" t="s">
        <v>969</v>
      </c>
      <c r="D746" s="29" t="s">
        <v>37</v>
      </c>
      <c r="E746" s="30" t="s">
        <v>947</v>
      </c>
      <c r="F746" s="28" t="s">
        <v>356</v>
      </c>
      <c r="G746" s="30" t="s">
        <v>603</v>
      </c>
      <c r="H746" t="str">
        <f>CONCATENATE(Prequal[[#This Row],[CITY]], ", ",Prequal[[#This Row],[STATE]])</f>
        <v>Chicago, IL</v>
      </c>
    </row>
    <row r="747" spans="2:8" x14ac:dyDescent="0.2">
      <c r="B747" s="27" t="s">
        <v>113</v>
      </c>
      <c r="C747" s="28" t="s">
        <v>969</v>
      </c>
      <c r="D747" s="29" t="s">
        <v>13</v>
      </c>
      <c r="E747" s="30" t="s">
        <v>947</v>
      </c>
      <c r="F747" s="28" t="s">
        <v>356</v>
      </c>
      <c r="G747" s="30" t="s">
        <v>603</v>
      </c>
      <c r="H747" t="str">
        <f>CONCATENATE(Prequal[[#This Row],[CITY]], ", ",Prequal[[#This Row],[STATE]])</f>
        <v>Chicago, IL</v>
      </c>
    </row>
    <row r="748" spans="2:8" x14ac:dyDescent="0.2">
      <c r="B748" s="27" t="s">
        <v>113</v>
      </c>
      <c r="C748" s="28" t="s">
        <v>969</v>
      </c>
      <c r="D748" s="29" t="s">
        <v>14</v>
      </c>
      <c r="E748" s="30" t="s">
        <v>947</v>
      </c>
      <c r="F748" s="28" t="s">
        <v>356</v>
      </c>
      <c r="G748" s="30" t="s">
        <v>603</v>
      </c>
      <c r="H748" t="str">
        <f>CONCATENATE(Prequal[[#This Row],[CITY]], ", ",Prequal[[#This Row],[STATE]])</f>
        <v>Chicago, IL</v>
      </c>
    </row>
    <row r="749" spans="2:8" x14ac:dyDescent="0.2">
      <c r="B749" s="27" t="s">
        <v>113</v>
      </c>
      <c r="C749" s="28" t="s">
        <v>969</v>
      </c>
      <c r="D749" s="29" t="s">
        <v>15</v>
      </c>
      <c r="E749" s="30" t="s">
        <v>947</v>
      </c>
      <c r="F749" s="28" t="s">
        <v>356</v>
      </c>
      <c r="G749" s="30" t="s">
        <v>603</v>
      </c>
      <c r="H749" t="str">
        <f>CONCATENATE(Prequal[[#This Row],[CITY]], ", ",Prequal[[#This Row],[STATE]])</f>
        <v>Chicago, IL</v>
      </c>
    </row>
    <row r="750" spans="2:8" x14ac:dyDescent="0.2">
      <c r="B750" s="27" t="s">
        <v>113</v>
      </c>
      <c r="C750" s="28" t="s">
        <v>969</v>
      </c>
      <c r="D750" s="29" t="s">
        <v>30</v>
      </c>
      <c r="E750" s="30" t="s">
        <v>947</v>
      </c>
      <c r="F750" s="28" t="s">
        <v>356</v>
      </c>
      <c r="G750" s="30" t="s">
        <v>603</v>
      </c>
      <c r="H750" t="str">
        <f>CONCATENATE(Prequal[[#This Row],[CITY]], ", ",Prequal[[#This Row],[STATE]])</f>
        <v>Chicago, IL</v>
      </c>
    </row>
    <row r="751" spans="2:8" x14ac:dyDescent="0.2">
      <c r="B751" s="27" t="s">
        <v>113</v>
      </c>
      <c r="C751" s="28" t="s">
        <v>969</v>
      </c>
      <c r="D751" s="29" t="s">
        <v>53</v>
      </c>
      <c r="E751" s="30" t="s">
        <v>947</v>
      </c>
      <c r="F751" s="28" t="s">
        <v>356</v>
      </c>
      <c r="G751" s="30" t="s">
        <v>603</v>
      </c>
      <c r="H751" t="str">
        <f>CONCATENATE(Prequal[[#This Row],[CITY]], ", ",Prequal[[#This Row],[STATE]])</f>
        <v>Chicago, IL</v>
      </c>
    </row>
    <row r="752" spans="2:8" x14ac:dyDescent="0.2">
      <c r="B752" s="27" t="s">
        <v>113</v>
      </c>
      <c r="C752" s="28" t="s">
        <v>969</v>
      </c>
      <c r="D752" s="29" t="s">
        <v>31</v>
      </c>
      <c r="E752" s="30" t="s">
        <v>947</v>
      </c>
      <c r="F752" s="28" t="s">
        <v>356</v>
      </c>
      <c r="G752" s="30" t="s">
        <v>603</v>
      </c>
      <c r="H752" t="str">
        <f>CONCATENATE(Prequal[[#This Row],[CITY]], ", ",Prequal[[#This Row],[STATE]])</f>
        <v>Chicago, IL</v>
      </c>
    </row>
    <row r="753" spans="2:8" x14ac:dyDescent="0.2">
      <c r="B753" s="27" t="s">
        <v>113</v>
      </c>
      <c r="C753" s="28" t="s">
        <v>969</v>
      </c>
      <c r="D753" s="29" t="s">
        <v>32</v>
      </c>
      <c r="E753" s="30" t="s">
        <v>947</v>
      </c>
      <c r="F753" s="28" t="s">
        <v>356</v>
      </c>
      <c r="G753" s="30" t="s">
        <v>603</v>
      </c>
      <c r="H753" t="str">
        <f>CONCATENATE(Prequal[[#This Row],[CITY]], ", ",Prequal[[#This Row],[STATE]])</f>
        <v>Chicago, IL</v>
      </c>
    </row>
    <row r="754" spans="2:8" x14ac:dyDescent="0.2">
      <c r="B754" s="27" t="s">
        <v>113</v>
      </c>
      <c r="C754" s="28" t="s">
        <v>969</v>
      </c>
      <c r="D754" s="29" t="s">
        <v>54</v>
      </c>
      <c r="E754" s="30" t="s">
        <v>947</v>
      </c>
      <c r="F754" s="28" t="s">
        <v>356</v>
      </c>
      <c r="G754" s="30" t="s">
        <v>603</v>
      </c>
      <c r="H754" t="str">
        <f>CONCATENATE(Prequal[[#This Row],[CITY]], ", ",Prequal[[#This Row],[STATE]])</f>
        <v>Chicago, IL</v>
      </c>
    </row>
    <row r="755" spans="2:8" x14ac:dyDescent="0.2">
      <c r="B755" s="27" t="s">
        <v>113</v>
      </c>
      <c r="C755" s="28" t="s">
        <v>969</v>
      </c>
      <c r="D755" s="29" t="s">
        <v>38</v>
      </c>
      <c r="E755" s="30" t="s">
        <v>947</v>
      </c>
      <c r="F755" s="28" t="s">
        <v>356</v>
      </c>
      <c r="G755" s="30" t="s">
        <v>603</v>
      </c>
      <c r="H755" t="str">
        <f>CONCATENATE(Prequal[[#This Row],[CITY]], ", ",Prequal[[#This Row],[STATE]])</f>
        <v>Chicago, IL</v>
      </c>
    </row>
    <row r="756" spans="2:8" x14ac:dyDescent="0.2">
      <c r="B756" s="27" t="s">
        <v>113</v>
      </c>
      <c r="C756" s="28" t="s">
        <v>969</v>
      </c>
      <c r="D756" s="29" t="s">
        <v>55</v>
      </c>
      <c r="E756" s="30" t="s">
        <v>947</v>
      </c>
      <c r="F756" s="28" t="s">
        <v>356</v>
      </c>
      <c r="G756" s="30" t="s">
        <v>603</v>
      </c>
      <c r="H756" t="str">
        <f>CONCATENATE(Prequal[[#This Row],[CITY]], ", ",Prequal[[#This Row],[STATE]])</f>
        <v>Chicago, IL</v>
      </c>
    </row>
    <row r="757" spans="2:8" x14ac:dyDescent="0.2">
      <c r="B757" s="27" t="s">
        <v>114</v>
      </c>
      <c r="C757" s="28" t="s">
        <v>969</v>
      </c>
      <c r="D757" s="29" t="s">
        <v>46</v>
      </c>
      <c r="E757" s="30" t="s">
        <v>402</v>
      </c>
      <c r="F757" s="28" t="s">
        <v>356</v>
      </c>
      <c r="G757" s="30" t="s">
        <v>921</v>
      </c>
      <c r="H757" t="str">
        <f>CONCATENATE(Prequal[[#This Row],[CITY]], ", ",Prequal[[#This Row],[STATE]])</f>
        <v>Naperville, IL</v>
      </c>
    </row>
    <row r="758" spans="2:8" x14ac:dyDescent="0.2">
      <c r="B758" s="27" t="s">
        <v>114</v>
      </c>
      <c r="C758" s="28" t="s">
        <v>969</v>
      </c>
      <c r="D758" s="29" t="s">
        <v>47</v>
      </c>
      <c r="E758" s="30" t="s">
        <v>402</v>
      </c>
      <c r="F758" s="28" t="s">
        <v>356</v>
      </c>
      <c r="G758" s="30" t="s">
        <v>921</v>
      </c>
      <c r="H758" t="str">
        <f>CONCATENATE(Prequal[[#This Row],[CITY]], ", ",Prequal[[#This Row],[STATE]])</f>
        <v>Naperville, IL</v>
      </c>
    </row>
    <row r="759" spans="2:8" x14ac:dyDescent="0.2">
      <c r="B759" s="27" t="s">
        <v>114</v>
      </c>
      <c r="C759" s="28" t="s">
        <v>969</v>
      </c>
      <c r="D759" s="29" t="s">
        <v>5</v>
      </c>
      <c r="E759" s="30" t="s">
        <v>402</v>
      </c>
      <c r="F759" s="28" t="s">
        <v>356</v>
      </c>
      <c r="G759" s="30" t="s">
        <v>921</v>
      </c>
      <c r="H759" t="str">
        <f>CONCATENATE(Prequal[[#This Row],[CITY]], ", ",Prequal[[#This Row],[STATE]])</f>
        <v>Naperville, IL</v>
      </c>
    </row>
    <row r="760" spans="2:8" x14ac:dyDescent="0.2">
      <c r="B760" s="27" t="s">
        <v>114</v>
      </c>
      <c r="C760" s="28" t="s">
        <v>969</v>
      </c>
      <c r="D760" s="29" t="s">
        <v>18</v>
      </c>
      <c r="E760" s="30" t="s">
        <v>402</v>
      </c>
      <c r="F760" s="28" t="s">
        <v>356</v>
      </c>
      <c r="G760" s="30" t="s">
        <v>921</v>
      </c>
      <c r="H760" t="str">
        <f>CONCATENATE(Prequal[[#This Row],[CITY]], ", ",Prequal[[#This Row],[STATE]])</f>
        <v>Naperville, IL</v>
      </c>
    </row>
    <row r="761" spans="2:8" x14ac:dyDescent="0.2">
      <c r="B761" s="27" t="s">
        <v>114</v>
      </c>
      <c r="C761" s="28" t="s">
        <v>969</v>
      </c>
      <c r="D761" s="29" t="s">
        <v>29</v>
      </c>
      <c r="E761" s="30" t="s">
        <v>402</v>
      </c>
      <c r="F761" s="28" t="s">
        <v>356</v>
      </c>
      <c r="G761" s="30" t="s">
        <v>921</v>
      </c>
      <c r="H761" t="str">
        <f>CONCATENATE(Prequal[[#This Row],[CITY]], ", ",Prequal[[#This Row],[STATE]])</f>
        <v>Naperville, IL</v>
      </c>
    </row>
    <row r="762" spans="2:8" x14ac:dyDescent="0.2">
      <c r="B762" s="27" t="s">
        <v>114</v>
      </c>
      <c r="C762" s="28" t="s">
        <v>969</v>
      </c>
      <c r="D762" s="29" t="s">
        <v>15</v>
      </c>
      <c r="E762" s="30" t="s">
        <v>402</v>
      </c>
      <c r="F762" s="28" t="s">
        <v>356</v>
      </c>
      <c r="G762" s="30" t="s">
        <v>921</v>
      </c>
      <c r="H762" t="str">
        <f>CONCATENATE(Prequal[[#This Row],[CITY]], ", ",Prequal[[#This Row],[STATE]])</f>
        <v>Naperville, IL</v>
      </c>
    </row>
    <row r="763" spans="2:8" x14ac:dyDescent="0.2">
      <c r="B763" s="27" t="s">
        <v>115</v>
      </c>
      <c r="C763" s="28" t="s">
        <v>970</v>
      </c>
      <c r="D763" s="29" t="s">
        <v>47</v>
      </c>
      <c r="E763" s="30" t="s">
        <v>403</v>
      </c>
      <c r="F763" s="28" t="s">
        <v>361</v>
      </c>
      <c r="G763" s="30" t="s">
        <v>604</v>
      </c>
      <c r="H763" t="str">
        <f>CONCATENATE(Prequal[[#This Row],[CITY]], ", ",Prequal[[#This Row],[STATE]])</f>
        <v>Saint Louis, MO</v>
      </c>
    </row>
    <row r="764" spans="2:8" x14ac:dyDescent="0.2">
      <c r="B764" s="27" t="s">
        <v>115</v>
      </c>
      <c r="C764" s="28" t="s">
        <v>970</v>
      </c>
      <c r="D764" s="29" t="s">
        <v>4</v>
      </c>
      <c r="E764" s="30" t="s">
        <v>403</v>
      </c>
      <c r="F764" s="28" t="s">
        <v>361</v>
      </c>
      <c r="G764" s="30" t="s">
        <v>604</v>
      </c>
      <c r="H764" t="str">
        <f>CONCATENATE(Prequal[[#This Row],[CITY]], ", ",Prequal[[#This Row],[STATE]])</f>
        <v>Saint Louis, MO</v>
      </c>
    </row>
    <row r="765" spans="2:8" x14ac:dyDescent="0.2">
      <c r="B765" s="27" t="s">
        <v>115</v>
      </c>
      <c r="C765" s="28" t="s">
        <v>970</v>
      </c>
      <c r="D765" s="29" t="s">
        <v>5</v>
      </c>
      <c r="E765" s="30" t="s">
        <v>403</v>
      </c>
      <c r="F765" s="28" t="s">
        <v>361</v>
      </c>
      <c r="G765" s="30" t="s">
        <v>604</v>
      </c>
      <c r="H765" t="str">
        <f>CONCATENATE(Prequal[[#This Row],[CITY]], ", ",Prequal[[#This Row],[STATE]])</f>
        <v>Saint Louis, MO</v>
      </c>
    </row>
    <row r="766" spans="2:8" x14ac:dyDescent="0.2">
      <c r="B766" s="27" t="s">
        <v>115</v>
      </c>
      <c r="C766" s="28" t="s">
        <v>970</v>
      </c>
      <c r="D766" s="29" t="s">
        <v>8</v>
      </c>
      <c r="E766" s="30" t="s">
        <v>403</v>
      </c>
      <c r="F766" s="28" t="s">
        <v>361</v>
      </c>
      <c r="G766" s="30" t="s">
        <v>604</v>
      </c>
      <c r="H766" t="str">
        <f>CONCATENATE(Prequal[[#This Row],[CITY]], ", ",Prequal[[#This Row],[STATE]])</f>
        <v>Saint Louis, MO</v>
      </c>
    </row>
    <row r="767" spans="2:8" x14ac:dyDescent="0.2">
      <c r="B767" s="27" t="s">
        <v>115</v>
      </c>
      <c r="C767" s="28" t="s">
        <v>970</v>
      </c>
      <c r="D767" s="29" t="s">
        <v>25</v>
      </c>
      <c r="E767" s="30" t="s">
        <v>403</v>
      </c>
      <c r="F767" s="28" t="s">
        <v>361</v>
      </c>
      <c r="G767" s="30" t="s">
        <v>604</v>
      </c>
      <c r="H767" t="str">
        <f>CONCATENATE(Prequal[[#This Row],[CITY]], ", ",Prequal[[#This Row],[STATE]])</f>
        <v>Saint Louis, MO</v>
      </c>
    </row>
    <row r="768" spans="2:8" x14ac:dyDescent="0.2">
      <c r="B768" s="27" t="s">
        <v>115</v>
      </c>
      <c r="C768" s="28" t="s">
        <v>970</v>
      </c>
      <c r="D768" s="29" t="s">
        <v>9</v>
      </c>
      <c r="E768" s="30" t="s">
        <v>403</v>
      </c>
      <c r="F768" s="28" t="s">
        <v>361</v>
      </c>
      <c r="G768" s="30" t="s">
        <v>604</v>
      </c>
      <c r="H768" t="str">
        <f>CONCATENATE(Prequal[[#This Row],[CITY]], ", ",Prequal[[#This Row],[STATE]])</f>
        <v>Saint Louis, MO</v>
      </c>
    </row>
    <row r="769" spans="2:8" x14ac:dyDescent="0.2">
      <c r="B769" s="27" t="s">
        <v>115</v>
      </c>
      <c r="C769" s="28" t="s">
        <v>970</v>
      </c>
      <c r="D769" s="29" t="s">
        <v>10</v>
      </c>
      <c r="E769" s="30" t="s">
        <v>403</v>
      </c>
      <c r="F769" s="28" t="s">
        <v>361</v>
      </c>
      <c r="G769" s="30" t="s">
        <v>604</v>
      </c>
      <c r="H769" t="str">
        <f>CONCATENATE(Prequal[[#This Row],[CITY]], ", ",Prequal[[#This Row],[STATE]])</f>
        <v>Saint Louis, MO</v>
      </c>
    </row>
    <row r="770" spans="2:8" x14ac:dyDescent="0.2">
      <c r="B770" s="27" t="s">
        <v>115</v>
      </c>
      <c r="C770" s="28" t="s">
        <v>970</v>
      </c>
      <c r="D770" s="29" t="s">
        <v>63</v>
      </c>
      <c r="E770" s="30" t="s">
        <v>403</v>
      </c>
      <c r="F770" s="28" t="s">
        <v>361</v>
      </c>
      <c r="G770" s="30" t="s">
        <v>604</v>
      </c>
      <c r="H770" t="str">
        <f>CONCATENATE(Prequal[[#This Row],[CITY]], ", ",Prequal[[#This Row],[STATE]])</f>
        <v>Saint Louis, MO</v>
      </c>
    </row>
    <row r="771" spans="2:8" x14ac:dyDescent="0.2">
      <c r="B771" s="27" t="s">
        <v>115</v>
      </c>
      <c r="C771" s="28" t="s">
        <v>970</v>
      </c>
      <c r="D771" s="29" t="s">
        <v>12</v>
      </c>
      <c r="E771" s="30" t="s">
        <v>403</v>
      </c>
      <c r="F771" s="28" t="s">
        <v>361</v>
      </c>
      <c r="G771" s="30" t="s">
        <v>604</v>
      </c>
      <c r="H771" t="str">
        <f>CONCATENATE(Prequal[[#This Row],[CITY]], ", ",Prequal[[#This Row],[STATE]])</f>
        <v>Saint Louis, MO</v>
      </c>
    </row>
    <row r="772" spans="2:8" x14ac:dyDescent="0.2">
      <c r="B772" s="27" t="s">
        <v>115</v>
      </c>
      <c r="C772" s="28" t="s">
        <v>970</v>
      </c>
      <c r="D772" s="29" t="s">
        <v>29</v>
      </c>
      <c r="E772" s="30" t="s">
        <v>403</v>
      </c>
      <c r="F772" s="28" t="s">
        <v>361</v>
      </c>
      <c r="G772" s="30" t="s">
        <v>604</v>
      </c>
      <c r="H772" t="str">
        <f>CONCATENATE(Prequal[[#This Row],[CITY]], ", ",Prequal[[#This Row],[STATE]])</f>
        <v>Saint Louis, MO</v>
      </c>
    </row>
    <row r="773" spans="2:8" x14ac:dyDescent="0.2">
      <c r="B773" s="27" t="s">
        <v>115</v>
      </c>
      <c r="C773" s="28" t="s">
        <v>970</v>
      </c>
      <c r="D773" s="29" t="s">
        <v>13</v>
      </c>
      <c r="E773" s="30" t="s">
        <v>403</v>
      </c>
      <c r="F773" s="28" t="s">
        <v>361</v>
      </c>
      <c r="G773" s="30" t="s">
        <v>604</v>
      </c>
      <c r="H773" t="str">
        <f>CONCATENATE(Prequal[[#This Row],[CITY]], ", ",Prequal[[#This Row],[STATE]])</f>
        <v>Saint Louis, MO</v>
      </c>
    </row>
    <row r="774" spans="2:8" x14ac:dyDescent="0.2">
      <c r="B774" s="27" t="s">
        <v>115</v>
      </c>
      <c r="C774" s="28" t="s">
        <v>970</v>
      </c>
      <c r="D774" s="29" t="s">
        <v>14</v>
      </c>
      <c r="E774" s="30" t="s">
        <v>403</v>
      </c>
      <c r="F774" s="28" t="s">
        <v>361</v>
      </c>
      <c r="G774" s="30" t="s">
        <v>604</v>
      </c>
      <c r="H774" t="str">
        <f>CONCATENATE(Prequal[[#This Row],[CITY]], ", ",Prequal[[#This Row],[STATE]])</f>
        <v>Saint Louis, MO</v>
      </c>
    </row>
    <row r="775" spans="2:8" x14ac:dyDescent="0.2">
      <c r="B775" s="27" t="s">
        <v>115</v>
      </c>
      <c r="C775" s="28" t="s">
        <v>970</v>
      </c>
      <c r="D775" s="29" t="s">
        <v>15</v>
      </c>
      <c r="E775" s="30" t="s">
        <v>403</v>
      </c>
      <c r="F775" s="28" t="s">
        <v>361</v>
      </c>
      <c r="G775" s="30" t="s">
        <v>604</v>
      </c>
      <c r="H775" t="str">
        <f>CONCATENATE(Prequal[[#This Row],[CITY]], ", ",Prequal[[#This Row],[STATE]])</f>
        <v>Saint Louis, MO</v>
      </c>
    </row>
    <row r="776" spans="2:8" x14ac:dyDescent="0.2">
      <c r="B776" s="27" t="s">
        <v>115</v>
      </c>
      <c r="C776" s="28" t="s">
        <v>970</v>
      </c>
      <c r="D776" s="29" t="s">
        <v>30</v>
      </c>
      <c r="E776" s="30" t="s">
        <v>403</v>
      </c>
      <c r="F776" s="28" t="s">
        <v>361</v>
      </c>
      <c r="G776" s="30" t="s">
        <v>604</v>
      </c>
      <c r="H776" t="str">
        <f>CONCATENATE(Prequal[[#This Row],[CITY]], ", ",Prequal[[#This Row],[STATE]])</f>
        <v>Saint Louis, MO</v>
      </c>
    </row>
    <row r="777" spans="2:8" x14ac:dyDescent="0.2">
      <c r="B777" s="27" t="s">
        <v>115</v>
      </c>
      <c r="C777" s="28" t="s">
        <v>970</v>
      </c>
      <c r="D777" s="29" t="s">
        <v>53</v>
      </c>
      <c r="E777" s="30" t="s">
        <v>403</v>
      </c>
      <c r="F777" s="28" t="s">
        <v>361</v>
      </c>
      <c r="G777" s="30" t="s">
        <v>604</v>
      </c>
      <c r="H777" t="str">
        <f>CONCATENATE(Prequal[[#This Row],[CITY]], ", ",Prequal[[#This Row],[STATE]])</f>
        <v>Saint Louis, MO</v>
      </c>
    </row>
    <row r="778" spans="2:8" x14ac:dyDescent="0.2">
      <c r="B778" s="27" t="s">
        <v>115</v>
      </c>
      <c r="C778" s="28" t="s">
        <v>970</v>
      </c>
      <c r="D778" s="29" t="s">
        <v>31</v>
      </c>
      <c r="E778" s="30" t="s">
        <v>403</v>
      </c>
      <c r="F778" s="28" t="s">
        <v>361</v>
      </c>
      <c r="G778" s="30" t="s">
        <v>604</v>
      </c>
      <c r="H778" t="str">
        <f>CONCATENATE(Prequal[[#This Row],[CITY]], ", ",Prequal[[#This Row],[STATE]])</f>
        <v>Saint Louis, MO</v>
      </c>
    </row>
    <row r="779" spans="2:8" x14ac:dyDescent="0.2">
      <c r="B779" s="27" t="s">
        <v>115</v>
      </c>
      <c r="C779" s="28" t="s">
        <v>970</v>
      </c>
      <c r="D779" s="29" t="s">
        <v>32</v>
      </c>
      <c r="E779" s="30" t="s">
        <v>403</v>
      </c>
      <c r="F779" s="28" t="s">
        <v>361</v>
      </c>
      <c r="G779" s="30" t="s">
        <v>604</v>
      </c>
      <c r="H779" t="str">
        <f>CONCATENATE(Prequal[[#This Row],[CITY]], ", ",Prequal[[#This Row],[STATE]])</f>
        <v>Saint Louis, MO</v>
      </c>
    </row>
    <row r="780" spans="2:8" x14ac:dyDescent="0.2">
      <c r="B780" s="27" t="s">
        <v>116</v>
      </c>
      <c r="C780" s="28" t="s">
        <v>969</v>
      </c>
      <c r="D780" s="29" t="s">
        <v>43</v>
      </c>
      <c r="E780" s="30" t="s">
        <v>404</v>
      </c>
      <c r="F780" s="28" t="s">
        <v>356</v>
      </c>
      <c r="G780" s="30" t="s">
        <v>605</v>
      </c>
      <c r="H780" t="str">
        <f>CONCATENATE(Prequal[[#This Row],[CITY]], ", ",Prequal[[#This Row],[STATE]])</f>
        <v>Itasca, IL</v>
      </c>
    </row>
    <row r="781" spans="2:8" x14ac:dyDescent="0.2">
      <c r="B781" s="27" t="s">
        <v>116</v>
      </c>
      <c r="C781" s="28" t="s">
        <v>969</v>
      </c>
      <c r="D781" s="29" t="s">
        <v>44</v>
      </c>
      <c r="E781" s="30" t="s">
        <v>404</v>
      </c>
      <c r="F781" s="28" t="s">
        <v>356</v>
      </c>
      <c r="G781" s="30" t="s">
        <v>605</v>
      </c>
      <c r="H781" t="str">
        <f>CONCATENATE(Prequal[[#This Row],[CITY]], ", ",Prequal[[#This Row],[STATE]])</f>
        <v>Itasca, IL</v>
      </c>
    </row>
    <row r="782" spans="2:8" x14ac:dyDescent="0.2">
      <c r="B782" s="27" t="s">
        <v>116</v>
      </c>
      <c r="C782" s="28" t="s">
        <v>969</v>
      </c>
      <c r="D782" s="29" t="s">
        <v>4</v>
      </c>
      <c r="E782" s="30" t="s">
        <v>404</v>
      </c>
      <c r="F782" s="28" t="s">
        <v>356</v>
      </c>
      <c r="G782" s="30" t="s">
        <v>605</v>
      </c>
      <c r="H782" t="str">
        <f>CONCATENATE(Prequal[[#This Row],[CITY]], ", ",Prequal[[#This Row],[STATE]])</f>
        <v>Itasca, IL</v>
      </c>
    </row>
    <row r="783" spans="2:8" x14ac:dyDescent="0.2">
      <c r="B783" s="27" t="s">
        <v>116</v>
      </c>
      <c r="C783" s="28" t="s">
        <v>969</v>
      </c>
      <c r="D783" s="29" t="s">
        <v>5</v>
      </c>
      <c r="E783" s="30" t="s">
        <v>404</v>
      </c>
      <c r="F783" s="28" t="s">
        <v>356</v>
      </c>
      <c r="G783" s="30" t="s">
        <v>605</v>
      </c>
      <c r="H783" t="str">
        <f>CONCATENATE(Prequal[[#This Row],[CITY]], ", ",Prequal[[#This Row],[STATE]])</f>
        <v>Itasca, IL</v>
      </c>
    </row>
    <row r="784" spans="2:8" x14ac:dyDescent="0.2">
      <c r="B784" s="27" t="s">
        <v>116</v>
      </c>
      <c r="C784" s="28" t="s">
        <v>969</v>
      </c>
      <c r="D784" s="29" t="s">
        <v>6</v>
      </c>
      <c r="E784" s="30" t="s">
        <v>404</v>
      </c>
      <c r="F784" s="28" t="s">
        <v>356</v>
      </c>
      <c r="G784" s="30" t="s">
        <v>605</v>
      </c>
      <c r="H784" t="str">
        <f>CONCATENATE(Prequal[[#This Row],[CITY]], ", ",Prequal[[#This Row],[STATE]])</f>
        <v>Itasca, IL</v>
      </c>
    </row>
    <row r="785" spans="2:8" x14ac:dyDescent="0.2">
      <c r="B785" s="27" t="s">
        <v>116</v>
      </c>
      <c r="C785" s="28" t="s">
        <v>969</v>
      </c>
      <c r="D785" s="29" t="s">
        <v>7</v>
      </c>
      <c r="E785" s="30" t="s">
        <v>404</v>
      </c>
      <c r="F785" s="28" t="s">
        <v>356</v>
      </c>
      <c r="G785" s="30" t="s">
        <v>605</v>
      </c>
      <c r="H785" t="str">
        <f>CONCATENATE(Prequal[[#This Row],[CITY]], ", ",Prequal[[#This Row],[STATE]])</f>
        <v>Itasca, IL</v>
      </c>
    </row>
    <row r="786" spans="2:8" x14ac:dyDescent="0.2">
      <c r="B786" s="27" t="s">
        <v>116</v>
      </c>
      <c r="C786" s="28" t="s">
        <v>969</v>
      </c>
      <c r="D786" s="29" t="s">
        <v>8</v>
      </c>
      <c r="E786" s="30" t="s">
        <v>404</v>
      </c>
      <c r="F786" s="28" t="s">
        <v>356</v>
      </c>
      <c r="G786" s="30" t="s">
        <v>605</v>
      </c>
      <c r="H786" t="str">
        <f>CONCATENATE(Prequal[[#This Row],[CITY]], ", ",Prequal[[#This Row],[STATE]])</f>
        <v>Itasca, IL</v>
      </c>
    </row>
    <row r="787" spans="2:8" x14ac:dyDescent="0.2">
      <c r="B787" s="27" t="s">
        <v>116</v>
      </c>
      <c r="C787" s="28" t="s">
        <v>969</v>
      </c>
      <c r="D787" s="29" t="s">
        <v>24</v>
      </c>
      <c r="E787" s="30" t="s">
        <v>404</v>
      </c>
      <c r="F787" s="28" t="s">
        <v>356</v>
      </c>
      <c r="G787" s="30" t="s">
        <v>605</v>
      </c>
      <c r="H787" t="str">
        <f>CONCATENATE(Prequal[[#This Row],[CITY]], ", ",Prequal[[#This Row],[STATE]])</f>
        <v>Itasca, IL</v>
      </c>
    </row>
    <row r="788" spans="2:8" x14ac:dyDescent="0.2">
      <c r="B788" s="27" t="s">
        <v>116</v>
      </c>
      <c r="C788" s="28" t="s">
        <v>969</v>
      </c>
      <c r="D788" s="29" t="s">
        <v>25</v>
      </c>
      <c r="E788" s="30" t="s">
        <v>404</v>
      </c>
      <c r="F788" s="28" t="s">
        <v>356</v>
      </c>
      <c r="G788" s="30" t="s">
        <v>605</v>
      </c>
      <c r="H788" t="str">
        <f>CONCATENATE(Prequal[[#This Row],[CITY]], ", ",Prequal[[#This Row],[STATE]])</f>
        <v>Itasca, IL</v>
      </c>
    </row>
    <row r="789" spans="2:8" x14ac:dyDescent="0.2">
      <c r="B789" s="27" t="s">
        <v>116</v>
      </c>
      <c r="C789" s="28" t="s">
        <v>969</v>
      </c>
      <c r="D789" s="29" t="s">
        <v>9</v>
      </c>
      <c r="E789" s="30" t="s">
        <v>404</v>
      </c>
      <c r="F789" s="28" t="s">
        <v>356</v>
      </c>
      <c r="G789" s="30" t="s">
        <v>605</v>
      </c>
      <c r="H789" t="str">
        <f>CONCATENATE(Prequal[[#This Row],[CITY]], ", ",Prequal[[#This Row],[STATE]])</f>
        <v>Itasca, IL</v>
      </c>
    </row>
    <row r="790" spans="2:8" x14ac:dyDescent="0.2">
      <c r="B790" s="27" t="s">
        <v>116</v>
      </c>
      <c r="C790" s="28" t="s">
        <v>969</v>
      </c>
      <c r="D790" s="29" t="s">
        <v>20</v>
      </c>
      <c r="E790" s="30" t="s">
        <v>404</v>
      </c>
      <c r="F790" s="28" t="s">
        <v>356</v>
      </c>
      <c r="G790" s="30" t="s">
        <v>605</v>
      </c>
      <c r="H790" t="str">
        <f>CONCATENATE(Prequal[[#This Row],[CITY]], ", ",Prequal[[#This Row],[STATE]])</f>
        <v>Itasca, IL</v>
      </c>
    </row>
    <row r="791" spans="2:8" x14ac:dyDescent="0.2">
      <c r="B791" s="27" t="s">
        <v>116</v>
      </c>
      <c r="C791" s="28" t="s">
        <v>969</v>
      </c>
      <c r="D791" s="29" t="s">
        <v>27</v>
      </c>
      <c r="E791" s="30" t="s">
        <v>404</v>
      </c>
      <c r="F791" s="28" t="s">
        <v>356</v>
      </c>
      <c r="G791" s="30" t="s">
        <v>605</v>
      </c>
      <c r="H791" t="str">
        <f>CONCATENATE(Prequal[[#This Row],[CITY]], ", ",Prequal[[#This Row],[STATE]])</f>
        <v>Itasca, IL</v>
      </c>
    </row>
    <row r="792" spans="2:8" x14ac:dyDescent="0.2">
      <c r="B792" s="27" t="s">
        <v>116</v>
      </c>
      <c r="C792" s="28" t="s">
        <v>969</v>
      </c>
      <c r="D792" s="29" t="s">
        <v>10</v>
      </c>
      <c r="E792" s="30" t="s">
        <v>404</v>
      </c>
      <c r="F792" s="28" t="s">
        <v>356</v>
      </c>
      <c r="G792" s="30" t="s">
        <v>605</v>
      </c>
      <c r="H792" t="str">
        <f>CONCATENATE(Prequal[[#This Row],[CITY]], ", ",Prequal[[#This Row],[STATE]])</f>
        <v>Itasca, IL</v>
      </c>
    </row>
    <row r="793" spans="2:8" x14ac:dyDescent="0.2">
      <c r="B793" s="27" t="s">
        <v>116</v>
      </c>
      <c r="C793" s="28" t="s">
        <v>969</v>
      </c>
      <c r="D793" s="29" t="s">
        <v>11</v>
      </c>
      <c r="E793" s="30" t="s">
        <v>404</v>
      </c>
      <c r="F793" s="28" t="s">
        <v>356</v>
      </c>
      <c r="G793" s="30" t="s">
        <v>605</v>
      </c>
      <c r="H793" t="str">
        <f>CONCATENATE(Prequal[[#This Row],[CITY]], ", ",Prequal[[#This Row],[STATE]])</f>
        <v>Itasca, IL</v>
      </c>
    </row>
    <row r="794" spans="2:8" x14ac:dyDescent="0.2">
      <c r="B794" s="27" t="s">
        <v>116</v>
      </c>
      <c r="C794" s="28" t="s">
        <v>969</v>
      </c>
      <c r="D794" s="29" t="s">
        <v>39</v>
      </c>
      <c r="E794" s="30" t="s">
        <v>404</v>
      </c>
      <c r="F794" s="28" t="s">
        <v>356</v>
      </c>
      <c r="G794" s="30" t="s">
        <v>605</v>
      </c>
      <c r="H794" t="str">
        <f>CONCATENATE(Prequal[[#This Row],[CITY]], ", ",Prequal[[#This Row],[STATE]])</f>
        <v>Itasca, IL</v>
      </c>
    </row>
    <row r="795" spans="2:8" x14ac:dyDescent="0.2">
      <c r="B795" s="27" t="s">
        <v>116</v>
      </c>
      <c r="C795" s="28" t="s">
        <v>969</v>
      </c>
      <c r="D795" s="29" t="s">
        <v>37</v>
      </c>
      <c r="E795" s="30" t="s">
        <v>404</v>
      </c>
      <c r="F795" s="28" t="s">
        <v>356</v>
      </c>
      <c r="G795" s="30" t="s">
        <v>605</v>
      </c>
      <c r="H795" t="str">
        <f>CONCATENATE(Prequal[[#This Row],[CITY]], ", ",Prequal[[#This Row],[STATE]])</f>
        <v>Itasca, IL</v>
      </c>
    </row>
    <row r="796" spans="2:8" x14ac:dyDescent="0.2">
      <c r="B796" s="27" t="s">
        <v>116</v>
      </c>
      <c r="C796" s="28" t="s">
        <v>969</v>
      </c>
      <c r="D796" s="29" t="s">
        <v>13</v>
      </c>
      <c r="E796" s="30" t="s">
        <v>404</v>
      </c>
      <c r="F796" s="28" t="s">
        <v>356</v>
      </c>
      <c r="G796" s="30" t="s">
        <v>605</v>
      </c>
      <c r="H796" t="str">
        <f>CONCATENATE(Prequal[[#This Row],[CITY]], ", ",Prequal[[#This Row],[STATE]])</f>
        <v>Itasca, IL</v>
      </c>
    </row>
    <row r="797" spans="2:8" x14ac:dyDescent="0.2">
      <c r="B797" s="27" t="s">
        <v>116</v>
      </c>
      <c r="C797" s="28" t="s">
        <v>969</v>
      </c>
      <c r="D797" s="29" t="s">
        <v>14</v>
      </c>
      <c r="E797" s="30" t="s">
        <v>404</v>
      </c>
      <c r="F797" s="28" t="s">
        <v>356</v>
      </c>
      <c r="G797" s="30" t="s">
        <v>605</v>
      </c>
      <c r="H797" t="str">
        <f>CONCATENATE(Prequal[[#This Row],[CITY]], ", ",Prequal[[#This Row],[STATE]])</f>
        <v>Itasca, IL</v>
      </c>
    </row>
    <row r="798" spans="2:8" x14ac:dyDescent="0.2">
      <c r="B798" s="27" t="s">
        <v>116</v>
      </c>
      <c r="C798" s="28" t="s">
        <v>969</v>
      </c>
      <c r="D798" s="29" t="s">
        <v>15</v>
      </c>
      <c r="E798" s="30" t="s">
        <v>404</v>
      </c>
      <c r="F798" s="28" t="s">
        <v>356</v>
      </c>
      <c r="G798" s="30" t="s">
        <v>605</v>
      </c>
      <c r="H798" t="str">
        <f>CONCATENATE(Prequal[[#This Row],[CITY]], ", ",Prequal[[#This Row],[STATE]])</f>
        <v>Itasca, IL</v>
      </c>
    </row>
    <row r="799" spans="2:8" x14ac:dyDescent="0.2">
      <c r="B799" s="27" t="s">
        <v>116</v>
      </c>
      <c r="C799" s="28" t="s">
        <v>969</v>
      </c>
      <c r="D799" s="29" t="s">
        <v>976</v>
      </c>
      <c r="E799" s="30" t="s">
        <v>404</v>
      </c>
      <c r="F799" s="28" t="s">
        <v>356</v>
      </c>
      <c r="G799" s="30" t="s">
        <v>605</v>
      </c>
      <c r="H799" t="str">
        <f>CONCATENATE(Prequal[[#This Row],[CITY]], ", ",Prequal[[#This Row],[STATE]])</f>
        <v>Itasca, IL</v>
      </c>
    </row>
    <row r="800" spans="2:8" x14ac:dyDescent="0.2">
      <c r="B800" s="27" t="s">
        <v>116</v>
      </c>
      <c r="C800" s="28" t="s">
        <v>969</v>
      </c>
      <c r="D800" s="29" t="s">
        <v>1008</v>
      </c>
      <c r="E800" s="30" t="s">
        <v>404</v>
      </c>
      <c r="F800" s="28" t="s">
        <v>356</v>
      </c>
      <c r="G800" s="30" t="s">
        <v>605</v>
      </c>
      <c r="H800" t="str">
        <f>CONCATENATE(Prequal[[#This Row],[CITY]], ", ",Prequal[[#This Row],[STATE]])</f>
        <v>Itasca, IL</v>
      </c>
    </row>
    <row r="801" spans="2:8" x14ac:dyDescent="0.2">
      <c r="B801" s="27" t="s">
        <v>116</v>
      </c>
      <c r="C801" s="28" t="s">
        <v>969</v>
      </c>
      <c r="D801" s="29" t="s">
        <v>978</v>
      </c>
      <c r="E801" s="30" t="s">
        <v>404</v>
      </c>
      <c r="F801" s="28" t="s">
        <v>356</v>
      </c>
      <c r="G801" s="30" t="s">
        <v>605</v>
      </c>
      <c r="H801" t="str">
        <f>CONCATENATE(Prequal[[#This Row],[CITY]], ", ",Prequal[[#This Row],[STATE]])</f>
        <v>Itasca, IL</v>
      </c>
    </row>
    <row r="802" spans="2:8" x14ac:dyDescent="0.2">
      <c r="B802" s="27" t="s">
        <v>116</v>
      </c>
      <c r="C802" s="28" t="s">
        <v>969</v>
      </c>
      <c r="D802" s="29" t="s">
        <v>31</v>
      </c>
      <c r="E802" s="30" t="s">
        <v>404</v>
      </c>
      <c r="F802" s="28" t="s">
        <v>356</v>
      </c>
      <c r="G802" s="30" t="s">
        <v>605</v>
      </c>
      <c r="H802" t="str">
        <f>CONCATENATE(Prequal[[#This Row],[CITY]], ", ",Prequal[[#This Row],[STATE]])</f>
        <v>Itasca, IL</v>
      </c>
    </row>
    <row r="803" spans="2:8" x14ac:dyDescent="0.2">
      <c r="B803" s="27" t="s">
        <v>116</v>
      </c>
      <c r="C803" s="28" t="s">
        <v>969</v>
      </c>
      <c r="D803" s="29" t="s">
        <v>32</v>
      </c>
      <c r="E803" s="30" t="s">
        <v>404</v>
      </c>
      <c r="F803" s="28" t="s">
        <v>356</v>
      </c>
      <c r="G803" s="30" t="s">
        <v>605</v>
      </c>
      <c r="H803" t="str">
        <f>CONCATENATE(Prequal[[#This Row],[CITY]], ", ",Prequal[[#This Row],[STATE]])</f>
        <v>Itasca, IL</v>
      </c>
    </row>
    <row r="804" spans="2:8" x14ac:dyDescent="0.2">
      <c r="B804" s="27" t="s">
        <v>117</v>
      </c>
      <c r="C804" s="28" t="s">
        <v>970</v>
      </c>
      <c r="D804" s="29" t="s">
        <v>10</v>
      </c>
      <c r="E804" s="30" t="s">
        <v>947</v>
      </c>
      <c r="F804" s="28" t="s">
        <v>356</v>
      </c>
      <c r="G804" s="30" t="s">
        <v>606</v>
      </c>
      <c r="H804" t="str">
        <f>CONCATENATE(Prequal[[#This Row],[CITY]], ", ",Prequal[[#This Row],[STATE]])</f>
        <v>Chicago, IL</v>
      </c>
    </row>
    <row r="805" spans="2:8" x14ac:dyDescent="0.2">
      <c r="B805" s="27" t="s">
        <v>118</v>
      </c>
      <c r="C805" s="28" t="s">
        <v>970</v>
      </c>
      <c r="D805" s="29" t="s">
        <v>29</v>
      </c>
      <c r="E805" s="30" t="s">
        <v>405</v>
      </c>
      <c r="F805" s="28" t="s">
        <v>356</v>
      </c>
      <c r="G805" s="30" t="s">
        <v>607</v>
      </c>
      <c r="H805" t="str">
        <f>CONCATENATE(Prequal[[#This Row],[CITY]], ", ",Prequal[[#This Row],[STATE]])</f>
        <v>Joliet, IL</v>
      </c>
    </row>
    <row r="806" spans="2:8" x14ac:dyDescent="0.2">
      <c r="B806" s="27" t="s">
        <v>119</v>
      </c>
      <c r="C806" s="28" t="s">
        <v>969</v>
      </c>
      <c r="D806" s="29" t="s">
        <v>43</v>
      </c>
      <c r="E806" s="30" t="s">
        <v>372</v>
      </c>
      <c r="F806" s="28" t="s">
        <v>356</v>
      </c>
      <c r="G806" s="30" t="s">
        <v>608</v>
      </c>
      <c r="H806" t="str">
        <f>CONCATENATE(Prequal[[#This Row],[CITY]], ", ",Prequal[[#This Row],[STATE]])</f>
        <v>Champaign, IL</v>
      </c>
    </row>
    <row r="807" spans="2:8" x14ac:dyDescent="0.2">
      <c r="B807" s="27" t="s">
        <v>119</v>
      </c>
      <c r="C807" s="28" t="s">
        <v>969</v>
      </c>
      <c r="D807" s="29" t="s">
        <v>4</v>
      </c>
      <c r="E807" s="30" t="s">
        <v>372</v>
      </c>
      <c r="F807" s="28" t="s">
        <v>356</v>
      </c>
      <c r="G807" s="30" t="s">
        <v>608</v>
      </c>
      <c r="H807" t="str">
        <f>CONCATENATE(Prequal[[#This Row],[CITY]], ", ",Prequal[[#This Row],[STATE]])</f>
        <v>Champaign, IL</v>
      </c>
    </row>
    <row r="808" spans="2:8" x14ac:dyDescent="0.2">
      <c r="B808" s="27" t="s">
        <v>119</v>
      </c>
      <c r="C808" s="28" t="s">
        <v>969</v>
      </c>
      <c r="D808" s="29" t="s">
        <v>5</v>
      </c>
      <c r="E808" s="30" t="s">
        <v>372</v>
      </c>
      <c r="F808" s="28" t="s">
        <v>356</v>
      </c>
      <c r="G808" s="30" t="s">
        <v>608</v>
      </c>
      <c r="H808" t="str">
        <f>CONCATENATE(Prequal[[#This Row],[CITY]], ", ",Prequal[[#This Row],[STATE]])</f>
        <v>Champaign, IL</v>
      </c>
    </row>
    <row r="809" spans="2:8" x14ac:dyDescent="0.2">
      <c r="B809" s="31" t="s">
        <v>119</v>
      </c>
      <c r="C809" s="32" t="s">
        <v>969</v>
      </c>
      <c r="D809" s="33" t="s">
        <v>6</v>
      </c>
      <c r="E809" s="30" t="s">
        <v>372</v>
      </c>
      <c r="F809" s="32" t="s">
        <v>356</v>
      </c>
      <c r="G809" s="30" t="s">
        <v>608</v>
      </c>
      <c r="H809" t="str">
        <f>CONCATENATE(Prequal[[#This Row],[CITY]], ", ",Prequal[[#This Row],[STATE]])</f>
        <v>Champaign, IL</v>
      </c>
    </row>
    <row r="810" spans="2:8" x14ac:dyDescent="0.2">
      <c r="B810" s="31" t="s">
        <v>119</v>
      </c>
      <c r="C810" s="32" t="s">
        <v>969</v>
      </c>
      <c r="D810" s="33" t="s">
        <v>7</v>
      </c>
      <c r="E810" s="30" t="s">
        <v>372</v>
      </c>
      <c r="F810" s="32" t="s">
        <v>356</v>
      </c>
      <c r="G810" s="30" t="s">
        <v>608</v>
      </c>
      <c r="H810" t="str">
        <f>CONCATENATE(Prequal[[#This Row],[CITY]], ", ",Prequal[[#This Row],[STATE]])</f>
        <v>Champaign, IL</v>
      </c>
    </row>
    <row r="811" spans="2:8" x14ac:dyDescent="0.2">
      <c r="B811" s="27" t="s">
        <v>119</v>
      </c>
      <c r="C811" s="28" t="s">
        <v>969</v>
      </c>
      <c r="D811" s="29" t="s">
        <v>8</v>
      </c>
      <c r="E811" s="30" t="s">
        <v>372</v>
      </c>
      <c r="F811" s="28" t="s">
        <v>356</v>
      </c>
      <c r="G811" s="30" t="s">
        <v>608</v>
      </c>
      <c r="H811" t="str">
        <f>CONCATENATE(Prequal[[#This Row],[CITY]], ", ",Prequal[[#This Row],[STATE]])</f>
        <v>Champaign, IL</v>
      </c>
    </row>
    <row r="812" spans="2:8" x14ac:dyDescent="0.2">
      <c r="B812" s="27" t="s">
        <v>119</v>
      </c>
      <c r="C812" s="28" t="s">
        <v>969</v>
      </c>
      <c r="D812" s="29" t="s">
        <v>24</v>
      </c>
      <c r="E812" s="30" t="s">
        <v>372</v>
      </c>
      <c r="F812" s="28" t="s">
        <v>356</v>
      </c>
      <c r="G812" s="30" t="s">
        <v>608</v>
      </c>
      <c r="H812" t="str">
        <f>CONCATENATE(Prequal[[#This Row],[CITY]], ", ",Prequal[[#This Row],[STATE]])</f>
        <v>Champaign, IL</v>
      </c>
    </row>
    <row r="813" spans="2:8" x14ac:dyDescent="0.2">
      <c r="B813" s="27" t="s">
        <v>119</v>
      </c>
      <c r="C813" s="28" t="s">
        <v>969</v>
      </c>
      <c r="D813" s="29" t="s">
        <v>25</v>
      </c>
      <c r="E813" s="30" t="s">
        <v>372</v>
      </c>
      <c r="F813" s="28" t="s">
        <v>356</v>
      </c>
      <c r="G813" s="30" t="s">
        <v>608</v>
      </c>
      <c r="H813" t="str">
        <f>CONCATENATE(Prequal[[#This Row],[CITY]], ", ",Prequal[[#This Row],[STATE]])</f>
        <v>Champaign, IL</v>
      </c>
    </row>
    <row r="814" spans="2:8" x14ac:dyDescent="0.2">
      <c r="B814" s="27" t="s">
        <v>119</v>
      </c>
      <c r="C814" s="28" t="s">
        <v>969</v>
      </c>
      <c r="D814" s="29" t="s">
        <v>9</v>
      </c>
      <c r="E814" s="30" t="s">
        <v>372</v>
      </c>
      <c r="F814" s="28" t="s">
        <v>356</v>
      </c>
      <c r="G814" s="30" t="s">
        <v>608</v>
      </c>
      <c r="H814" t="str">
        <f>CONCATENATE(Prequal[[#This Row],[CITY]], ", ",Prequal[[#This Row],[STATE]])</f>
        <v>Champaign, IL</v>
      </c>
    </row>
    <row r="815" spans="2:8" x14ac:dyDescent="0.2">
      <c r="B815" s="27" t="s">
        <v>119</v>
      </c>
      <c r="C815" s="28" t="s">
        <v>969</v>
      </c>
      <c r="D815" s="29" t="s">
        <v>27</v>
      </c>
      <c r="E815" s="30" t="s">
        <v>372</v>
      </c>
      <c r="F815" s="28" t="s">
        <v>356</v>
      </c>
      <c r="G815" s="30" t="s">
        <v>608</v>
      </c>
      <c r="H815" t="str">
        <f>CONCATENATE(Prequal[[#This Row],[CITY]], ", ",Prequal[[#This Row],[STATE]])</f>
        <v>Champaign, IL</v>
      </c>
    </row>
    <row r="816" spans="2:8" x14ac:dyDescent="0.2">
      <c r="B816" s="27" t="s">
        <v>119</v>
      </c>
      <c r="C816" s="28" t="s">
        <v>969</v>
      </c>
      <c r="D816" s="29" t="s">
        <v>10</v>
      </c>
      <c r="E816" s="30" t="s">
        <v>372</v>
      </c>
      <c r="F816" s="28" t="s">
        <v>356</v>
      </c>
      <c r="G816" s="30" t="s">
        <v>608</v>
      </c>
      <c r="H816" t="str">
        <f>CONCATENATE(Prequal[[#This Row],[CITY]], ", ",Prequal[[#This Row],[STATE]])</f>
        <v>Champaign, IL</v>
      </c>
    </row>
    <row r="817" spans="2:8" x14ac:dyDescent="0.2">
      <c r="B817" s="27" t="s">
        <v>119</v>
      </c>
      <c r="C817" s="28" t="s">
        <v>969</v>
      </c>
      <c r="D817" s="29" t="s">
        <v>21</v>
      </c>
      <c r="E817" s="30" t="s">
        <v>372</v>
      </c>
      <c r="F817" s="28" t="s">
        <v>356</v>
      </c>
      <c r="G817" s="30" t="s">
        <v>608</v>
      </c>
      <c r="H817" t="str">
        <f>CONCATENATE(Prequal[[#This Row],[CITY]], ", ",Prequal[[#This Row],[STATE]])</f>
        <v>Champaign, IL</v>
      </c>
    </row>
    <row r="818" spans="2:8" x14ac:dyDescent="0.2">
      <c r="B818" s="27" t="s">
        <v>119</v>
      </c>
      <c r="C818" s="28" t="s">
        <v>969</v>
      </c>
      <c r="D818" s="29" t="s">
        <v>22</v>
      </c>
      <c r="E818" s="30" t="s">
        <v>372</v>
      </c>
      <c r="F818" s="28" t="s">
        <v>356</v>
      </c>
      <c r="G818" s="30" t="s">
        <v>608</v>
      </c>
      <c r="H818" t="str">
        <f>CONCATENATE(Prequal[[#This Row],[CITY]], ", ",Prequal[[#This Row],[STATE]])</f>
        <v>Champaign, IL</v>
      </c>
    </row>
    <row r="819" spans="2:8" x14ac:dyDescent="0.2">
      <c r="B819" s="27" t="s">
        <v>119</v>
      </c>
      <c r="C819" s="28" t="s">
        <v>969</v>
      </c>
      <c r="D819" s="29" t="s">
        <v>12</v>
      </c>
      <c r="E819" s="30" t="s">
        <v>372</v>
      </c>
      <c r="F819" s="28" t="s">
        <v>356</v>
      </c>
      <c r="G819" s="30" t="s">
        <v>608</v>
      </c>
      <c r="H819" t="str">
        <f>CONCATENATE(Prequal[[#This Row],[CITY]], ", ",Prequal[[#This Row],[STATE]])</f>
        <v>Champaign, IL</v>
      </c>
    </row>
    <row r="820" spans="2:8" x14ac:dyDescent="0.2">
      <c r="B820" s="27" t="s">
        <v>119</v>
      </c>
      <c r="C820" s="28" t="s">
        <v>969</v>
      </c>
      <c r="D820" s="29" t="s">
        <v>29</v>
      </c>
      <c r="E820" s="30" t="s">
        <v>372</v>
      </c>
      <c r="F820" s="28" t="s">
        <v>356</v>
      </c>
      <c r="G820" s="30" t="s">
        <v>608</v>
      </c>
      <c r="H820" t="str">
        <f>CONCATENATE(Prequal[[#This Row],[CITY]], ", ",Prequal[[#This Row],[STATE]])</f>
        <v>Champaign, IL</v>
      </c>
    </row>
    <row r="821" spans="2:8" x14ac:dyDescent="0.2">
      <c r="B821" s="27" t="s">
        <v>119</v>
      </c>
      <c r="C821" s="28" t="s">
        <v>969</v>
      </c>
      <c r="D821" s="29" t="s">
        <v>37</v>
      </c>
      <c r="E821" s="30" t="s">
        <v>372</v>
      </c>
      <c r="F821" s="28" t="s">
        <v>356</v>
      </c>
      <c r="G821" s="30" t="s">
        <v>608</v>
      </c>
      <c r="H821" t="str">
        <f>CONCATENATE(Prequal[[#This Row],[CITY]], ", ",Prequal[[#This Row],[STATE]])</f>
        <v>Champaign, IL</v>
      </c>
    </row>
    <row r="822" spans="2:8" x14ac:dyDescent="0.2">
      <c r="B822" s="27" t="s">
        <v>119</v>
      </c>
      <c r="C822" s="28" t="s">
        <v>969</v>
      </c>
      <c r="D822" s="29" t="s">
        <v>13</v>
      </c>
      <c r="E822" s="30" t="s">
        <v>372</v>
      </c>
      <c r="F822" s="28" t="s">
        <v>356</v>
      </c>
      <c r="G822" s="30" t="s">
        <v>608</v>
      </c>
      <c r="H822" t="str">
        <f>CONCATENATE(Prequal[[#This Row],[CITY]], ", ",Prequal[[#This Row],[STATE]])</f>
        <v>Champaign, IL</v>
      </c>
    </row>
    <row r="823" spans="2:8" x14ac:dyDescent="0.2">
      <c r="B823" s="27" t="s">
        <v>119</v>
      </c>
      <c r="C823" s="28" t="s">
        <v>969</v>
      </c>
      <c r="D823" s="29" t="s">
        <v>14</v>
      </c>
      <c r="E823" s="30" t="s">
        <v>372</v>
      </c>
      <c r="F823" s="28" t="s">
        <v>356</v>
      </c>
      <c r="G823" s="30" t="s">
        <v>608</v>
      </c>
      <c r="H823" t="str">
        <f>CONCATENATE(Prequal[[#This Row],[CITY]], ", ",Prequal[[#This Row],[STATE]])</f>
        <v>Champaign, IL</v>
      </c>
    </row>
    <row r="824" spans="2:8" x14ac:dyDescent="0.2">
      <c r="B824" s="27" t="s">
        <v>119</v>
      </c>
      <c r="C824" s="28" t="s">
        <v>969</v>
      </c>
      <c r="D824" s="29" t="s">
        <v>15</v>
      </c>
      <c r="E824" s="30" t="s">
        <v>372</v>
      </c>
      <c r="F824" s="28" t="s">
        <v>356</v>
      </c>
      <c r="G824" s="30" t="s">
        <v>608</v>
      </c>
      <c r="H824" t="str">
        <f>CONCATENATE(Prequal[[#This Row],[CITY]], ", ",Prequal[[#This Row],[STATE]])</f>
        <v>Champaign, IL</v>
      </c>
    </row>
    <row r="825" spans="2:8" x14ac:dyDescent="0.2">
      <c r="B825" s="27" t="s">
        <v>119</v>
      </c>
      <c r="C825" s="28" t="s">
        <v>969</v>
      </c>
      <c r="D825" s="29" t="s">
        <v>31</v>
      </c>
      <c r="E825" s="30" t="s">
        <v>372</v>
      </c>
      <c r="F825" s="28" t="s">
        <v>356</v>
      </c>
      <c r="G825" s="30" t="s">
        <v>608</v>
      </c>
      <c r="H825" t="str">
        <f>CONCATENATE(Prequal[[#This Row],[CITY]], ", ",Prequal[[#This Row],[STATE]])</f>
        <v>Champaign, IL</v>
      </c>
    </row>
    <row r="826" spans="2:8" x14ac:dyDescent="0.2">
      <c r="B826" s="27" t="s">
        <v>119</v>
      </c>
      <c r="C826" s="28" t="s">
        <v>969</v>
      </c>
      <c r="D826" s="29" t="s">
        <v>32</v>
      </c>
      <c r="E826" s="30" t="s">
        <v>372</v>
      </c>
      <c r="F826" s="28" t="s">
        <v>356</v>
      </c>
      <c r="G826" s="30" t="s">
        <v>608</v>
      </c>
      <c r="H826" t="str">
        <f>CONCATENATE(Prequal[[#This Row],[CITY]], ", ",Prequal[[#This Row],[STATE]])</f>
        <v>Champaign, IL</v>
      </c>
    </row>
    <row r="827" spans="2:8" x14ac:dyDescent="0.2">
      <c r="B827" s="27" t="s">
        <v>914</v>
      </c>
      <c r="C827" s="28" t="s">
        <v>969</v>
      </c>
      <c r="D827" s="29" t="s">
        <v>28</v>
      </c>
      <c r="E827" s="30" t="s">
        <v>915</v>
      </c>
      <c r="F827" s="28" t="s">
        <v>916</v>
      </c>
      <c r="G827" s="30" t="s">
        <v>922</v>
      </c>
      <c r="H827" t="str">
        <f>CONCATENATE(Prequal[[#This Row],[CITY]], ", ",Prequal[[#This Row],[STATE]])</f>
        <v>Holmdel, NJ</v>
      </c>
    </row>
    <row r="828" spans="2:8" x14ac:dyDescent="0.2">
      <c r="B828" s="27" t="s">
        <v>914</v>
      </c>
      <c r="C828" s="28" t="s">
        <v>969</v>
      </c>
      <c r="D828" s="29" t="s">
        <v>29</v>
      </c>
      <c r="E828" s="30" t="s">
        <v>915</v>
      </c>
      <c r="F828" s="28" t="s">
        <v>916</v>
      </c>
      <c r="G828" s="30" t="s">
        <v>922</v>
      </c>
      <c r="H828" t="str">
        <f>CONCATENATE(Prequal[[#This Row],[CITY]], ", ",Prequal[[#This Row],[STATE]])</f>
        <v>Holmdel, NJ</v>
      </c>
    </row>
    <row r="829" spans="2:8" x14ac:dyDescent="0.2">
      <c r="B829" s="27" t="s">
        <v>120</v>
      </c>
      <c r="C829" s="28" t="s">
        <v>969</v>
      </c>
      <c r="D829" s="29" t="s">
        <v>4</v>
      </c>
      <c r="E829" s="30" t="s">
        <v>947</v>
      </c>
      <c r="F829" s="28" t="s">
        <v>356</v>
      </c>
      <c r="G829" s="30" t="s">
        <v>609</v>
      </c>
      <c r="H829" t="str">
        <f>CONCATENATE(Prequal[[#This Row],[CITY]], ", ",Prequal[[#This Row],[STATE]])</f>
        <v>Chicago, IL</v>
      </c>
    </row>
    <row r="830" spans="2:8" x14ac:dyDescent="0.2">
      <c r="B830" s="27" t="s">
        <v>120</v>
      </c>
      <c r="C830" s="28" t="s">
        <v>969</v>
      </c>
      <c r="D830" s="29" t="s">
        <v>5</v>
      </c>
      <c r="E830" s="30" t="s">
        <v>947</v>
      </c>
      <c r="F830" s="28" t="s">
        <v>356</v>
      </c>
      <c r="G830" s="30" t="s">
        <v>609</v>
      </c>
      <c r="H830" t="str">
        <f>CONCATENATE(Prequal[[#This Row],[CITY]], ", ",Prequal[[#This Row],[STATE]])</f>
        <v>Chicago, IL</v>
      </c>
    </row>
    <row r="831" spans="2:8" x14ac:dyDescent="0.2">
      <c r="B831" s="27" t="s">
        <v>120</v>
      </c>
      <c r="C831" s="28" t="s">
        <v>969</v>
      </c>
      <c r="D831" s="29" t="s">
        <v>7</v>
      </c>
      <c r="E831" s="30" t="s">
        <v>947</v>
      </c>
      <c r="F831" s="28" t="s">
        <v>356</v>
      </c>
      <c r="G831" s="30" t="s">
        <v>609</v>
      </c>
      <c r="H831" t="str">
        <f>CONCATENATE(Prequal[[#This Row],[CITY]], ", ",Prequal[[#This Row],[STATE]])</f>
        <v>Chicago, IL</v>
      </c>
    </row>
    <row r="832" spans="2:8" x14ac:dyDescent="0.2">
      <c r="B832" s="27" t="s">
        <v>120</v>
      </c>
      <c r="C832" s="28" t="s">
        <v>969</v>
      </c>
      <c r="D832" s="29" t="s">
        <v>8</v>
      </c>
      <c r="E832" s="30" t="s">
        <v>947</v>
      </c>
      <c r="F832" s="28" t="s">
        <v>356</v>
      </c>
      <c r="G832" s="30" t="s">
        <v>609</v>
      </c>
      <c r="H832" t="str">
        <f>CONCATENATE(Prequal[[#This Row],[CITY]], ", ",Prequal[[#This Row],[STATE]])</f>
        <v>Chicago, IL</v>
      </c>
    </row>
    <row r="833" spans="2:8" x14ac:dyDescent="0.2">
      <c r="B833" s="27" t="s">
        <v>120</v>
      </c>
      <c r="C833" s="28" t="s">
        <v>969</v>
      </c>
      <c r="D833" s="29" t="s">
        <v>24</v>
      </c>
      <c r="E833" s="30" t="s">
        <v>947</v>
      </c>
      <c r="F833" s="28" t="s">
        <v>356</v>
      </c>
      <c r="G833" s="30" t="s">
        <v>609</v>
      </c>
      <c r="H833" t="str">
        <f>CONCATENATE(Prequal[[#This Row],[CITY]], ", ",Prequal[[#This Row],[STATE]])</f>
        <v>Chicago, IL</v>
      </c>
    </row>
    <row r="834" spans="2:8" x14ac:dyDescent="0.2">
      <c r="B834" s="27" t="s">
        <v>120</v>
      </c>
      <c r="C834" s="28" t="s">
        <v>969</v>
      </c>
      <c r="D834" s="29" t="s">
        <v>25</v>
      </c>
      <c r="E834" s="30" t="s">
        <v>947</v>
      </c>
      <c r="F834" s="28" t="s">
        <v>356</v>
      </c>
      <c r="G834" s="30" t="s">
        <v>609</v>
      </c>
      <c r="H834" t="str">
        <f>CONCATENATE(Prequal[[#This Row],[CITY]], ", ",Prequal[[#This Row],[STATE]])</f>
        <v>Chicago, IL</v>
      </c>
    </row>
    <row r="835" spans="2:8" x14ac:dyDescent="0.2">
      <c r="B835" s="31" t="s">
        <v>120</v>
      </c>
      <c r="C835" s="32" t="s">
        <v>969</v>
      </c>
      <c r="D835" s="33" t="s">
        <v>9</v>
      </c>
      <c r="E835" s="30" t="s">
        <v>947</v>
      </c>
      <c r="F835" s="32" t="s">
        <v>356</v>
      </c>
      <c r="G835" s="30" t="s">
        <v>609</v>
      </c>
      <c r="H835" t="str">
        <f>CONCATENATE(Prequal[[#This Row],[CITY]], ", ",Prequal[[#This Row],[STATE]])</f>
        <v>Chicago, IL</v>
      </c>
    </row>
    <row r="836" spans="2:8" x14ac:dyDescent="0.2">
      <c r="B836" s="31" t="s">
        <v>120</v>
      </c>
      <c r="C836" s="32" t="s">
        <v>969</v>
      </c>
      <c r="D836" s="33" t="s">
        <v>10</v>
      </c>
      <c r="E836" s="30" t="s">
        <v>947</v>
      </c>
      <c r="F836" s="32" t="s">
        <v>356</v>
      </c>
      <c r="G836" s="30" t="s">
        <v>609</v>
      </c>
      <c r="H836" t="str">
        <f>CONCATENATE(Prequal[[#This Row],[CITY]], ", ",Prequal[[#This Row],[STATE]])</f>
        <v>Chicago, IL</v>
      </c>
    </row>
    <row r="837" spans="2:8" x14ac:dyDescent="0.2">
      <c r="B837" s="31" t="s">
        <v>120</v>
      </c>
      <c r="C837" s="32" t="s">
        <v>969</v>
      </c>
      <c r="D837" s="33" t="s">
        <v>37</v>
      </c>
      <c r="E837" s="30" t="s">
        <v>947</v>
      </c>
      <c r="F837" s="32" t="s">
        <v>356</v>
      </c>
      <c r="G837" s="30" t="s">
        <v>609</v>
      </c>
      <c r="H837" t="str">
        <f>CONCATENATE(Prequal[[#This Row],[CITY]], ", ",Prequal[[#This Row],[STATE]])</f>
        <v>Chicago, IL</v>
      </c>
    </row>
    <row r="838" spans="2:8" x14ac:dyDescent="0.2">
      <c r="B838" s="31" t="s">
        <v>120</v>
      </c>
      <c r="C838" s="32" t="s">
        <v>969</v>
      </c>
      <c r="D838" s="33" t="s">
        <v>14</v>
      </c>
      <c r="E838" s="30" t="s">
        <v>947</v>
      </c>
      <c r="F838" s="32" t="s">
        <v>356</v>
      </c>
      <c r="G838" s="30" t="s">
        <v>609</v>
      </c>
      <c r="H838" t="str">
        <f>CONCATENATE(Prequal[[#This Row],[CITY]], ", ",Prequal[[#This Row],[STATE]])</f>
        <v>Chicago, IL</v>
      </c>
    </row>
    <row r="839" spans="2:8" x14ac:dyDescent="0.2">
      <c r="B839" s="31" t="s">
        <v>120</v>
      </c>
      <c r="C839" s="32" t="s">
        <v>969</v>
      </c>
      <c r="D839" s="33" t="s">
        <v>15</v>
      </c>
      <c r="E839" s="30" t="s">
        <v>947</v>
      </c>
      <c r="F839" s="32" t="s">
        <v>356</v>
      </c>
      <c r="G839" s="30" t="s">
        <v>609</v>
      </c>
      <c r="H839" t="str">
        <f>CONCATENATE(Prequal[[#This Row],[CITY]], ", ",Prequal[[#This Row],[STATE]])</f>
        <v>Chicago, IL</v>
      </c>
    </row>
    <row r="840" spans="2:8" x14ac:dyDescent="0.2">
      <c r="B840" s="31" t="s">
        <v>120</v>
      </c>
      <c r="C840" s="32" t="s">
        <v>969</v>
      </c>
      <c r="D840" s="33" t="s">
        <v>30</v>
      </c>
      <c r="E840" s="30" t="s">
        <v>947</v>
      </c>
      <c r="F840" s="32" t="s">
        <v>356</v>
      </c>
      <c r="G840" s="30" t="s">
        <v>609</v>
      </c>
      <c r="H840" t="str">
        <f>CONCATENATE(Prequal[[#This Row],[CITY]], ", ",Prequal[[#This Row],[STATE]])</f>
        <v>Chicago, IL</v>
      </c>
    </row>
    <row r="841" spans="2:8" x14ac:dyDescent="0.2">
      <c r="B841" s="31" t="s">
        <v>120</v>
      </c>
      <c r="C841" s="32" t="s">
        <v>969</v>
      </c>
      <c r="D841" s="33" t="s">
        <v>53</v>
      </c>
      <c r="E841" s="30" t="s">
        <v>947</v>
      </c>
      <c r="F841" s="32" t="s">
        <v>356</v>
      </c>
      <c r="G841" s="30" t="s">
        <v>609</v>
      </c>
      <c r="H841" t="str">
        <f>CONCATENATE(Prequal[[#This Row],[CITY]], ", ",Prequal[[#This Row],[STATE]])</f>
        <v>Chicago, IL</v>
      </c>
    </row>
    <row r="842" spans="2:8" x14ac:dyDescent="0.2">
      <c r="B842" s="31" t="s">
        <v>120</v>
      </c>
      <c r="C842" s="32" t="s">
        <v>969</v>
      </c>
      <c r="D842" s="33" t="s">
        <v>31</v>
      </c>
      <c r="E842" s="30" t="s">
        <v>947</v>
      </c>
      <c r="F842" s="32" t="s">
        <v>356</v>
      </c>
      <c r="G842" s="30" t="s">
        <v>609</v>
      </c>
      <c r="H842" t="str">
        <f>CONCATENATE(Prequal[[#This Row],[CITY]], ", ",Prequal[[#This Row],[STATE]])</f>
        <v>Chicago, IL</v>
      </c>
    </row>
    <row r="843" spans="2:8" x14ac:dyDescent="0.2">
      <c r="B843" s="31" t="s">
        <v>120</v>
      </c>
      <c r="C843" s="32" t="s">
        <v>969</v>
      </c>
      <c r="D843" s="33" t="s">
        <v>32</v>
      </c>
      <c r="E843" s="30" t="s">
        <v>947</v>
      </c>
      <c r="F843" s="32" t="s">
        <v>356</v>
      </c>
      <c r="G843" s="30" t="s">
        <v>609</v>
      </c>
      <c r="H843" t="str">
        <f>CONCATENATE(Prequal[[#This Row],[CITY]], ", ",Prequal[[#This Row],[STATE]])</f>
        <v>Chicago, IL</v>
      </c>
    </row>
    <row r="844" spans="2:8" x14ac:dyDescent="0.2">
      <c r="B844" s="31" t="s">
        <v>120</v>
      </c>
      <c r="C844" s="32" t="s">
        <v>969</v>
      </c>
      <c r="D844" s="33" t="s">
        <v>54</v>
      </c>
      <c r="E844" s="30" t="s">
        <v>947</v>
      </c>
      <c r="F844" s="32" t="s">
        <v>356</v>
      </c>
      <c r="G844" s="30" t="s">
        <v>609</v>
      </c>
      <c r="H844" t="str">
        <f>CONCATENATE(Prequal[[#This Row],[CITY]], ", ",Prequal[[#This Row],[STATE]])</f>
        <v>Chicago, IL</v>
      </c>
    </row>
    <row r="845" spans="2:8" x14ac:dyDescent="0.2">
      <c r="B845" s="31" t="s">
        <v>120</v>
      </c>
      <c r="C845" s="32" t="s">
        <v>969</v>
      </c>
      <c r="D845" s="33" t="s">
        <v>38</v>
      </c>
      <c r="E845" s="30" t="s">
        <v>947</v>
      </c>
      <c r="F845" s="32" t="s">
        <v>356</v>
      </c>
      <c r="G845" s="30" t="s">
        <v>609</v>
      </c>
      <c r="H845" t="str">
        <f>CONCATENATE(Prequal[[#This Row],[CITY]], ", ",Prequal[[#This Row],[STATE]])</f>
        <v>Chicago, IL</v>
      </c>
    </row>
    <row r="846" spans="2:8" x14ac:dyDescent="0.2">
      <c r="B846" s="31" t="s">
        <v>1099</v>
      </c>
      <c r="C846" s="32" t="s">
        <v>969</v>
      </c>
      <c r="D846" s="33" t="s">
        <v>1004</v>
      </c>
      <c r="E846" s="30" t="s">
        <v>1100</v>
      </c>
      <c r="F846" s="32" t="s">
        <v>1101</v>
      </c>
      <c r="G846" s="30" t="s">
        <v>1102</v>
      </c>
      <c r="H846" t="str">
        <f>CONCATENATE(Prequal[[#This Row],[CITY]], ", ",Prequal[[#This Row],[STATE]])</f>
        <v>Jackson, MI</v>
      </c>
    </row>
    <row r="847" spans="2:8" x14ac:dyDescent="0.2">
      <c r="B847" s="27" t="s">
        <v>1099</v>
      </c>
      <c r="C847" s="28" t="s">
        <v>969</v>
      </c>
      <c r="D847" s="29" t="s">
        <v>1008</v>
      </c>
      <c r="E847" s="30" t="s">
        <v>1100</v>
      </c>
      <c r="F847" s="28" t="s">
        <v>1101</v>
      </c>
      <c r="G847" s="30" t="s">
        <v>1102</v>
      </c>
      <c r="H847" t="str">
        <f>CONCATENATE(Prequal[[#This Row],[CITY]], ", ",Prequal[[#This Row],[STATE]])</f>
        <v>Jackson, MI</v>
      </c>
    </row>
    <row r="848" spans="2:8" x14ac:dyDescent="0.2">
      <c r="B848" s="27" t="s">
        <v>121</v>
      </c>
      <c r="C848" s="28" t="s">
        <v>969</v>
      </c>
      <c r="D848" s="29" t="s">
        <v>29</v>
      </c>
      <c r="E848" s="30" t="s">
        <v>396</v>
      </c>
      <c r="F848" s="28" t="s">
        <v>356</v>
      </c>
      <c r="G848" s="30" t="s">
        <v>610</v>
      </c>
      <c r="H848" t="str">
        <f>CONCATENATE(Prequal[[#This Row],[CITY]], ", ",Prequal[[#This Row],[STATE]])</f>
        <v>Aurora, IL</v>
      </c>
    </row>
    <row r="849" spans="2:8" x14ac:dyDescent="0.2">
      <c r="B849" s="27" t="s">
        <v>900</v>
      </c>
      <c r="C849" s="28" t="s">
        <v>970</v>
      </c>
      <c r="D849" s="29" t="s">
        <v>10</v>
      </c>
      <c r="E849" s="30" t="s">
        <v>947</v>
      </c>
      <c r="F849" s="28" t="s">
        <v>356</v>
      </c>
      <c r="G849" s="30" t="s">
        <v>901</v>
      </c>
      <c r="H849" t="str">
        <f>CONCATENATE(Prequal[[#This Row],[CITY]], ", ",Prequal[[#This Row],[STATE]])</f>
        <v>Chicago, IL</v>
      </c>
    </row>
    <row r="850" spans="2:8" x14ac:dyDescent="0.2">
      <c r="B850" s="27" t="s">
        <v>900</v>
      </c>
      <c r="C850" s="28" t="s">
        <v>970</v>
      </c>
      <c r="D850" s="29" t="s">
        <v>51</v>
      </c>
      <c r="E850" s="30" t="s">
        <v>947</v>
      </c>
      <c r="F850" s="28" t="s">
        <v>356</v>
      </c>
      <c r="G850" s="30" t="s">
        <v>901</v>
      </c>
      <c r="H850" t="str">
        <f>CONCATENATE(Prequal[[#This Row],[CITY]], ", ",Prequal[[#This Row],[STATE]])</f>
        <v>Chicago, IL</v>
      </c>
    </row>
    <row r="851" spans="2:8" x14ac:dyDescent="0.2">
      <c r="B851" s="27" t="s">
        <v>900</v>
      </c>
      <c r="C851" s="28" t="s">
        <v>970</v>
      </c>
      <c r="D851" s="29" t="s">
        <v>14</v>
      </c>
      <c r="E851" s="30" t="s">
        <v>947</v>
      </c>
      <c r="F851" s="28" t="s">
        <v>356</v>
      </c>
      <c r="G851" s="30" t="s">
        <v>901</v>
      </c>
      <c r="H851" t="str">
        <f>CONCATENATE(Prequal[[#This Row],[CITY]], ", ",Prequal[[#This Row],[STATE]])</f>
        <v>Chicago, IL</v>
      </c>
    </row>
    <row r="852" spans="2:8" x14ac:dyDescent="0.2">
      <c r="B852" s="27" t="s">
        <v>122</v>
      </c>
      <c r="C852" s="28" t="s">
        <v>970</v>
      </c>
      <c r="D852" s="29" t="s">
        <v>10</v>
      </c>
      <c r="E852" s="30" t="s">
        <v>947</v>
      </c>
      <c r="F852" s="28" t="s">
        <v>356</v>
      </c>
      <c r="G852" s="30" t="s">
        <v>611</v>
      </c>
      <c r="H852" t="str">
        <f>CONCATENATE(Prequal[[#This Row],[CITY]], ", ",Prequal[[#This Row],[STATE]])</f>
        <v>Chicago, IL</v>
      </c>
    </row>
    <row r="853" spans="2:8" x14ac:dyDescent="0.2">
      <c r="B853" s="27" t="s">
        <v>122</v>
      </c>
      <c r="C853" s="28" t="s">
        <v>970</v>
      </c>
      <c r="D853" s="29" t="s">
        <v>51</v>
      </c>
      <c r="E853" s="30" t="s">
        <v>947</v>
      </c>
      <c r="F853" s="28" t="s">
        <v>356</v>
      </c>
      <c r="G853" s="30" t="s">
        <v>611</v>
      </c>
      <c r="H853" t="str">
        <f>CONCATENATE(Prequal[[#This Row],[CITY]], ", ",Prequal[[#This Row],[STATE]])</f>
        <v>Chicago, IL</v>
      </c>
    </row>
    <row r="854" spans="2:8" x14ac:dyDescent="0.2">
      <c r="B854" s="27" t="s">
        <v>123</v>
      </c>
      <c r="C854" s="28" t="s">
        <v>969</v>
      </c>
      <c r="D854" s="29" t="s">
        <v>35</v>
      </c>
      <c r="E854" s="30" t="s">
        <v>367</v>
      </c>
      <c r="F854" s="28" t="s">
        <v>356</v>
      </c>
      <c r="G854" s="30" t="s">
        <v>613</v>
      </c>
      <c r="H854" t="str">
        <f>CONCATENATE(Prequal[[#This Row],[CITY]], ", ",Prequal[[#This Row],[STATE]])</f>
        <v>Springfield, IL</v>
      </c>
    </row>
    <row r="855" spans="2:8" x14ac:dyDescent="0.2">
      <c r="B855" s="27" t="s">
        <v>123</v>
      </c>
      <c r="C855" s="28" t="s">
        <v>969</v>
      </c>
      <c r="D855" s="29" t="s">
        <v>124</v>
      </c>
      <c r="E855" s="30" t="s">
        <v>367</v>
      </c>
      <c r="F855" s="28" t="s">
        <v>356</v>
      </c>
      <c r="G855" s="30" t="s">
        <v>613</v>
      </c>
      <c r="H855" t="str">
        <f>CONCATENATE(Prequal[[#This Row],[CITY]], ", ",Prequal[[#This Row],[STATE]])</f>
        <v>Springfield, IL</v>
      </c>
    </row>
    <row r="856" spans="2:8" x14ac:dyDescent="0.2">
      <c r="B856" s="27" t="s">
        <v>123</v>
      </c>
      <c r="C856" s="28" t="s">
        <v>969</v>
      </c>
      <c r="D856" s="29" t="s">
        <v>36</v>
      </c>
      <c r="E856" s="30" t="s">
        <v>367</v>
      </c>
      <c r="F856" s="28" t="s">
        <v>356</v>
      </c>
      <c r="G856" s="30" t="s">
        <v>613</v>
      </c>
      <c r="H856" t="str">
        <f>CONCATENATE(Prequal[[#This Row],[CITY]], ", ",Prequal[[#This Row],[STATE]])</f>
        <v>Springfield, IL</v>
      </c>
    </row>
    <row r="857" spans="2:8" x14ac:dyDescent="0.2">
      <c r="B857" s="27" t="s">
        <v>123</v>
      </c>
      <c r="C857" s="28" t="s">
        <v>969</v>
      </c>
      <c r="D857" s="29" t="s">
        <v>125</v>
      </c>
      <c r="E857" s="30" t="s">
        <v>367</v>
      </c>
      <c r="F857" s="28" t="s">
        <v>356</v>
      </c>
      <c r="G857" s="30" t="s">
        <v>613</v>
      </c>
      <c r="H857" t="str">
        <f>CONCATENATE(Prequal[[#This Row],[CITY]], ", ",Prequal[[#This Row],[STATE]])</f>
        <v>Springfield, IL</v>
      </c>
    </row>
    <row r="858" spans="2:8" x14ac:dyDescent="0.2">
      <c r="B858" s="27" t="s">
        <v>123</v>
      </c>
      <c r="C858" s="28" t="s">
        <v>969</v>
      </c>
      <c r="D858" s="29" t="s">
        <v>42</v>
      </c>
      <c r="E858" s="30" t="s">
        <v>367</v>
      </c>
      <c r="F858" s="28" t="s">
        <v>356</v>
      </c>
      <c r="G858" s="30" t="s">
        <v>613</v>
      </c>
      <c r="H858" t="str">
        <f>CONCATENATE(Prequal[[#This Row],[CITY]], ", ",Prequal[[#This Row],[STATE]])</f>
        <v>Springfield, IL</v>
      </c>
    </row>
    <row r="859" spans="2:8" x14ac:dyDescent="0.2">
      <c r="B859" s="27" t="s">
        <v>123</v>
      </c>
      <c r="C859" s="28" t="s">
        <v>969</v>
      </c>
      <c r="D859" s="29" t="s">
        <v>43</v>
      </c>
      <c r="E859" s="30" t="s">
        <v>367</v>
      </c>
      <c r="F859" s="28" t="s">
        <v>356</v>
      </c>
      <c r="G859" s="30" t="s">
        <v>613</v>
      </c>
      <c r="H859" t="str">
        <f>CONCATENATE(Prequal[[#This Row],[CITY]], ", ",Prequal[[#This Row],[STATE]])</f>
        <v>Springfield, IL</v>
      </c>
    </row>
    <row r="860" spans="2:8" x14ac:dyDescent="0.2">
      <c r="B860" s="27" t="s">
        <v>123</v>
      </c>
      <c r="C860" s="28" t="s">
        <v>969</v>
      </c>
      <c r="D860" s="29" t="s">
        <v>44</v>
      </c>
      <c r="E860" s="30" t="s">
        <v>367</v>
      </c>
      <c r="F860" s="28" t="s">
        <v>356</v>
      </c>
      <c r="G860" s="30" t="s">
        <v>613</v>
      </c>
      <c r="H860" t="str">
        <f>CONCATENATE(Prequal[[#This Row],[CITY]], ", ",Prequal[[#This Row],[STATE]])</f>
        <v>Springfield, IL</v>
      </c>
    </row>
    <row r="861" spans="2:8" x14ac:dyDescent="0.2">
      <c r="B861" s="31" t="s">
        <v>123</v>
      </c>
      <c r="C861" s="32" t="s">
        <v>969</v>
      </c>
      <c r="D861" s="33" t="s">
        <v>4</v>
      </c>
      <c r="E861" s="30" t="s">
        <v>367</v>
      </c>
      <c r="F861" s="32" t="s">
        <v>356</v>
      </c>
      <c r="G861" s="30" t="s">
        <v>613</v>
      </c>
      <c r="H861" t="str">
        <f>CONCATENATE(Prequal[[#This Row],[CITY]], ", ",Prequal[[#This Row],[STATE]])</f>
        <v>Springfield, IL</v>
      </c>
    </row>
    <row r="862" spans="2:8" x14ac:dyDescent="0.2">
      <c r="B862" s="31" t="s">
        <v>123</v>
      </c>
      <c r="C862" s="32" t="s">
        <v>969</v>
      </c>
      <c r="D862" s="33" t="s">
        <v>5</v>
      </c>
      <c r="E862" s="30" t="s">
        <v>367</v>
      </c>
      <c r="F862" s="32" t="s">
        <v>356</v>
      </c>
      <c r="G862" s="30" t="s">
        <v>613</v>
      </c>
      <c r="H862" t="str">
        <f>CONCATENATE(Prequal[[#This Row],[CITY]], ", ",Prequal[[#This Row],[STATE]])</f>
        <v>Springfield, IL</v>
      </c>
    </row>
    <row r="863" spans="2:8" x14ac:dyDescent="0.2">
      <c r="B863" s="31" t="s">
        <v>123</v>
      </c>
      <c r="C863" s="32" t="s">
        <v>969</v>
      </c>
      <c r="D863" s="33" t="s">
        <v>6</v>
      </c>
      <c r="E863" s="30" t="s">
        <v>367</v>
      </c>
      <c r="F863" s="32" t="s">
        <v>356</v>
      </c>
      <c r="G863" s="30" t="s">
        <v>613</v>
      </c>
      <c r="H863" t="str">
        <f>CONCATENATE(Prequal[[#This Row],[CITY]], ", ",Prequal[[#This Row],[STATE]])</f>
        <v>Springfield, IL</v>
      </c>
    </row>
    <row r="864" spans="2:8" x14ac:dyDescent="0.2">
      <c r="B864" s="31" t="s">
        <v>123</v>
      </c>
      <c r="C864" s="32" t="s">
        <v>969</v>
      </c>
      <c r="D864" s="33" t="s">
        <v>7</v>
      </c>
      <c r="E864" s="30" t="s">
        <v>367</v>
      </c>
      <c r="F864" s="32" t="s">
        <v>356</v>
      </c>
      <c r="G864" s="30" t="s">
        <v>613</v>
      </c>
      <c r="H864" t="str">
        <f>CONCATENATE(Prequal[[#This Row],[CITY]], ", ",Prequal[[#This Row],[STATE]])</f>
        <v>Springfield, IL</v>
      </c>
    </row>
    <row r="865" spans="2:8" x14ac:dyDescent="0.2">
      <c r="B865" s="27" t="s">
        <v>123</v>
      </c>
      <c r="C865" s="28" t="s">
        <v>969</v>
      </c>
      <c r="D865" s="29" t="s">
        <v>8</v>
      </c>
      <c r="E865" s="30" t="s">
        <v>367</v>
      </c>
      <c r="F865" s="28" t="s">
        <v>356</v>
      </c>
      <c r="G865" s="30" t="s">
        <v>613</v>
      </c>
      <c r="H865" t="str">
        <f>CONCATENATE(Prequal[[#This Row],[CITY]], ", ",Prequal[[#This Row],[STATE]])</f>
        <v>Springfield, IL</v>
      </c>
    </row>
    <row r="866" spans="2:8" x14ac:dyDescent="0.2">
      <c r="B866" s="27" t="s">
        <v>123</v>
      </c>
      <c r="C866" s="28" t="s">
        <v>969</v>
      </c>
      <c r="D866" s="29" t="s">
        <v>24</v>
      </c>
      <c r="E866" s="30" t="s">
        <v>367</v>
      </c>
      <c r="F866" s="28" t="s">
        <v>356</v>
      </c>
      <c r="G866" s="30" t="s">
        <v>613</v>
      </c>
      <c r="H866" t="str">
        <f>CONCATENATE(Prequal[[#This Row],[CITY]], ", ",Prequal[[#This Row],[STATE]])</f>
        <v>Springfield, IL</v>
      </c>
    </row>
    <row r="867" spans="2:8" x14ac:dyDescent="0.2">
      <c r="B867" s="27" t="s">
        <v>123</v>
      </c>
      <c r="C867" s="28" t="s">
        <v>969</v>
      </c>
      <c r="D867" s="29" t="s">
        <v>25</v>
      </c>
      <c r="E867" s="30" t="s">
        <v>367</v>
      </c>
      <c r="F867" s="28" t="s">
        <v>356</v>
      </c>
      <c r="G867" s="30" t="s">
        <v>613</v>
      </c>
      <c r="H867" t="str">
        <f>CONCATENATE(Prequal[[#This Row],[CITY]], ", ",Prequal[[#This Row],[STATE]])</f>
        <v>Springfield, IL</v>
      </c>
    </row>
    <row r="868" spans="2:8" x14ac:dyDescent="0.2">
      <c r="B868" s="27" t="s">
        <v>123</v>
      </c>
      <c r="C868" s="28" t="s">
        <v>969</v>
      </c>
      <c r="D868" s="29" t="s">
        <v>9</v>
      </c>
      <c r="E868" s="30" t="s">
        <v>367</v>
      </c>
      <c r="F868" s="28" t="s">
        <v>356</v>
      </c>
      <c r="G868" s="30" t="s">
        <v>613</v>
      </c>
      <c r="H868" t="str">
        <f>CONCATENATE(Prequal[[#This Row],[CITY]], ", ",Prequal[[#This Row],[STATE]])</f>
        <v>Springfield, IL</v>
      </c>
    </row>
    <row r="869" spans="2:8" x14ac:dyDescent="0.2">
      <c r="B869" s="27" t="s">
        <v>123</v>
      </c>
      <c r="C869" s="28" t="s">
        <v>969</v>
      </c>
      <c r="D869" s="29" t="s">
        <v>26</v>
      </c>
      <c r="E869" s="30" t="s">
        <v>367</v>
      </c>
      <c r="F869" s="28" t="s">
        <v>356</v>
      </c>
      <c r="G869" s="30" t="s">
        <v>613</v>
      </c>
      <c r="H869" t="str">
        <f>CONCATENATE(Prequal[[#This Row],[CITY]], ", ",Prequal[[#This Row],[STATE]])</f>
        <v>Springfield, IL</v>
      </c>
    </row>
    <row r="870" spans="2:8" x14ac:dyDescent="0.2">
      <c r="B870" s="27" t="s">
        <v>123</v>
      </c>
      <c r="C870" s="28" t="s">
        <v>969</v>
      </c>
      <c r="D870" s="29" t="s">
        <v>20</v>
      </c>
      <c r="E870" s="30" t="s">
        <v>367</v>
      </c>
      <c r="F870" s="28" t="s">
        <v>356</v>
      </c>
      <c r="G870" s="30" t="s">
        <v>613</v>
      </c>
      <c r="H870" t="str">
        <f>CONCATENATE(Prequal[[#This Row],[CITY]], ", ",Prequal[[#This Row],[STATE]])</f>
        <v>Springfield, IL</v>
      </c>
    </row>
    <row r="871" spans="2:8" x14ac:dyDescent="0.2">
      <c r="B871" s="27" t="s">
        <v>123</v>
      </c>
      <c r="C871" s="28" t="s">
        <v>969</v>
      </c>
      <c r="D871" s="29" t="s">
        <v>49</v>
      </c>
      <c r="E871" s="30" t="s">
        <v>367</v>
      </c>
      <c r="F871" s="28" t="s">
        <v>356</v>
      </c>
      <c r="G871" s="30" t="s">
        <v>613</v>
      </c>
      <c r="H871" t="str">
        <f>CONCATENATE(Prequal[[#This Row],[CITY]], ", ",Prequal[[#This Row],[STATE]])</f>
        <v>Springfield, IL</v>
      </c>
    </row>
    <row r="872" spans="2:8" x14ac:dyDescent="0.2">
      <c r="B872" s="27" t="s">
        <v>123</v>
      </c>
      <c r="C872" s="28" t="s">
        <v>969</v>
      </c>
      <c r="D872" s="29" t="s">
        <v>27</v>
      </c>
      <c r="E872" s="30" t="s">
        <v>367</v>
      </c>
      <c r="F872" s="28" t="s">
        <v>356</v>
      </c>
      <c r="G872" s="30" t="s">
        <v>613</v>
      </c>
      <c r="H872" t="str">
        <f>CONCATENATE(Prequal[[#This Row],[CITY]], ", ",Prequal[[#This Row],[STATE]])</f>
        <v>Springfield, IL</v>
      </c>
    </row>
    <row r="873" spans="2:8" x14ac:dyDescent="0.2">
      <c r="B873" s="27" t="s">
        <v>123</v>
      </c>
      <c r="C873" s="28" t="s">
        <v>969</v>
      </c>
      <c r="D873" s="29" t="s">
        <v>59</v>
      </c>
      <c r="E873" s="30" t="s">
        <v>367</v>
      </c>
      <c r="F873" s="28" t="s">
        <v>356</v>
      </c>
      <c r="G873" s="30" t="s">
        <v>613</v>
      </c>
      <c r="H873" t="str">
        <f>CONCATENATE(Prequal[[#This Row],[CITY]], ", ",Prequal[[#This Row],[STATE]])</f>
        <v>Springfield, IL</v>
      </c>
    </row>
    <row r="874" spans="2:8" x14ac:dyDescent="0.2">
      <c r="B874" s="27" t="s">
        <v>123</v>
      </c>
      <c r="C874" s="28" t="s">
        <v>969</v>
      </c>
      <c r="D874" s="29" t="s">
        <v>10</v>
      </c>
      <c r="E874" s="30" t="s">
        <v>367</v>
      </c>
      <c r="F874" s="28" t="s">
        <v>356</v>
      </c>
      <c r="G874" s="30" t="s">
        <v>613</v>
      </c>
      <c r="H874" t="str">
        <f>CONCATENATE(Prequal[[#This Row],[CITY]], ", ",Prequal[[#This Row],[STATE]])</f>
        <v>Springfield, IL</v>
      </c>
    </row>
    <row r="875" spans="2:8" x14ac:dyDescent="0.2">
      <c r="B875" s="27" t="s">
        <v>123</v>
      </c>
      <c r="C875" s="28" t="s">
        <v>969</v>
      </c>
      <c r="D875" s="29" t="s">
        <v>21</v>
      </c>
      <c r="E875" s="30" t="s">
        <v>367</v>
      </c>
      <c r="F875" s="28" t="s">
        <v>356</v>
      </c>
      <c r="G875" s="30" t="s">
        <v>613</v>
      </c>
      <c r="H875" t="str">
        <f>CONCATENATE(Prequal[[#This Row],[CITY]], ", ",Prequal[[#This Row],[STATE]])</f>
        <v>Springfield, IL</v>
      </c>
    </row>
    <row r="876" spans="2:8" x14ac:dyDescent="0.2">
      <c r="B876" s="27" t="s">
        <v>123</v>
      </c>
      <c r="C876" s="28" t="s">
        <v>969</v>
      </c>
      <c r="D876" s="29" t="s">
        <v>11</v>
      </c>
      <c r="E876" s="30" t="s">
        <v>367</v>
      </c>
      <c r="F876" s="28" t="s">
        <v>356</v>
      </c>
      <c r="G876" s="30" t="s">
        <v>613</v>
      </c>
      <c r="H876" t="str">
        <f>CONCATENATE(Prequal[[#This Row],[CITY]], ", ",Prequal[[#This Row],[STATE]])</f>
        <v>Springfield, IL</v>
      </c>
    </row>
    <row r="877" spans="2:8" x14ac:dyDescent="0.2">
      <c r="B877" s="27" t="s">
        <v>123</v>
      </c>
      <c r="C877" s="28" t="s">
        <v>969</v>
      </c>
      <c r="D877" s="29" t="s">
        <v>22</v>
      </c>
      <c r="E877" s="30" t="s">
        <v>367</v>
      </c>
      <c r="F877" s="28" t="s">
        <v>356</v>
      </c>
      <c r="G877" s="30" t="s">
        <v>613</v>
      </c>
      <c r="H877" t="str">
        <f>CONCATENATE(Prequal[[#This Row],[CITY]], ", ",Prequal[[#This Row],[STATE]])</f>
        <v>Springfield, IL</v>
      </c>
    </row>
    <row r="878" spans="2:8" x14ac:dyDescent="0.2">
      <c r="B878" s="27" t="s">
        <v>123</v>
      </c>
      <c r="C878" s="28" t="s">
        <v>969</v>
      </c>
      <c r="D878" s="29" t="s">
        <v>39</v>
      </c>
      <c r="E878" s="30" t="s">
        <v>367</v>
      </c>
      <c r="F878" s="28" t="s">
        <v>356</v>
      </c>
      <c r="G878" s="30" t="s">
        <v>613</v>
      </c>
      <c r="H878" t="str">
        <f>CONCATENATE(Prequal[[#This Row],[CITY]], ", ",Prequal[[#This Row],[STATE]])</f>
        <v>Springfield, IL</v>
      </c>
    </row>
    <row r="879" spans="2:8" x14ac:dyDescent="0.2">
      <c r="B879" s="27" t="s">
        <v>123</v>
      </c>
      <c r="C879" s="28" t="s">
        <v>969</v>
      </c>
      <c r="D879" s="29" t="s">
        <v>12</v>
      </c>
      <c r="E879" s="30" t="s">
        <v>367</v>
      </c>
      <c r="F879" s="28" t="s">
        <v>356</v>
      </c>
      <c r="G879" s="30" t="s">
        <v>613</v>
      </c>
      <c r="H879" t="str">
        <f>CONCATENATE(Prequal[[#This Row],[CITY]], ", ",Prequal[[#This Row],[STATE]])</f>
        <v>Springfield, IL</v>
      </c>
    </row>
    <row r="880" spans="2:8" x14ac:dyDescent="0.2">
      <c r="B880" s="27" t="s">
        <v>123</v>
      </c>
      <c r="C880" s="28" t="s">
        <v>969</v>
      </c>
      <c r="D880" s="29" t="s">
        <v>29</v>
      </c>
      <c r="E880" s="30" t="s">
        <v>367</v>
      </c>
      <c r="F880" s="28" t="s">
        <v>356</v>
      </c>
      <c r="G880" s="30" t="s">
        <v>613</v>
      </c>
      <c r="H880" t="str">
        <f>CONCATENATE(Prequal[[#This Row],[CITY]], ", ",Prequal[[#This Row],[STATE]])</f>
        <v>Springfield, IL</v>
      </c>
    </row>
    <row r="881" spans="2:8" x14ac:dyDescent="0.2">
      <c r="B881" s="27" t="s">
        <v>123</v>
      </c>
      <c r="C881" s="28" t="s">
        <v>969</v>
      </c>
      <c r="D881" s="29" t="s">
        <v>37</v>
      </c>
      <c r="E881" s="30" t="s">
        <v>367</v>
      </c>
      <c r="F881" s="28" t="s">
        <v>356</v>
      </c>
      <c r="G881" s="30" t="s">
        <v>613</v>
      </c>
      <c r="H881" t="str">
        <f>CONCATENATE(Prequal[[#This Row],[CITY]], ", ",Prequal[[#This Row],[STATE]])</f>
        <v>Springfield, IL</v>
      </c>
    </row>
    <row r="882" spans="2:8" x14ac:dyDescent="0.2">
      <c r="B882" s="27" t="s">
        <v>123</v>
      </c>
      <c r="C882" s="28" t="s">
        <v>969</v>
      </c>
      <c r="D882" s="29" t="s">
        <v>13</v>
      </c>
      <c r="E882" s="30" t="s">
        <v>367</v>
      </c>
      <c r="F882" s="28" t="s">
        <v>356</v>
      </c>
      <c r="G882" s="30" t="s">
        <v>613</v>
      </c>
      <c r="H882" t="str">
        <f>CONCATENATE(Prequal[[#This Row],[CITY]], ", ",Prequal[[#This Row],[STATE]])</f>
        <v>Springfield, IL</v>
      </c>
    </row>
    <row r="883" spans="2:8" x14ac:dyDescent="0.2">
      <c r="B883" s="27" t="s">
        <v>123</v>
      </c>
      <c r="C883" s="28" t="s">
        <v>969</v>
      </c>
      <c r="D883" s="29" t="s">
        <v>14</v>
      </c>
      <c r="E883" s="30" t="s">
        <v>367</v>
      </c>
      <c r="F883" s="28" t="s">
        <v>356</v>
      </c>
      <c r="G883" s="30" t="s">
        <v>613</v>
      </c>
      <c r="H883" t="str">
        <f>CONCATENATE(Prequal[[#This Row],[CITY]], ", ",Prequal[[#This Row],[STATE]])</f>
        <v>Springfield, IL</v>
      </c>
    </row>
    <row r="884" spans="2:8" x14ac:dyDescent="0.2">
      <c r="B884" s="27" t="s">
        <v>123</v>
      </c>
      <c r="C884" s="28" t="s">
        <v>969</v>
      </c>
      <c r="D884" s="29" t="s">
        <v>15</v>
      </c>
      <c r="E884" s="30" t="s">
        <v>367</v>
      </c>
      <c r="F884" s="28" t="s">
        <v>356</v>
      </c>
      <c r="G884" s="30" t="s">
        <v>613</v>
      </c>
      <c r="H884" t="str">
        <f>CONCATENATE(Prequal[[#This Row],[CITY]], ", ",Prequal[[#This Row],[STATE]])</f>
        <v>Springfield, IL</v>
      </c>
    </row>
    <row r="885" spans="2:8" x14ac:dyDescent="0.2">
      <c r="B885" s="27" t="s">
        <v>123</v>
      </c>
      <c r="C885" s="28" t="s">
        <v>969</v>
      </c>
      <c r="D885" s="29" t="s">
        <v>976</v>
      </c>
      <c r="E885" s="30" t="s">
        <v>367</v>
      </c>
      <c r="F885" s="28" t="s">
        <v>356</v>
      </c>
      <c r="G885" s="30" t="s">
        <v>613</v>
      </c>
      <c r="H885" t="str">
        <f>CONCATENATE(Prequal[[#This Row],[CITY]], ", ",Prequal[[#This Row],[STATE]])</f>
        <v>Springfield, IL</v>
      </c>
    </row>
    <row r="886" spans="2:8" x14ac:dyDescent="0.2">
      <c r="B886" s="27" t="s">
        <v>123</v>
      </c>
      <c r="C886" s="28" t="s">
        <v>969</v>
      </c>
      <c r="D886" s="29" t="s">
        <v>1004</v>
      </c>
      <c r="E886" s="30" t="s">
        <v>367</v>
      </c>
      <c r="F886" s="28" t="s">
        <v>356</v>
      </c>
      <c r="G886" s="30" t="s">
        <v>613</v>
      </c>
      <c r="H886" t="str">
        <f>CONCATENATE(Prequal[[#This Row],[CITY]], ", ",Prequal[[#This Row],[STATE]])</f>
        <v>Springfield, IL</v>
      </c>
    </row>
    <row r="887" spans="2:8" x14ac:dyDescent="0.2">
      <c r="B887" s="27" t="s">
        <v>123</v>
      </c>
      <c r="C887" s="28" t="s">
        <v>969</v>
      </c>
      <c r="D887" s="29" t="s">
        <v>1008</v>
      </c>
      <c r="E887" s="30" t="s">
        <v>367</v>
      </c>
      <c r="F887" s="28" t="s">
        <v>356</v>
      </c>
      <c r="G887" s="30" t="s">
        <v>613</v>
      </c>
      <c r="H887" t="str">
        <f>CONCATENATE(Prequal[[#This Row],[CITY]], ", ",Prequal[[#This Row],[STATE]])</f>
        <v>Springfield, IL</v>
      </c>
    </row>
    <row r="888" spans="2:8" x14ac:dyDescent="0.2">
      <c r="B888" s="27" t="s">
        <v>123</v>
      </c>
      <c r="C888" s="28" t="s">
        <v>969</v>
      </c>
      <c r="D888" s="29" t="s">
        <v>978</v>
      </c>
      <c r="E888" s="30" t="s">
        <v>367</v>
      </c>
      <c r="F888" s="28" t="s">
        <v>356</v>
      </c>
      <c r="G888" s="30" t="s">
        <v>613</v>
      </c>
      <c r="H888" t="str">
        <f>CONCATENATE(Prequal[[#This Row],[CITY]], ", ",Prequal[[#This Row],[STATE]])</f>
        <v>Springfield, IL</v>
      </c>
    </row>
    <row r="889" spans="2:8" x14ac:dyDescent="0.2">
      <c r="B889" s="27" t="s">
        <v>123</v>
      </c>
      <c r="C889" s="28" t="s">
        <v>969</v>
      </c>
      <c r="D889" s="29" t="s">
        <v>30</v>
      </c>
      <c r="E889" s="30" t="s">
        <v>367</v>
      </c>
      <c r="F889" s="28" t="s">
        <v>356</v>
      </c>
      <c r="G889" s="30" t="s">
        <v>613</v>
      </c>
      <c r="H889" t="str">
        <f>CONCATENATE(Prequal[[#This Row],[CITY]], ", ",Prequal[[#This Row],[STATE]])</f>
        <v>Springfield, IL</v>
      </c>
    </row>
    <row r="890" spans="2:8" x14ac:dyDescent="0.2">
      <c r="B890" s="27" t="s">
        <v>123</v>
      </c>
      <c r="C890" s="28" t="s">
        <v>969</v>
      </c>
      <c r="D890" s="29" t="s">
        <v>53</v>
      </c>
      <c r="E890" s="30" t="s">
        <v>367</v>
      </c>
      <c r="F890" s="28" t="s">
        <v>356</v>
      </c>
      <c r="G890" s="30" t="s">
        <v>613</v>
      </c>
      <c r="H890" t="str">
        <f>CONCATENATE(Prequal[[#This Row],[CITY]], ", ",Prequal[[#This Row],[STATE]])</f>
        <v>Springfield, IL</v>
      </c>
    </row>
    <row r="891" spans="2:8" x14ac:dyDescent="0.2">
      <c r="B891" s="27" t="s">
        <v>123</v>
      </c>
      <c r="C891" s="28" t="s">
        <v>969</v>
      </c>
      <c r="D891" s="29" t="s">
        <v>31</v>
      </c>
      <c r="E891" s="30" t="s">
        <v>367</v>
      </c>
      <c r="F891" s="28" t="s">
        <v>356</v>
      </c>
      <c r="G891" s="30" t="s">
        <v>613</v>
      </c>
      <c r="H891" t="str">
        <f>CONCATENATE(Prequal[[#This Row],[CITY]], ", ",Prequal[[#This Row],[STATE]])</f>
        <v>Springfield, IL</v>
      </c>
    </row>
    <row r="892" spans="2:8" x14ac:dyDescent="0.2">
      <c r="B892" s="31" t="s">
        <v>123</v>
      </c>
      <c r="C892" s="32" t="s">
        <v>969</v>
      </c>
      <c r="D892" s="33" t="s">
        <v>32</v>
      </c>
      <c r="E892" s="30" t="s">
        <v>367</v>
      </c>
      <c r="F892" s="32" t="s">
        <v>356</v>
      </c>
      <c r="G892" s="30" t="s">
        <v>613</v>
      </c>
      <c r="H892" t="str">
        <f>CONCATENATE(Prequal[[#This Row],[CITY]], ", ",Prequal[[#This Row],[STATE]])</f>
        <v>Springfield, IL</v>
      </c>
    </row>
    <row r="893" spans="2:8" x14ac:dyDescent="0.2">
      <c r="B893" s="27" t="s">
        <v>123</v>
      </c>
      <c r="C893" s="28" t="s">
        <v>969</v>
      </c>
      <c r="D893" s="29" t="s">
        <v>38</v>
      </c>
      <c r="E893" s="30" t="s">
        <v>367</v>
      </c>
      <c r="F893" s="28" t="s">
        <v>356</v>
      </c>
      <c r="G893" s="30" t="s">
        <v>613</v>
      </c>
      <c r="H893" t="str">
        <f>CONCATENATE(Prequal[[#This Row],[CITY]], ", ",Prequal[[#This Row],[STATE]])</f>
        <v>Springfield, IL</v>
      </c>
    </row>
    <row r="894" spans="2:8" x14ac:dyDescent="0.2">
      <c r="B894" s="31" t="s">
        <v>123</v>
      </c>
      <c r="C894" s="32" t="s">
        <v>969</v>
      </c>
      <c r="D894" s="33" t="s">
        <v>55</v>
      </c>
      <c r="E894" s="30" t="s">
        <v>367</v>
      </c>
      <c r="F894" s="32" t="s">
        <v>356</v>
      </c>
      <c r="G894" s="30" t="s">
        <v>613</v>
      </c>
      <c r="H894" t="str">
        <f>CONCATENATE(Prequal[[#This Row],[CITY]], ", ",Prequal[[#This Row],[STATE]])</f>
        <v>Springfield, IL</v>
      </c>
    </row>
    <row r="895" spans="2:8" x14ac:dyDescent="0.2">
      <c r="B895" s="31" t="s">
        <v>123</v>
      </c>
      <c r="C895" s="32" t="s">
        <v>969</v>
      </c>
      <c r="D895" s="33" t="s">
        <v>33</v>
      </c>
      <c r="E895" s="30" t="s">
        <v>367</v>
      </c>
      <c r="F895" s="32" t="s">
        <v>356</v>
      </c>
      <c r="G895" s="30" t="s">
        <v>613</v>
      </c>
      <c r="H895" t="str">
        <f>CONCATENATE(Prequal[[#This Row],[CITY]], ", ",Prequal[[#This Row],[STATE]])</f>
        <v>Springfield, IL</v>
      </c>
    </row>
    <row r="896" spans="2:8" x14ac:dyDescent="0.2">
      <c r="B896" s="27" t="s">
        <v>123</v>
      </c>
      <c r="C896" s="28" t="s">
        <v>969</v>
      </c>
      <c r="D896" s="29" t="s">
        <v>57</v>
      </c>
      <c r="E896" s="30" t="s">
        <v>367</v>
      </c>
      <c r="F896" s="28" t="s">
        <v>356</v>
      </c>
      <c r="G896" s="30" t="s">
        <v>613</v>
      </c>
      <c r="H896" t="str">
        <f>CONCATENATE(Prequal[[#This Row],[CITY]], ", ",Prequal[[#This Row],[STATE]])</f>
        <v>Springfield, IL</v>
      </c>
    </row>
    <row r="897" spans="2:8" x14ac:dyDescent="0.2">
      <c r="B897" s="27" t="s">
        <v>126</v>
      </c>
      <c r="C897" s="28" t="s">
        <v>970</v>
      </c>
      <c r="D897" s="29" t="s">
        <v>47</v>
      </c>
      <c r="E897" s="30" t="s">
        <v>367</v>
      </c>
      <c r="F897" s="28" t="s">
        <v>356</v>
      </c>
      <c r="G897" s="30" t="s">
        <v>614</v>
      </c>
      <c r="H897" t="str">
        <f>CONCATENATE(Prequal[[#This Row],[CITY]], ", ",Prequal[[#This Row],[STATE]])</f>
        <v>Springfield, IL</v>
      </c>
    </row>
    <row r="898" spans="2:8" x14ac:dyDescent="0.2">
      <c r="B898" s="27" t="s">
        <v>126</v>
      </c>
      <c r="C898" s="28" t="s">
        <v>970</v>
      </c>
      <c r="D898" s="29" t="s">
        <v>4</v>
      </c>
      <c r="E898" s="30" t="s">
        <v>367</v>
      </c>
      <c r="F898" s="28" t="s">
        <v>356</v>
      </c>
      <c r="G898" s="30" t="s">
        <v>614</v>
      </c>
      <c r="H898" t="str">
        <f>CONCATENATE(Prequal[[#This Row],[CITY]], ", ",Prequal[[#This Row],[STATE]])</f>
        <v>Springfield, IL</v>
      </c>
    </row>
    <row r="899" spans="2:8" x14ac:dyDescent="0.2">
      <c r="B899" s="27" t="s">
        <v>126</v>
      </c>
      <c r="C899" s="28" t="s">
        <v>970</v>
      </c>
      <c r="D899" s="29" t="s">
        <v>5</v>
      </c>
      <c r="E899" s="30" t="s">
        <v>367</v>
      </c>
      <c r="F899" s="28" t="s">
        <v>356</v>
      </c>
      <c r="G899" s="30" t="s">
        <v>614</v>
      </c>
      <c r="H899" t="str">
        <f>CONCATENATE(Prequal[[#This Row],[CITY]], ", ",Prequal[[#This Row],[STATE]])</f>
        <v>Springfield, IL</v>
      </c>
    </row>
    <row r="900" spans="2:8" x14ac:dyDescent="0.2">
      <c r="B900" s="27" t="s">
        <v>126</v>
      </c>
      <c r="C900" s="28" t="s">
        <v>970</v>
      </c>
      <c r="D900" s="29" t="s">
        <v>25</v>
      </c>
      <c r="E900" s="30" t="s">
        <v>367</v>
      </c>
      <c r="F900" s="28" t="s">
        <v>356</v>
      </c>
      <c r="G900" s="30" t="s">
        <v>614</v>
      </c>
      <c r="H900" t="str">
        <f>CONCATENATE(Prequal[[#This Row],[CITY]], ", ",Prequal[[#This Row],[STATE]])</f>
        <v>Springfield, IL</v>
      </c>
    </row>
    <row r="901" spans="2:8" x14ac:dyDescent="0.2">
      <c r="B901" s="27" t="s">
        <v>126</v>
      </c>
      <c r="C901" s="28" t="s">
        <v>970</v>
      </c>
      <c r="D901" s="29" t="s">
        <v>9</v>
      </c>
      <c r="E901" s="30" t="s">
        <v>367</v>
      </c>
      <c r="F901" s="28" t="s">
        <v>356</v>
      </c>
      <c r="G901" s="30" t="s">
        <v>614</v>
      </c>
      <c r="H901" t="str">
        <f>CONCATENATE(Prequal[[#This Row],[CITY]], ", ",Prequal[[#This Row],[STATE]])</f>
        <v>Springfield, IL</v>
      </c>
    </row>
    <row r="902" spans="2:8" x14ac:dyDescent="0.2">
      <c r="B902" s="27" t="s">
        <v>126</v>
      </c>
      <c r="C902" s="28" t="s">
        <v>970</v>
      </c>
      <c r="D902" s="29" t="s">
        <v>10</v>
      </c>
      <c r="E902" s="30" t="s">
        <v>367</v>
      </c>
      <c r="F902" s="28" t="s">
        <v>356</v>
      </c>
      <c r="G902" s="30" t="s">
        <v>614</v>
      </c>
      <c r="H902" t="str">
        <f>CONCATENATE(Prequal[[#This Row],[CITY]], ", ",Prequal[[#This Row],[STATE]])</f>
        <v>Springfield, IL</v>
      </c>
    </row>
    <row r="903" spans="2:8" x14ac:dyDescent="0.2">
      <c r="B903" s="27" t="s">
        <v>126</v>
      </c>
      <c r="C903" s="28" t="s">
        <v>970</v>
      </c>
      <c r="D903" s="29" t="s">
        <v>29</v>
      </c>
      <c r="E903" s="30" t="s">
        <v>367</v>
      </c>
      <c r="F903" s="28" t="s">
        <v>356</v>
      </c>
      <c r="G903" s="30" t="s">
        <v>614</v>
      </c>
      <c r="H903" t="str">
        <f>CONCATENATE(Prequal[[#This Row],[CITY]], ", ",Prequal[[#This Row],[STATE]])</f>
        <v>Springfield, IL</v>
      </c>
    </row>
    <row r="904" spans="2:8" x14ac:dyDescent="0.2">
      <c r="B904" s="27" t="s">
        <v>126</v>
      </c>
      <c r="C904" s="28" t="s">
        <v>970</v>
      </c>
      <c r="D904" s="29" t="s">
        <v>13</v>
      </c>
      <c r="E904" s="30" t="s">
        <v>367</v>
      </c>
      <c r="F904" s="28" t="s">
        <v>356</v>
      </c>
      <c r="G904" s="30" t="s">
        <v>614</v>
      </c>
      <c r="H904" t="str">
        <f>CONCATENATE(Prequal[[#This Row],[CITY]], ", ",Prequal[[#This Row],[STATE]])</f>
        <v>Springfield, IL</v>
      </c>
    </row>
    <row r="905" spans="2:8" x14ac:dyDescent="0.2">
      <c r="B905" s="27" t="s">
        <v>126</v>
      </c>
      <c r="C905" s="28" t="s">
        <v>970</v>
      </c>
      <c r="D905" s="29" t="s">
        <v>14</v>
      </c>
      <c r="E905" s="30" t="s">
        <v>367</v>
      </c>
      <c r="F905" s="28" t="s">
        <v>356</v>
      </c>
      <c r="G905" s="30" t="s">
        <v>614</v>
      </c>
      <c r="H905" t="str">
        <f>CONCATENATE(Prequal[[#This Row],[CITY]], ", ",Prequal[[#This Row],[STATE]])</f>
        <v>Springfield, IL</v>
      </c>
    </row>
    <row r="906" spans="2:8" x14ac:dyDescent="0.2">
      <c r="B906" s="27" t="s">
        <v>126</v>
      </c>
      <c r="C906" s="28" t="s">
        <v>970</v>
      </c>
      <c r="D906" s="29" t="s">
        <v>31</v>
      </c>
      <c r="E906" s="30" t="s">
        <v>367</v>
      </c>
      <c r="F906" s="28" t="s">
        <v>356</v>
      </c>
      <c r="G906" s="30" t="s">
        <v>614</v>
      </c>
      <c r="H906" t="str">
        <f>CONCATENATE(Prequal[[#This Row],[CITY]], ", ",Prequal[[#This Row],[STATE]])</f>
        <v>Springfield, IL</v>
      </c>
    </row>
    <row r="907" spans="2:8" x14ac:dyDescent="0.2">
      <c r="B907" s="27" t="s">
        <v>126</v>
      </c>
      <c r="C907" s="28" t="s">
        <v>970</v>
      </c>
      <c r="D907" s="29" t="s">
        <v>32</v>
      </c>
      <c r="E907" s="30" t="s">
        <v>367</v>
      </c>
      <c r="F907" s="28" t="s">
        <v>356</v>
      </c>
      <c r="G907" s="30" t="s">
        <v>614</v>
      </c>
      <c r="H907" t="str">
        <f>CONCATENATE(Prequal[[#This Row],[CITY]], ", ",Prequal[[#This Row],[STATE]])</f>
        <v>Springfield, IL</v>
      </c>
    </row>
    <row r="908" spans="2:8" x14ac:dyDescent="0.2">
      <c r="B908" s="27" t="s">
        <v>815</v>
      </c>
      <c r="C908" s="28" t="s">
        <v>970</v>
      </c>
      <c r="D908" s="29" t="s">
        <v>22</v>
      </c>
      <c r="E908" s="30" t="s">
        <v>816</v>
      </c>
      <c r="F908" s="28" t="s">
        <v>361</v>
      </c>
      <c r="G908" s="30" t="s">
        <v>817</v>
      </c>
      <c r="H908" t="str">
        <f>CONCATENATE(Prequal[[#This Row],[CITY]], ", ",Prequal[[#This Row],[STATE]])</f>
        <v>Independence, MO</v>
      </c>
    </row>
    <row r="909" spans="2:8" x14ac:dyDescent="0.2">
      <c r="B909" s="27" t="s">
        <v>127</v>
      </c>
      <c r="C909" s="28" t="s">
        <v>970</v>
      </c>
      <c r="D909" s="29" t="s">
        <v>4</v>
      </c>
      <c r="E909" s="30" t="s">
        <v>408</v>
      </c>
      <c r="F909" s="28" t="s">
        <v>356</v>
      </c>
      <c r="G909" s="30" t="s">
        <v>615</v>
      </c>
      <c r="H909" t="str">
        <f>CONCATENATE(Prequal[[#This Row],[CITY]], ", ",Prequal[[#This Row],[STATE]])</f>
        <v>Burr Ridge, IL</v>
      </c>
    </row>
    <row r="910" spans="2:8" x14ac:dyDescent="0.2">
      <c r="B910" s="27" t="s">
        <v>127</v>
      </c>
      <c r="C910" s="28" t="s">
        <v>970</v>
      </c>
      <c r="D910" s="29" t="s">
        <v>5</v>
      </c>
      <c r="E910" s="30" t="s">
        <v>408</v>
      </c>
      <c r="F910" s="28" t="s">
        <v>356</v>
      </c>
      <c r="G910" s="30" t="s">
        <v>615</v>
      </c>
      <c r="H910" t="str">
        <f>CONCATENATE(Prequal[[#This Row],[CITY]], ", ",Prequal[[#This Row],[STATE]])</f>
        <v>Burr Ridge, IL</v>
      </c>
    </row>
    <row r="911" spans="2:8" x14ac:dyDescent="0.2">
      <c r="B911" s="27" t="s">
        <v>127</v>
      </c>
      <c r="C911" s="28" t="s">
        <v>970</v>
      </c>
      <c r="D911" s="29" t="s">
        <v>25</v>
      </c>
      <c r="E911" s="30" t="s">
        <v>408</v>
      </c>
      <c r="F911" s="28" t="s">
        <v>356</v>
      </c>
      <c r="G911" s="30" t="s">
        <v>615</v>
      </c>
      <c r="H911" t="str">
        <f>CONCATENATE(Prequal[[#This Row],[CITY]], ", ",Prequal[[#This Row],[STATE]])</f>
        <v>Burr Ridge, IL</v>
      </c>
    </row>
    <row r="912" spans="2:8" x14ac:dyDescent="0.2">
      <c r="B912" s="27" t="s">
        <v>127</v>
      </c>
      <c r="C912" s="28" t="s">
        <v>970</v>
      </c>
      <c r="D912" s="29" t="s">
        <v>9</v>
      </c>
      <c r="E912" s="30" t="s">
        <v>408</v>
      </c>
      <c r="F912" s="28" t="s">
        <v>356</v>
      </c>
      <c r="G912" s="30" t="s">
        <v>615</v>
      </c>
      <c r="H912" t="str">
        <f>CONCATENATE(Prequal[[#This Row],[CITY]], ", ",Prequal[[#This Row],[STATE]])</f>
        <v>Burr Ridge, IL</v>
      </c>
    </row>
    <row r="913" spans="2:8" x14ac:dyDescent="0.2">
      <c r="B913" s="27" t="s">
        <v>127</v>
      </c>
      <c r="C913" s="28" t="s">
        <v>970</v>
      </c>
      <c r="D913" s="29" t="s">
        <v>30</v>
      </c>
      <c r="E913" s="30" t="s">
        <v>408</v>
      </c>
      <c r="F913" s="28" t="s">
        <v>356</v>
      </c>
      <c r="G913" s="30" t="s">
        <v>615</v>
      </c>
      <c r="H913" t="str">
        <f>CONCATENATE(Prequal[[#This Row],[CITY]], ", ",Prequal[[#This Row],[STATE]])</f>
        <v>Burr Ridge, IL</v>
      </c>
    </row>
    <row r="914" spans="2:8" x14ac:dyDescent="0.2">
      <c r="B914" s="27" t="s">
        <v>127</v>
      </c>
      <c r="C914" s="28" t="s">
        <v>970</v>
      </c>
      <c r="D914" s="29" t="s">
        <v>31</v>
      </c>
      <c r="E914" s="30" t="s">
        <v>408</v>
      </c>
      <c r="F914" s="28" t="s">
        <v>356</v>
      </c>
      <c r="G914" s="30" t="s">
        <v>615</v>
      </c>
      <c r="H914" t="str">
        <f>CONCATENATE(Prequal[[#This Row],[CITY]], ", ",Prequal[[#This Row],[STATE]])</f>
        <v>Burr Ridge, IL</v>
      </c>
    </row>
    <row r="915" spans="2:8" x14ac:dyDescent="0.2">
      <c r="B915" s="27" t="s">
        <v>127</v>
      </c>
      <c r="C915" s="28" t="s">
        <v>970</v>
      </c>
      <c r="D915" s="29" t="s">
        <v>32</v>
      </c>
      <c r="E915" s="30" t="s">
        <v>408</v>
      </c>
      <c r="F915" s="28" t="s">
        <v>356</v>
      </c>
      <c r="G915" s="30" t="s">
        <v>615</v>
      </c>
      <c r="H915" t="str">
        <f>CONCATENATE(Prequal[[#This Row],[CITY]], ", ",Prequal[[#This Row],[STATE]])</f>
        <v>Burr Ridge, IL</v>
      </c>
    </row>
    <row r="916" spans="2:8" x14ac:dyDescent="0.2">
      <c r="B916" s="27" t="s">
        <v>127</v>
      </c>
      <c r="C916" s="28" t="s">
        <v>970</v>
      </c>
      <c r="D916" s="29" t="s">
        <v>38</v>
      </c>
      <c r="E916" s="30" t="s">
        <v>408</v>
      </c>
      <c r="F916" s="28" t="s">
        <v>356</v>
      </c>
      <c r="G916" s="30" t="s">
        <v>615</v>
      </c>
      <c r="H916" t="str">
        <f>CONCATENATE(Prequal[[#This Row],[CITY]], ", ",Prequal[[#This Row],[STATE]])</f>
        <v>Burr Ridge, IL</v>
      </c>
    </row>
    <row r="917" spans="2:8" x14ac:dyDescent="0.2">
      <c r="B917" s="27" t="s">
        <v>127</v>
      </c>
      <c r="C917" s="28" t="s">
        <v>970</v>
      </c>
      <c r="D917" s="29" t="s">
        <v>33</v>
      </c>
      <c r="E917" s="30" t="s">
        <v>408</v>
      </c>
      <c r="F917" s="28" t="s">
        <v>356</v>
      </c>
      <c r="G917" s="30" t="s">
        <v>615</v>
      </c>
      <c r="H917" t="str">
        <f>CONCATENATE(Prequal[[#This Row],[CITY]], ", ",Prequal[[#This Row],[STATE]])</f>
        <v>Burr Ridge, IL</v>
      </c>
    </row>
    <row r="918" spans="2:8" x14ac:dyDescent="0.2">
      <c r="B918" s="27" t="s">
        <v>128</v>
      </c>
      <c r="C918" s="28" t="s">
        <v>970</v>
      </c>
      <c r="D918" s="29" t="s">
        <v>4</v>
      </c>
      <c r="E918" s="30" t="s">
        <v>947</v>
      </c>
      <c r="F918" s="28" t="s">
        <v>356</v>
      </c>
      <c r="G918" s="30" t="s">
        <v>616</v>
      </c>
      <c r="H918" t="str">
        <f>CONCATENATE(Prequal[[#This Row],[CITY]], ", ",Prequal[[#This Row],[STATE]])</f>
        <v>Chicago, IL</v>
      </c>
    </row>
    <row r="919" spans="2:8" x14ac:dyDescent="0.2">
      <c r="B919" s="27" t="s">
        <v>128</v>
      </c>
      <c r="C919" s="28" t="s">
        <v>970</v>
      </c>
      <c r="D919" s="29" t="s">
        <v>5</v>
      </c>
      <c r="E919" s="30" t="s">
        <v>947</v>
      </c>
      <c r="F919" s="28" t="s">
        <v>356</v>
      </c>
      <c r="G919" s="30" t="s">
        <v>616</v>
      </c>
      <c r="H919" t="str">
        <f>CONCATENATE(Prequal[[#This Row],[CITY]], ", ",Prequal[[#This Row],[STATE]])</f>
        <v>Chicago, IL</v>
      </c>
    </row>
    <row r="920" spans="2:8" x14ac:dyDescent="0.2">
      <c r="B920" s="27" t="s">
        <v>128</v>
      </c>
      <c r="C920" s="28" t="s">
        <v>970</v>
      </c>
      <c r="D920" s="29" t="s">
        <v>25</v>
      </c>
      <c r="E920" s="30" t="s">
        <v>947</v>
      </c>
      <c r="F920" s="28" t="s">
        <v>356</v>
      </c>
      <c r="G920" s="30" t="s">
        <v>616</v>
      </c>
      <c r="H920" t="str">
        <f>CONCATENATE(Prequal[[#This Row],[CITY]], ", ",Prequal[[#This Row],[STATE]])</f>
        <v>Chicago, IL</v>
      </c>
    </row>
    <row r="921" spans="2:8" x14ac:dyDescent="0.2">
      <c r="B921" s="27" t="s">
        <v>128</v>
      </c>
      <c r="C921" s="28" t="s">
        <v>970</v>
      </c>
      <c r="D921" s="29" t="s">
        <v>9</v>
      </c>
      <c r="E921" s="30" t="s">
        <v>947</v>
      </c>
      <c r="F921" s="28" t="s">
        <v>356</v>
      </c>
      <c r="G921" s="30" t="s">
        <v>616</v>
      </c>
      <c r="H921" t="str">
        <f>CONCATENATE(Prequal[[#This Row],[CITY]], ", ",Prequal[[#This Row],[STATE]])</f>
        <v>Chicago, IL</v>
      </c>
    </row>
    <row r="922" spans="2:8" x14ac:dyDescent="0.2">
      <c r="B922" s="27" t="s">
        <v>128</v>
      </c>
      <c r="C922" s="28" t="s">
        <v>970</v>
      </c>
      <c r="D922" s="29" t="s">
        <v>10</v>
      </c>
      <c r="E922" s="30" t="s">
        <v>947</v>
      </c>
      <c r="F922" s="28" t="s">
        <v>356</v>
      </c>
      <c r="G922" s="30" t="s">
        <v>616</v>
      </c>
      <c r="H922" t="str">
        <f>CONCATENATE(Prequal[[#This Row],[CITY]], ", ",Prequal[[#This Row],[STATE]])</f>
        <v>Chicago, IL</v>
      </c>
    </row>
    <row r="923" spans="2:8" x14ac:dyDescent="0.2">
      <c r="B923" s="27" t="s">
        <v>128</v>
      </c>
      <c r="C923" s="28" t="s">
        <v>970</v>
      </c>
      <c r="D923" s="29" t="s">
        <v>51</v>
      </c>
      <c r="E923" s="30" t="s">
        <v>947</v>
      </c>
      <c r="F923" s="28" t="s">
        <v>356</v>
      </c>
      <c r="G923" s="30" t="s">
        <v>616</v>
      </c>
      <c r="H923" t="str">
        <f>CONCATENATE(Prequal[[#This Row],[CITY]], ", ",Prequal[[#This Row],[STATE]])</f>
        <v>Chicago, IL</v>
      </c>
    </row>
    <row r="924" spans="2:8" x14ac:dyDescent="0.2">
      <c r="B924" s="27" t="s">
        <v>128</v>
      </c>
      <c r="C924" s="28" t="s">
        <v>970</v>
      </c>
      <c r="D924" s="29" t="s">
        <v>15</v>
      </c>
      <c r="E924" s="30" t="s">
        <v>947</v>
      </c>
      <c r="F924" s="28" t="s">
        <v>356</v>
      </c>
      <c r="G924" s="30" t="s">
        <v>616</v>
      </c>
      <c r="H924" t="str">
        <f>CONCATENATE(Prequal[[#This Row],[CITY]], ", ",Prequal[[#This Row],[STATE]])</f>
        <v>Chicago, IL</v>
      </c>
    </row>
    <row r="925" spans="2:8" x14ac:dyDescent="0.2">
      <c r="B925" s="27" t="s">
        <v>951</v>
      </c>
      <c r="C925" s="28" t="s">
        <v>970</v>
      </c>
      <c r="D925" s="29" t="s">
        <v>70</v>
      </c>
      <c r="E925" s="30" t="s">
        <v>952</v>
      </c>
      <c r="F925" s="28" t="s">
        <v>356</v>
      </c>
      <c r="G925" s="30" t="s">
        <v>1115</v>
      </c>
      <c r="H925" t="str">
        <f>CONCATENATE(Prequal[[#This Row],[CITY]], ", ",Prequal[[#This Row],[STATE]])</f>
        <v>Hickory Hills, IL</v>
      </c>
    </row>
    <row r="926" spans="2:8" x14ac:dyDescent="0.2">
      <c r="B926" s="27" t="s">
        <v>129</v>
      </c>
      <c r="C926" s="28" t="s">
        <v>970</v>
      </c>
      <c r="D926" s="29" t="s">
        <v>5</v>
      </c>
      <c r="E926" s="30" t="s">
        <v>947</v>
      </c>
      <c r="F926" s="28" t="s">
        <v>356</v>
      </c>
      <c r="G926" s="30" t="s">
        <v>617</v>
      </c>
      <c r="H926" t="str">
        <f>CONCATENATE(Prequal[[#This Row],[CITY]], ", ",Prequal[[#This Row],[STATE]])</f>
        <v>Chicago, IL</v>
      </c>
    </row>
    <row r="927" spans="2:8" x14ac:dyDescent="0.2">
      <c r="B927" s="27" t="s">
        <v>129</v>
      </c>
      <c r="C927" s="28" t="s">
        <v>970</v>
      </c>
      <c r="D927" s="29" t="s">
        <v>9</v>
      </c>
      <c r="E927" s="30" t="s">
        <v>947</v>
      </c>
      <c r="F927" s="28" t="s">
        <v>356</v>
      </c>
      <c r="G927" s="30" t="s">
        <v>617</v>
      </c>
      <c r="H927" t="str">
        <f>CONCATENATE(Prequal[[#This Row],[CITY]], ", ",Prequal[[#This Row],[STATE]])</f>
        <v>Chicago, IL</v>
      </c>
    </row>
    <row r="928" spans="2:8" x14ac:dyDescent="0.2">
      <c r="B928" s="27" t="s">
        <v>129</v>
      </c>
      <c r="C928" s="28" t="s">
        <v>970</v>
      </c>
      <c r="D928" s="29" t="s">
        <v>27</v>
      </c>
      <c r="E928" s="30" t="s">
        <v>947</v>
      </c>
      <c r="F928" s="28" t="s">
        <v>356</v>
      </c>
      <c r="G928" s="30" t="s">
        <v>617</v>
      </c>
      <c r="H928" t="str">
        <f>CONCATENATE(Prequal[[#This Row],[CITY]], ", ",Prequal[[#This Row],[STATE]])</f>
        <v>Chicago, IL</v>
      </c>
    </row>
    <row r="929" spans="2:8" x14ac:dyDescent="0.2">
      <c r="B929" s="27" t="s">
        <v>129</v>
      </c>
      <c r="C929" s="28" t="s">
        <v>970</v>
      </c>
      <c r="D929" s="29" t="s">
        <v>10</v>
      </c>
      <c r="E929" s="30" t="s">
        <v>947</v>
      </c>
      <c r="F929" s="28" t="s">
        <v>356</v>
      </c>
      <c r="G929" s="30" t="s">
        <v>617</v>
      </c>
      <c r="H929" t="str">
        <f>CONCATENATE(Prequal[[#This Row],[CITY]], ", ",Prequal[[#This Row],[STATE]])</f>
        <v>Chicago, IL</v>
      </c>
    </row>
    <row r="930" spans="2:8" x14ac:dyDescent="0.2">
      <c r="B930" s="27" t="s">
        <v>129</v>
      </c>
      <c r="C930" s="28" t="s">
        <v>970</v>
      </c>
      <c r="D930" s="29" t="s">
        <v>39</v>
      </c>
      <c r="E930" s="30" t="s">
        <v>947</v>
      </c>
      <c r="F930" s="28" t="s">
        <v>356</v>
      </c>
      <c r="G930" s="30" t="s">
        <v>617</v>
      </c>
      <c r="H930" t="str">
        <f>CONCATENATE(Prequal[[#This Row],[CITY]], ", ",Prequal[[#This Row],[STATE]])</f>
        <v>Chicago, IL</v>
      </c>
    </row>
    <row r="931" spans="2:8" x14ac:dyDescent="0.2">
      <c r="B931" s="27" t="s">
        <v>129</v>
      </c>
      <c r="C931" s="28" t="s">
        <v>970</v>
      </c>
      <c r="D931" s="29" t="s">
        <v>37</v>
      </c>
      <c r="E931" s="30" t="s">
        <v>947</v>
      </c>
      <c r="F931" s="28" t="s">
        <v>356</v>
      </c>
      <c r="G931" s="30" t="s">
        <v>617</v>
      </c>
      <c r="H931" t="str">
        <f>CONCATENATE(Prequal[[#This Row],[CITY]], ", ",Prequal[[#This Row],[STATE]])</f>
        <v>Chicago, IL</v>
      </c>
    </row>
    <row r="932" spans="2:8" x14ac:dyDescent="0.2">
      <c r="B932" s="27" t="s">
        <v>129</v>
      </c>
      <c r="C932" s="28" t="s">
        <v>970</v>
      </c>
      <c r="D932" s="29" t="s">
        <v>13</v>
      </c>
      <c r="E932" s="30" t="s">
        <v>947</v>
      </c>
      <c r="F932" s="28" t="s">
        <v>356</v>
      </c>
      <c r="G932" s="30" t="s">
        <v>617</v>
      </c>
      <c r="H932" t="str">
        <f>CONCATENATE(Prequal[[#This Row],[CITY]], ", ",Prequal[[#This Row],[STATE]])</f>
        <v>Chicago, IL</v>
      </c>
    </row>
    <row r="933" spans="2:8" x14ac:dyDescent="0.2">
      <c r="B933" s="27" t="s">
        <v>129</v>
      </c>
      <c r="C933" s="28" t="s">
        <v>970</v>
      </c>
      <c r="D933" s="29" t="s">
        <v>14</v>
      </c>
      <c r="E933" s="30" t="s">
        <v>947</v>
      </c>
      <c r="F933" s="28" t="s">
        <v>356</v>
      </c>
      <c r="G933" s="30" t="s">
        <v>617</v>
      </c>
      <c r="H933" t="str">
        <f>CONCATENATE(Prequal[[#This Row],[CITY]], ", ",Prequal[[#This Row],[STATE]])</f>
        <v>Chicago, IL</v>
      </c>
    </row>
    <row r="934" spans="2:8" x14ac:dyDescent="0.2">
      <c r="B934" s="27" t="s">
        <v>953</v>
      </c>
      <c r="C934" s="28" t="s">
        <v>969</v>
      </c>
      <c r="D934" s="29" t="s">
        <v>45</v>
      </c>
      <c r="E934" s="30" t="s">
        <v>954</v>
      </c>
      <c r="F934" s="28" t="s">
        <v>389</v>
      </c>
      <c r="G934" s="30" t="s">
        <v>955</v>
      </c>
      <c r="H934" t="str">
        <f>CONCATENATE(Prequal[[#This Row],[CITY]], ", ",Prequal[[#This Row],[STATE]])</f>
        <v>Knoxville, TN</v>
      </c>
    </row>
    <row r="935" spans="2:8" x14ac:dyDescent="0.2">
      <c r="B935" s="27" t="s">
        <v>953</v>
      </c>
      <c r="C935" s="28" t="s">
        <v>969</v>
      </c>
      <c r="D935" s="29" t="s">
        <v>46</v>
      </c>
      <c r="E935" s="30" t="s">
        <v>954</v>
      </c>
      <c r="F935" s="28" t="s">
        <v>389</v>
      </c>
      <c r="G935" s="30" t="s">
        <v>955</v>
      </c>
      <c r="H935" t="str">
        <f>CONCATENATE(Prequal[[#This Row],[CITY]], ", ",Prequal[[#This Row],[STATE]])</f>
        <v>Knoxville, TN</v>
      </c>
    </row>
    <row r="936" spans="2:8" x14ac:dyDescent="0.2">
      <c r="B936" s="27" t="s">
        <v>953</v>
      </c>
      <c r="C936" s="28" t="s">
        <v>969</v>
      </c>
      <c r="D936" s="29" t="s">
        <v>47</v>
      </c>
      <c r="E936" s="30" t="s">
        <v>954</v>
      </c>
      <c r="F936" s="28" t="s">
        <v>389</v>
      </c>
      <c r="G936" s="30" t="s">
        <v>955</v>
      </c>
      <c r="H936" t="str">
        <f>CONCATENATE(Prequal[[#This Row],[CITY]], ", ",Prequal[[#This Row],[STATE]])</f>
        <v>Knoxville, TN</v>
      </c>
    </row>
    <row r="937" spans="2:8" x14ac:dyDescent="0.2">
      <c r="B937" s="27" t="s">
        <v>130</v>
      </c>
      <c r="C937" s="28" t="s">
        <v>970</v>
      </c>
      <c r="D937" s="29" t="s">
        <v>10</v>
      </c>
      <c r="E937" s="30" t="s">
        <v>947</v>
      </c>
      <c r="F937" s="28" t="s">
        <v>356</v>
      </c>
      <c r="G937" s="30" t="s">
        <v>618</v>
      </c>
      <c r="H937" t="str">
        <f>CONCATENATE(Prequal[[#This Row],[CITY]], ", ",Prequal[[#This Row],[STATE]])</f>
        <v>Chicago, IL</v>
      </c>
    </row>
    <row r="938" spans="2:8" x14ac:dyDescent="0.2">
      <c r="B938" s="27" t="s">
        <v>130</v>
      </c>
      <c r="C938" s="28" t="s">
        <v>970</v>
      </c>
      <c r="D938" s="29" t="s">
        <v>51</v>
      </c>
      <c r="E938" s="30" t="s">
        <v>947</v>
      </c>
      <c r="F938" s="28" t="s">
        <v>356</v>
      </c>
      <c r="G938" s="30" t="s">
        <v>618</v>
      </c>
      <c r="H938" t="str">
        <f>CONCATENATE(Prequal[[#This Row],[CITY]], ", ",Prequal[[#This Row],[STATE]])</f>
        <v>Chicago, IL</v>
      </c>
    </row>
    <row r="939" spans="2:8" x14ac:dyDescent="0.2">
      <c r="B939" s="27" t="s">
        <v>1036</v>
      </c>
      <c r="C939" s="28" t="s">
        <v>969</v>
      </c>
      <c r="D939" s="29" t="s">
        <v>993</v>
      </c>
      <c r="E939" s="30" t="s">
        <v>372</v>
      </c>
      <c r="F939" s="28" t="s">
        <v>356</v>
      </c>
      <c r="G939" s="30" t="s">
        <v>1037</v>
      </c>
      <c r="H939" t="str">
        <f>CONCATENATE(Prequal[[#This Row],[CITY]], ", ",Prequal[[#This Row],[STATE]])</f>
        <v>Champaign, IL</v>
      </c>
    </row>
    <row r="940" spans="2:8" x14ac:dyDescent="0.2">
      <c r="B940" s="27" t="s">
        <v>537</v>
      </c>
      <c r="C940" s="28" t="s">
        <v>969</v>
      </c>
      <c r="D940" s="29" t="s">
        <v>57</v>
      </c>
      <c r="E940" s="30" t="s">
        <v>947</v>
      </c>
      <c r="F940" s="28" t="s">
        <v>356</v>
      </c>
      <c r="G940" s="30" t="s">
        <v>843</v>
      </c>
      <c r="H940" t="str">
        <f>CONCATENATE(Prequal[[#This Row],[CITY]], ", ",Prequal[[#This Row],[STATE]])</f>
        <v>Chicago, IL</v>
      </c>
    </row>
    <row r="941" spans="2:8" x14ac:dyDescent="0.2">
      <c r="B941" s="27" t="s">
        <v>882</v>
      </c>
      <c r="C941" s="28" t="s">
        <v>970</v>
      </c>
      <c r="D941" s="29" t="s">
        <v>976</v>
      </c>
      <c r="E941" s="30" t="s">
        <v>409</v>
      </c>
      <c r="F941" s="28" t="s">
        <v>356</v>
      </c>
      <c r="G941" s="30" t="s">
        <v>883</v>
      </c>
      <c r="H941" t="str">
        <f>CONCATENATE(Prequal[[#This Row],[CITY]], ", ",Prequal[[#This Row],[STATE]])</f>
        <v>Peoria, IL</v>
      </c>
    </row>
    <row r="942" spans="2:8" x14ac:dyDescent="0.2">
      <c r="B942" s="27" t="s">
        <v>882</v>
      </c>
      <c r="C942" s="28" t="s">
        <v>970</v>
      </c>
      <c r="D942" s="29" t="s">
        <v>978</v>
      </c>
      <c r="E942" s="30" t="s">
        <v>409</v>
      </c>
      <c r="F942" s="28" t="s">
        <v>356</v>
      </c>
      <c r="G942" s="30" t="s">
        <v>883</v>
      </c>
      <c r="H942" t="str">
        <f>CONCATENATE(Prequal[[#This Row],[CITY]], ", ",Prequal[[#This Row],[STATE]])</f>
        <v>Peoria, IL</v>
      </c>
    </row>
    <row r="943" spans="2:8" x14ac:dyDescent="0.2">
      <c r="B943" s="27" t="s">
        <v>131</v>
      </c>
      <c r="C943" s="28" t="s">
        <v>970</v>
      </c>
      <c r="D943" s="29" t="s">
        <v>4</v>
      </c>
      <c r="E943" s="30" t="s">
        <v>947</v>
      </c>
      <c r="F943" s="28" t="s">
        <v>356</v>
      </c>
      <c r="G943" s="30" t="s">
        <v>619</v>
      </c>
      <c r="H943" t="str">
        <f>CONCATENATE(Prequal[[#This Row],[CITY]], ", ",Prequal[[#This Row],[STATE]])</f>
        <v>Chicago, IL</v>
      </c>
    </row>
    <row r="944" spans="2:8" x14ac:dyDescent="0.2">
      <c r="B944" s="27" t="s">
        <v>131</v>
      </c>
      <c r="C944" s="28" t="s">
        <v>970</v>
      </c>
      <c r="D944" s="29" t="s">
        <v>5</v>
      </c>
      <c r="E944" s="30" t="s">
        <v>947</v>
      </c>
      <c r="F944" s="28" t="s">
        <v>356</v>
      </c>
      <c r="G944" s="30" t="s">
        <v>619</v>
      </c>
      <c r="H944" t="str">
        <f>CONCATENATE(Prequal[[#This Row],[CITY]], ", ",Prequal[[#This Row],[STATE]])</f>
        <v>Chicago, IL</v>
      </c>
    </row>
    <row r="945" spans="2:8" x14ac:dyDescent="0.2">
      <c r="B945" s="27" t="s">
        <v>131</v>
      </c>
      <c r="C945" s="28" t="s">
        <v>970</v>
      </c>
      <c r="D945" s="29" t="s">
        <v>26</v>
      </c>
      <c r="E945" s="30" t="s">
        <v>947</v>
      </c>
      <c r="F945" s="28" t="s">
        <v>356</v>
      </c>
      <c r="G945" s="30" t="s">
        <v>619</v>
      </c>
      <c r="H945" t="str">
        <f>CONCATENATE(Prequal[[#This Row],[CITY]], ", ",Prequal[[#This Row],[STATE]])</f>
        <v>Chicago, IL</v>
      </c>
    </row>
    <row r="946" spans="2:8" x14ac:dyDescent="0.2">
      <c r="B946" s="27" t="s">
        <v>131</v>
      </c>
      <c r="C946" s="28" t="s">
        <v>970</v>
      </c>
      <c r="D946" s="29" t="s">
        <v>20</v>
      </c>
      <c r="E946" s="30" t="s">
        <v>947</v>
      </c>
      <c r="F946" s="28" t="s">
        <v>356</v>
      </c>
      <c r="G946" s="30" t="s">
        <v>619</v>
      </c>
      <c r="H946" t="str">
        <f>CONCATENATE(Prequal[[#This Row],[CITY]], ", ",Prequal[[#This Row],[STATE]])</f>
        <v>Chicago, IL</v>
      </c>
    </row>
    <row r="947" spans="2:8" x14ac:dyDescent="0.2">
      <c r="B947" s="27" t="s">
        <v>131</v>
      </c>
      <c r="C947" s="28" t="s">
        <v>970</v>
      </c>
      <c r="D947" s="29" t="s">
        <v>49</v>
      </c>
      <c r="E947" s="30" t="s">
        <v>947</v>
      </c>
      <c r="F947" s="28" t="s">
        <v>356</v>
      </c>
      <c r="G947" s="30" t="s">
        <v>619</v>
      </c>
      <c r="H947" t="str">
        <f>CONCATENATE(Prequal[[#This Row],[CITY]], ", ",Prequal[[#This Row],[STATE]])</f>
        <v>Chicago, IL</v>
      </c>
    </row>
    <row r="948" spans="2:8" x14ac:dyDescent="0.2">
      <c r="B948" s="27" t="s">
        <v>131</v>
      </c>
      <c r="C948" s="28" t="s">
        <v>970</v>
      </c>
      <c r="D948" s="29" t="s">
        <v>27</v>
      </c>
      <c r="E948" s="30" t="s">
        <v>947</v>
      </c>
      <c r="F948" s="28" t="s">
        <v>356</v>
      </c>
      <c r="G948" s="30" t="s">
        <v>619</v>
      </c>
      <c r="H948" t="str">
        <f>CONCATENATE(Prequal[[#This Row],[CITY]], ", ",Prequal[[#This Row],[STATE]])</f>
        <v>Chicago, IL</v>
      </c>
    </row>
    <row r="949" spans="2:8" x14ac:dyDescent="0.2">
      <c r="B949" s="27" t="s">
        <v>131</v>
      </c>
      <c r="C949" s="28" t="s">
        <v>970</v>
      </c>
      <c r="D949" s="29" t="s">
        <v>21</v>
      </c>
      <c r="E949" s="30" t="s">
        <v>947</v>
      </c>
      <c r="F949" s="28" t="s">
        <v>356</v>
      </c>
      <c r="G949" s="30" t="s">
        <v>619</v>
      </c>
      <c r="H949" t="str">
        <f>CONCATENATE(Prequal[[#This Row],[CITY]], ", ",Prequal[[#This Row],[STATE]])</f>
        <v>Chicago, IL</v>
      </c>
    </row>
    <row r="950" spans="2:8" x14ac:dyDescent="0.2">
      <c r="B950" s="27" t="s">
        <v>131</v>
      </c>
      <c r="C950" s="28" t="s">
        <v>970</v>
      </c>
      <c r="D950" s="29" t="s">
        <v>22</v>
      </c>
      <c r="E950" s="30" t="s">
        <v>947</v>
      </c>
      <c r="F950" s="28" t="s">
        <v>356</v>
      </c>
      <c r="G950" s="30" t="s">
        <v>619</v>
      </c>
      <c r="H950" t="str">
        <f>CONCATENATE(Prequal[[#This Row],[CITY]], ", ",Prequal[[#This Row],[STATE]])</f>
        <v>Chicago, IL</v>
      </c>
    </row>
    <row r="951" spans="2:8" x14ac:dyDescent="0.2">
      <c r="B951" s="27" t="s">
        <v>131</v>
      </c>
      <c r="C951" s="28" t="s">
        <v>970</v>
      </c>
      <c r="D951" s="29" t="s">
        <v>31</v>
      </c>
      <c r="E951" s="30" t="s">
        <v>947</v>
      </c>
      <c r="F951" s="28" t="s">
        <v>356</v>
      </c>
      <c r="G951" s="30" t="s">
        <v>619</v>
      </c>
      <c r="H951" t="str">
        <f>CONCATENATE(Prequal[[#This Row],[CITY]], ", ",Prequal[[#This Row],[STATE]])</f>
        <v>Chicago, IL</v>
      </c>
    </row>
    <row r="952" spans="2:8" x14ac:dyDescent="0.2">
      <c r="B952" s="27" t="s">
        <v>131</v>
      </c>
      <c r="C952" s="28" t="s">
        <v>970</v>
      </c>
      <c r="D952" s="29" t="s">
        <v>32</v>
      </c>
      <c r="E952" s="30" t="s">
        <v>947</v>
      </c>
      <c r="F952" s="28" t="s">
        <v>356</v>
      </c>
      <c r="G952" s="30" t="s">
        <v>619</v>
      </c>
      <c r="H952" t="str">
        <f>CONCATENATE(Prequal[[#This Row],[CITY]], ", ",Prequal[[#This Row],[STATE]])</f>
        <v>Chicago, IL</v>
      </c>
    </row>
    <row r="953" spans="2:8" x14ac:dyDescent="0.2">
      <c r="B953" s="27" t="s">
        <v>956</v>
      </c>
      <c r="C953" s="28" t="s">
        <v>969</v>
      </c>
      <c r="D953" s="29" t="s">
        <v>45</v>
      </c>
      <c r="E953" s="30" t="s">
        <v>455</v>
      </c>
      <c r="F953" s="28" t="s">
        <v>440</v>
      </c>
      <c r="G953" s="30" t="s">
        <v>957</v>
      </c>
      <c r="H953" t="str">
        <f>CONCATENATE(Prequal[[#This Row],[CITY]], ", ",Prequal[[#This Row],[STATE]])</f>
        <v>Pittsburgh, PA</v>
      </c>
    </row>
    <row r="954" spans="2:8" x14ac:dyDescent="0.2">
      <c r="B954" s="27" t="s">
        <v>956</v>
      </c>
      <c r="C954" s="28" t="s">
        <v>969</v>
      </c>
      <c r="D954" s="29" t="s">
        <v>46</v>
      </c>
      <c r="E954" s="30" t="s">
        <v>455</v>
      </c>
      <c r="F954" s="28" t="s">
        <v>440</v>
      </c>
      <c r="G954" s="30" t="s">
        <v>957</v>
      </c>
      <c r="H954" t="str">
        <f>CONCATENATE(Prequal[[#This Row],[CITY]], ", ",Prequal[[#This Row],[STATE]])</f>
        <v>Pittsburgh, PA</v>
      </c>
    </row>
    <row r="955" spans="2:8" x14ac:dyDescent="0.2">
      <c r="B955" s="27" t="s">
        <v>956</v>
      </c>
      <c r="C955" s="28" t="s">
        <v>969</v>
      </c>
      <c r="D955" s="29" t="s">
        <v>47</v>
      </c>
      <c r="E955" s="30" t="s">
        <v>455</v>
      </c>
      <c r="F955" s="28" t="s">
        <v>440</v>
      </c>
      <c r="G955" s="30" t="s">
        <v>957</v>
      </c>
      <c r="H955" t="str">
        <f>CONCATENATE(Prequal[[#This Row],[CITY]], ", ",Prequal[[#This Row],[STATE]])</f>
        <v>Pittsburgh, PA</v>
      </c>
    </row>
    <row r="956" spans="2:8" x14ac:dyDescent="0.2">
      <c r="B956" s="27" t="s">
        <v>132</v>
      </c>
      <c r="C956" s="28" t="s">
        <v>970</v>
      </c>
      <c r="D956" s="29" t="s">
        <v>10</v>
      </c>
      <c r="E956" s="30" t="s">
        <v>947</v>
      </c>
      <c r="F956" s="28" t="s">
        <v>356</v>
      </c>
      <c r="G956" s="30" t="s">
        <v>620</v>
      </c>
      <c r="H956" t="str">
        <f>CONCATENATE(Prequal[[#This Row],[CITY]], ", ",Prequal[[#This Row],[STATE]])</f>
        <v>Chicago, IL</v>
      </c>
    </row>
    <row r="957" spans="2:8" x14ac:dyDescent="0.2">
      <c r="B957" s="27" t="s">
        <v>133</v>
      </c>
      <c r="C957" s="28" t="s">
        <v>969</v>
      </c>
      <c r="D957" s="29" t="s">
        <v>33</v>
      </c>
      <c r="E957" s="30" t="s">
        <v>394</v>
      </c>
      <c r="F957" s="28" t="s">
        <v>361</v>
      </c>
      <c r="G957" s="30" t="s">
        <v>621</v>
      </c>
      <c r="H957" t="str">
        <f>CONCATENATE(Prequal[[#This Row],[CITY]], ", ",Prequal[[#This Row],[STATE]])</f>
        <v>St. Louis, MO</v>
      </c>
    </row>
    <row r="958" spans="2:8" x14ac:dyDescent="0.2">
      <c r="B958" s="27" t="s">
        <v>134</v>
      </c>
      <c r="C958" s="28" t="s">
        <v>969</v>
      </c>
      <c r="D958" s="29" t="s">
        <v>5</v>
      </c>
      <c r="E958" s="30" t="s">
        <v>409</v>
      </c>
      <c r="F958" s="28" t="s">
        <v>356</v>
      </c>
      <c r="G958" s="30" t="s">
        <v>622</v>
      </c>
      <c r="H958" t="str">
        <f>CONCATENATE(Prequal[[#This Row],[CITY]], ", ",Prequal[[#This Row],[STATE]])</f>
        <v>Peoria, IL</v>
      </c>
    </row>
    <row r="959" spans="2:8" x14ac:dyDescent="0.2">
      <c r="B959" s="27" t="s">
        <v>134</v>
      </c>
      <c r="C959" s="28" t="s">
        <v>969</v>
      </c>
      <c r="D959" s="29" t="s">
        <v>12</v>
      </c>
      <c r="E959" s="30" t="s">
        <v>409</v>
      </c>
      <c r="F959" s="28" t="s">
        <v>356</v>
      </c>
      <c r="G959" s="30" t="s">
        <v>622</v>
      </c>
      <c r="H959" t="str">
        <f>CONCATENATE(Prequal[[#This Row],[CITY]], ", ",Prequal[[#This Row],[STATE]])</f>
        <v>Peoria, IL</v>
      </c>
    </row>
    <row r="960" spans="2:8" x14ac:dyDescent="0.2">
      <c r="B960" s="27" t="s">
        <v>134</v>
      </c>
      <c r="C960" s="28" t="s">
        <v>969</v>
      </c>
      <c r="D960" s="29" t="s">
        <v>15</v>
      </c>
      <c r="E960" s="30" t="s">
        <v>409</v>
      </c>
      <c r="F960" s="28" t="s">
        <v>356</v>
      </c>
      <c r="G960" s="30" t="s">
        <v>622</v>
      </c>
      <c r="H960" t="str">
        <f>CONCATENATE(Prequal[[#This Row],[CITY]], ", ",Prequal[[#This Row],[STATE]])</f>
        <v>Peoria, IL</v>
      </c>
    </row>
    <row r="961" spans="2:8" x14ac:dyDescent="0.2">
      <c r="B961" s="27" t="s">
        <v>884</v>
      </c>
      <c r="C961" s="28" t="s">
        <v>970</v>
      </c>
      <c r="D961" s="29" t="s">
        <v>70</v>
      </c>
      <c r="E961" s="30" t="s">
        <v>885</v>
      </c>
      <c r="F961" s="28" t="s">
        <v>356</v>
      </c>
      <c r="G961" s="30" t="s">
        <v>886</v>
      </c>
      <c r="H961" t="str">
        <f>CONCATENATE(Prequal[[#This Row],[CITY]], ", ",Prequal[[#This Row],[STATE]])</f>
        <v>HIGHLAND, IL</v>
      </c>
    </row>
    <row r="962" spans="2:8" x14ac:dyDescent="0.2">
      <c r="B962" s="27" t="s">
        <v>135</v>
      </c>
      <c r="C962" s="28" t="s">
        <v>969</v>
      </c>
      <c r="D962" s="29" t="s">
        <v>4</v>
      </c>
      <c r="E962" s="30" t="s">
        <v>947</v>
      </c>
      <c r="F962" s="28" t="s">
        <v>356</v>
      </c>
      <c r="G962" s="30" t="s">
        <v>623</v>
      </c>
      <c r="H962" t="str">
        <f>CONCATENATE(Prequal[[#This Row],[CITY]], ", ",Prequal[[#This Row],[STATE]])</f>
        <v>Chicago, IL</v>
      </c>
    </row>
    <row r="963" spans="2:8" x14ac:dyDescent="0.2">
      <c r="B963" s="27" t="s">
        <v>135</v>
      </c>
      <c r="C963" s="28" t="s">
        <v>969</v>
      </c>
      <c r="D963" s="29" t="s">
        <v>5</v>
      </c>
      <c r="E963" s="30" t="s">
        <v>947</v>
      </c>
      <c r="F963" s="28" t="s">
        <v>356</v>
      </c>
      <c r="G963" s="30" t="s">
        <v>623</v>
      </c>
      <c r="H963" t="str">
        <f>CONCATENATE(Prequal[[#This Row],[CITY]], ", ",Prequal[[#This Row],[STATE]])</f>
        <v>Chicago, IL</v>
      </c>
    </row>
    <row r="964" spans="2:8" x14ac:dyDescent="0.2">
      <c r="B964" s="27" t="s">
        <v>135</v>
      </c>
      <c r="C964" s="28" t="s">
        <v>969</v>
      </c>
      <c r="D964" s="29" t="s">
        <v>7</v>
      </c>
      <c r="E964" s="30" t="s">
        <v>947</v>
      </c>
      <c r="F964" s="28" t="s">
        <v>356</v>
      </c>
      <c r="G964" s="30" t="s">
        <v>623</v>
      </c>
      <c r="H964" t="str">
        <f>CONCATENATE(Prequal[[#This Row],[CITY]], ", ",Prequal[[#This Row],[STATE]])</f>
        <v>Chicago, IL</v>
      </c>
    </row>
    <row r="965" spans="2:8" x14ac:dyDescent="0.2">
      <c r="B965" s="27" t="s">
        <v>135</v>
      </c>
      <c r="C965" s="28" t="s">
        <v>969</v>
      </c>
      <c r="D965" s="29" t="s">
        <v>8</v>
      </c>
      <c r="E965" s="30" t="s">
        <v>947</v>
      </c>
      <c r="F965" s="28" t="s">
        <v>356</v>
      </c>
      <c r="G965" s="30" t="s">
        <v>623</v>
      </c>
      <c r="H965" t="str">
        <f>CONCATENATE(Prequal[[#This Row],[CITY]], ", ",Prequal[[#This Row],[STATE]])</f>
        <v>Chicago, IL</v>
      </c>
    </row>
    <row r="966" spans="2:8" x14ac:dyDescent="0.2">
      <c r="B966" s="27" t="s">
        <v>135</v>
      </c>
      <c r="C966" s="28" t="s">
        <v>969</v>
      </c>
      <c r="D966" s="29" t="s">
        <v>24</v>
      </c>
      <c r="E966" s="30" t="s">
        <v>947</v>
      </c>
      <c r="F966" s="28" t="s">
        <v>356</v>
      </c>
      <c r="G966" s="30" t="s">
        <v>623</v>
      </c>
      <c r="H966" t="str">
        <f>CONCATENATE(Prequal[[#This Row],[CITY]], ", ",Prequal[[#This Row],[STATE]])</f>
        <v>Chicago, IL</v>
      </c>
    </row>
    <row r="967" spans="2:8" x14ac:dyDescent="0.2">
      <c r="B967" s="27" t="s">
        <v>135</v>
      </c>
      <c r="C967" s="28" t="s">
        <v>969</v>
      </c>
      <c r="D967" s="29" t="s">
        <v>25</v>
      </c>
      <c r="E967" s="30" t="s">
        <v>947</v>
      </c>
      <c r="F967" s="28" t="s">
        <v>356</v>
      </c>
      <c r="G967" s="30" t="s">
        <v>623</v>
      </c>
      <c r="H967" t="str">
        <f>CONCATENATE(Prequal[[#This Row],[CITY]], ", ",Prequal[[#This Row],[STATE]])</f>
        <v>Chicago, IL</v>
      </c>
    </row>
    <row r="968" spans="2:8" x14ac:dyDescent="0.2">
      <c r="B968" s="27" t="s">
        <v>135</v>
      </c>
      <c r="C968" s="28" t="s">
        <v>969</v>
      </c>
      <c r="D968" s="29" t="s">
        <v>9</v>
      </c>
      <c r="E968" s="30" t="s">
        <v>947</v>
      </c>
      <c r="F968" s="28" t="s">
        <v>356</v>
      </c>
      <c r="G968" s="30" t="s">
        <v>623</v>
      </c>
      <c r="H968" t="str">
        <f>CONCATENATE(Prequal[[#This Row],[CITY]], ", ",Prequal[[#This Row],[STATE]])</f>
        <v>Chicago, IL</v>
      </c>
    </row>
    <row r="969" spans="2:8" x14ac:dyDescent="0.2">
      <c r="B969" s="27" t="s">
        <v>135</v>
      </c>
      <c r="C969" s="28" t="s">
        <v>969</v>
      </c>
      <c r="D969" s="29" t="s">
        <v>49</v>
      </c>
      <c r="E969" s="30" t="s">
        <v>947</v>
      </c>
      <c r="F969" s="28" t="s">
        <v>356</v>
      </c>
      <c r="G969" s="30" t="s">
        <v>623</v>
      </c>
      <c r="H969" t="str">
        <f>CONCATENATE(Prequal[[#This Row],[CITY]], ", ",Prequal[[#This Row],[STATE]])</f>
        <v>Chicago, IL</v>
      </c>
    </row>
    <row r="970" spans="2:8" x14ac:dyDescent="0.2">
      <c r="B970" s="27" t="s">
        <v>135</v>
      </c>
      <c r="C970" s="28" t="s">
        <v>969</v>
      </c>
      <c r="D970" s="29" t="s">
        <v>27</v>
      </c>
      <c r="E970" s="30" t="s">
        <v>947</v>
      </c>
      <c r="F970" s="28" t="s">
        <v>356</v>
      </c>
      <c r="G970" s="30" t="s">
        <v>623</v>
      </c>
      <c r="H970" t="str">
        <f>CONCATENATE(Prequal[[#This Row],[CITY]], ", ",Prequal[[#This Row],[STATE]])</f>
        <v>Chicago, IL</v>
      </c>
    </row>
    <row r="971" spans="2:8" x14ac:dyDescent="0.2">
      <c r="B971" s="27" t="s">
        <v>135</v>
      </c>
      <c r="C971" s="28" t="s">
        <v>969</v>
      </c>
      <c r="D971" s="29" t="s">
        <v>59</v>
      </c>
      <c r="E971" s="30" t="s">
        <v>947</v>
      </c>
      <c r="F971" s="28" t="s">
        <v>356</v>
      </c>
      <c r="G971" s="30" t="s">
        <v>623</v>
      </c>
      <c r="H971" t="str">
        <f>CONCATENATE(Prequal[[#This Row],[CITY]], ", ",Prequal[[#This Row],[STATE]])</f>
        <v>Chicago, IL</v>
      </c>
    </row>
    <row r="972" spans="2:8" x14ac:dyDescent="0.2">
      <c r="B972" s="27" t="s">
        <v>135</v>
      </c>
      <c r="C972" s="28" t="s">
        <v>969</v>
      </c>
      <c r="D972" s="29" t="s">
        <v>10</v>
      </c>
      <c r="E972" s="30" t="s">
        <v>947</v>
      </c>
      <c r="F972" s="28" t="s">
        <v>356</v>
      </c>
      <c r="G972" s="30" t="s">
        <v>623</v>
      </c>
      <c r="H972" t="str">
        <f>CONCATENATE(Prequal[[#This Row],[CITY]], ", ",Prequal[[#This Row],[STATE]])</f>
        <v>Chicago, IL</v>
      </c>
    </row>
    <row r="973" spans="2:8" x14ac:dyDescent="0.2">
      <c r="B973" s="27" t="s">
        <v>135</v>
      </c>
      <c r="C973" s="28" t="s">
        <v>969</v>
      </c>
      <c r="D973" s="29" t="s">
        <v>21</v>
      </c>
      <c r="E973" s="30" t="s">
        <v>947</v>
      </c>
      <c r="F973" s="28" t="s">
        <v>356</v>
      </c>
      <c r="G973" s="30" t="s">
        <v>623</v>
      </c>
      <c r="H973" t="str">
        <f>CONCATENATE(Prequal[[#This Row],[CITY]], ", ",Prequal[[#This Row],[STATE]])</f>
        <v>Chicago, IL</v>
      </c>
    </row>
    <row r="974" spans="2:8" x14ac:dyDescent="0.2">
      <c r="B974" s="27" t="s">
        <v>135</v>
      </c>
      <c r="C974" s="28" t="s">
        <v>969</v>
      </c>
      <c r="D974" s="29" t="s">
        <v>11</v>
      </c>
      <c r="E974" s="30" t="s">
        <v>947</v>
      </c>
      <c r="F974" s="28" t="s">
        <v>356</v>
      </c>
      <c r="G974" s="30" t="s">
        <v>623</v>
      </c>
      <c r="H974" t="str">
        <f>CONCATENATE(Prequal[[#This Row],[CITY]], ", ",Prequal[[#This Row],[STATE]])</f>
        <v>Chicago, IL</v>
      </c>
    </row>
    <row r="975" spans="2:8" x14ac:dyDescent="0.2">
      <c r="B975" s="27" t="s">
        <v>135</v>
      </c>
      <c r="C975" s="28" t="s">
        <v>969</v>
      </c>
      <c r="D975" s="29" t="s">
        <v>22</v>
      </c>
      <c r="E975" s="30" t="s">
        <v>947</v>
      </c>
      <c r="F975" s="28" t="s">
        <v>356</v>
      </c>
      <c r="G975" s="30" t="s">
        <v>623</v>
      </c>
      <c r="H975" t="str">
        <f>CONCATENATE(Prequal[[#This Row],[CITY]], ", ",Prequal[[#This Row],[STATE]])</f>
        <v>Chicago, IL</v>
      </c>
    </row>
    <row r="976" spans="2:8" x14ac:dyDescent="0.2">
      <c r="B976" s="27" t="s">
        <v>135</v>
      </c>
      <c r="C976" s="28" t="s">
        <v>969</v>
      </c>
      <c r="D976" s="29" t="s">
        <v>12</v>
      </c>
      <c r="E976" s="30" t="s">
        <v>947</v>
      </c>
      <c r="F976" s="28" t="s">
        <v>356</v>
      </c>
      <c r="G976" s="30" t="s">
        <v>623</v>
      </c>
      <c r="H976" t="str">
        <f>CONCATENATE(Prequal[[#This Row],[CITY]], ", ",Prequal[[#This Row],[STATE]])</f>
        <v>Chicago, IL</v>
      </c>
    </row>
    <row r="977" spans="2:8" x14ac:dyDescent="0.2">
      <c r="B977" s="27" t="s">
        <v>135</v>
      </c>
      <c r="C977" s="28" t="s">
        <v>969</v>
      </c>
      <c r="D977" s="29" t="s">
        <v>37</v>
      </c>
      <c r="E977" s="30" t="s">
        <v>947</v>
      </c>
      <c r="F977" s="28" t="s">
        <v>356</v>
      </c>
      <c r="G977" s="30" t="s">
        <v>623</v>
      </c>
      <c r="H977" t="str">
        <f>CONCATENATE(Prequal[[#This Row],[CITY]], ", ",Prequal[[#This Row],[STATE]])</f>
        <v>Chicago, IL</v>
      </c>
    </row>
    <row r="978" spans="2:8" x14ac:dyDescent="0.2">
      <c r="B978" s="27" t="s">
        <v>135</v>
      </c>
      <c r="C978" s="28" t="s">
        <v>969</v>
      </c>
      <c r="D978" s="29" t="s">
        <v>13</v>
      </c>
      <c r="E978" s="30" t="s">
        <v>947</v>
      </c>
      <c r="F978" s="28" t="s">
        <v>356</v>
      </c>
      <c r="G978" s="30" t="s">
        <v>623</v>
      </c>
      <c r="H978" t="str">
        <f>CONCATENATE(Prequal[[#This Row],[CITY]], ", ",Prequal[[#This Row],[STATE]])</f>
        <v>Chicago, IL</v>
      </c>
    </row>
    <row r="979" spans="2:8" x14ac:dyDescent="0.2">
      <c r="B979" s="27" t="s">
        <v>135</v>
      </c>
      <c r="C979" s="28" t="s">
        <v>969</v>
      </c>
      <c r="D979" s="29" t="s">
        <v>14</v>
      </c>
      <c r="E979" s="30" t="s">
        <v>947</v>
      </c>
      <c r="F979" s="28" t="s">
        <v>356</v>
      </c>
      <c r="G979" s="30" t="s">
        <v>623</v>
      </c>
      <c r="H979" t="str">
        <f>CONCATENATE(Prequal[[#This Row],[CITY]], ", ",Prequal[[#This Row],[STATE]])</f>
        <v>Chicago, IL</v>
      </c>
    </row>
    <row r="980" spans="2:8" x14ac:dyDescent="0.2">
      <c r="B980" s="27" t="s">
        <v>135</v>
      </c>
      <c r="C980" s="28" t="s">
        <v>969</v>
      </c>
      <c r="D980" s="29" t="s">
        <v>15</v>
      </c>
      <c r="E980" s="30" t="s">
        <v>947</v>
      </c>
      <c r="F980" s="28" t="s">
        <v>356</v>
      </c>
      <c r="G980" s="30" t="s">
        <v>623</v>
      </c>
      <c r="H980" t="str">
        <f>CONCATENATE(Prequal[[#This Row],[CITY]], ", ",Prequal[[#This Row],[STATE]])</f>
        <v>Chicago, IL</v>
      </c>
    </row>
    <row r="981" spans="2:8" x14ac:dyDescent="0.2">
      <c r="B981" s="27" t="s">
        <v>135</v>
      </c>
      <c r="C981" s="28" t="s">
        <v>969</v>
      </c>
      <c r="D981" s="29" t="s">
        <v>30</v>
      </c>
      <c r="E981" s="30" t="s">
        <v>947</v>
      </c>
      <c r="F981" s="28" t="s">
        <v>356</v>
      </c>
      <c r="G981" s="30" t="s">
        <v>623</v>
      </c>
      <c r="H981" t="str">
        <f>CONCATENATE(Prequal[[#This Row],[CITY]], ", ",Prequal[[#This Row],[STATE]])</f>
        <v>Chicago, IL</v>
      </c>
    </row>
    <row r="982" spans="2:8" x14ac:dyDescent="0.2">
      <c r="B982" s="27" t="s">
        <v>135</v>
      </c>
      <c r="C982" s="28" t="s">
        <v>969</v>
      </c>
      <c r="D982" s="29" t="s">
        <v>31</v>
      </c>
      <c r="E982" s="30" t="s">
        <v>947</v>
      </c>
      <c r="F982" s="28" t="s">
        <v>356</v>
      </c>
      <c r="G982" s="30" t="s">
        <v>623</v>
      </c>
      <c r="H982" t="str">
        <f>CONCATENATE(Prequal[[#This Row],[CITY]], ", ",Prequal[[#This Row],[STATE]])</f>
        <v>Chicago, IL</v>
      </c>
    </row>
    <row r="983" spans="2:8" x14ac:dyDescent="0.2">
      <c r="B983" s="27" t="s">
        <v>135</v>
      </c>
      <c r="C983" s="28" t="s">
        <v>969</v>
      </c>
      <c r="D983" s="29" t="s">
        <v>32</v>
      </c>
      <c r="E983" s="30" t="s">
        <v>947</v>
      </c>
      <c r="F983" s="28" t="s">
        <v>356</v>
      </c>
      <c r="G983" s="30" t="s">
        <v>623</v>
      </c>
      <c r="H983" t="str">
        <f>CONCATENATE(Prequal[[#This Row],[CITY]], ", ",Prequal[[#This Row],[STATE]])</f>
        <v>Chicago, IL</v>
      </c>
    </row>
    <row r="984" spans="2:8" x14ac:dyDescent="0.2">
      <c r="B984" s="27" t="s">
        <v>135</v>
      </c>
      <c r="C984" s="28" t="s">
        <v>969</v>
      </c>
      <c r="D984" s="29" t="s">
        <v>38</v>
      </c>
      <c r="E984" s="30" t="s">
        <v>947</v>
      </c>
      <c r="F984" s="28" t="s">
        <v>356</v>
      </c>
      <c r="G984" s="30" t="s">
        <v>623</v>
      </c>
      <c r="H984" t="str">
        <f>CONCATENATE(Prequal[[#This Row],[CITY]], ", ",Prequal[[#This Row],[STATE]])</f>
        <v>Chicago, IL</v>
      </c>
    </row>
    <row r="985" spans="2:8" x14ac:dyDescent="0.2">
      <c r="B985" s="27" t="s">
        <v>136</v>
      </c>
      <c r="C985" s="28" t="s">
        <v>969</v>
      </c>
      <c r="D985" s="29" t="s">
        <v>29</v>
      </c>
      <c r="E985" s="30" t="s">
        <v>405</v>
      </c>
      <c r="F985" s="28" t="s">
        <v>356</v>
      </c>
      <c r="G985" s="30" t="s">
        <v>624</v>
      </c>
      <c r="H985" t="str">
        <f>CONCATENATE(Prequal[[#This Row],[CITY]], ", ",Prequal[[#This Row],[STATE]])</f>
        <v>Joliet, IL</v>
      </c>
    </row>
    <row r="986" spans="2:8" x14ac:dyDescent="0.2">
      <c r="B986" s="27" t="s">
        <v>137</v>
      </c>
      <c r="C986" s="28" t="s">
        <v>970</v>
      </c>
      <c r="D986" s="29" t="s">
        <v>5</v>
      </c>
      <c r="E986" s="30" t="s">
        <v>410</v>
      </c>
      <c r="F986" s="28" t="s">
        <v>356</v>
      </c>
      <c r="G986" s="30" t="s">
        <v>625</v>
      </c>
      <c r="H986" t="str">
        <f>CONCATENATE(Prequal[[#This Row],[CITY]], ", ",Prequal[[#This Row],[STATE]])</f>
        <v>Palatine, IL</v>
      </c>
    </row>
    <row r="987" spans="2:8" x14ac:dyDescent="0.2">
      <c r="B987" s="27" t="s">
        <v>137</v>
      </c>
      <c r="C987" s="28" t="s">
        <v>970</v>
      </c>
      <c r="D987" s="29" t="s">
        <v>10</v>
      </c>
      <c r="E987" s="30" t="s">
        <v>410</v>
      </c>
      <c r="F987" s="28" t="s">
        <v>356</v>
      </c>
      <c r="G987" s="30" t="s">
        <v>625</v>
      </c>
      <c r="H987" t="str">
        <f>CONCATENATE(Prequal[[#This Row],[CITY]], ", ",Prequal[[#This Row],[STATE]])</f>
        <v>Palatine, IL</v>
      </c>
    </row>
    <row r="988" spans="2:8" x14ac:dyDescent="0.2">
      <c r="B988" s="27" t="s">
        <v>137</v>
      </c>
      <c r="C988" s="28" t="s">
        <v>970</v>
      </c>
      <c r="D988" s="29" t="s">
        <v>12</v>
      </c>
      <c r="E988" s="30" t="s">
        <v>410</v>
      </c>
      <c r="F988" s="28" t="s">
        <v>356</v>
      </c>
      <c r="G988" s="30" t="s">
        <v>625</v>
      </c>
      <c r="H988" t="str">
        <f>CONCATENATE(Prequal[[#This Row],[CITY]], ", ",Prequal[[#This Row],[STATE]])</f>
        <v>Palatine, IL</v>
      </c>
    </row>
    <row r="989" spans="2:8" x14ac:dyDescent="0.2">
      <c r="B989" s="27" t="s">
        <v>137</v>
      </c>
      <c r="C989" s="28" t="s">
        <v>970</v>
      </c>
      <c r="D989" s="29" t="s">
        <v>29</v>
      </c>
      <c r="E989" s="30" t="s">
        <v>410</v>
      </c>
      <c r="F989" s="28" t="s">
        <v>356</v>
      </c>
      <c r="G989" s="30" t="s">
        <v>625</v>
      </c>
      <c r="H989" t="str">
        <f>CONCATENATE(Prequal[[#This Row],[CITY]], ", ",Prequal[[#This Row],[STATE]])</f>
        <v>Palatine, IL</v>
      </c>
    </row>
    <row r="990" spans="2:8" x14ac:dyDescent="0.2">
      <c r="B990" s="27" t="s">
        <v>138</v>
      </c>
      <c r="C990" s="28" t="s">
        <v>969</v>
      </c>
      <c r="D990" s="29" t="s">
        <v>5</v>
      </c>
      <c r="E990" s="30" t="s">
        <v>947</v>
      </c>
      <c r="F990" s="28" t="s">
        <v>356</v>
      </c>
      <c r="G990" s="30" t="s">
        <v>844</v>
      </c>
      <c r="H990" t="str">
        <f>CONCATENATE(Prequal[[#This Row],[CITY]], ", ",Prequal[[#This Row],[STATE]])</f>
        <v>Chicago, IL</v>
      </c>
    </row>
    <row r="991" spans="2:8" x14ac:dyDescent="0.2">
      <c r="B991" s="27" t="s">
        <v>138</v>
      </c>
      <c r="C991" s="28" t="s">
        <v>969</v>
      </c>
      <c r="D991" s="29" t="s">
        <v>6</v>
      </c>
      <c r="E991" s="30" t="s">
        <v>947</v>
      </c>
      <c r="F991" s="28" t="s">
        <v>356</v>
      </c>
      <c r="G991" s="30" t="s">
        <v>844</v>
      </c>
      <c r="H991" t="str">
        <f>CONCATENATE(Prequal[[#This Row],[CITY]], ", ",Prequal[[#This Row],[STATE]])</f>
        <v>Chicago, IL</v>
      </c>
    </row>
    <row r="992" spans="2:8" x14ac:dyDescent="0.2">
      <c r="B992" s="27" t="s">
        <v>138</v>
      </c>
      <c r="C992" s="28" t="s">
        <v>969</v>
      </c>
      <c r="D992" s="29" t="s">
        <v>7</v>
      </c>
      <c r="E992" s="30" t="s">
        <v>947</v>
      </c>
      <c r="F992" s="28" t="s">
        <v>356</v>
      </c>
      <c r="G992" s="30" t="s">
        <v>844</v>
      </c>
      <c r="H992" t="str">
        <f>CONCATENATE(Prequal[[#This Row],[CITY]], ", ",Prequal[[#This Row],[STATE]])</f>
        <v>Chicago, IL</v>
      </c>
    </row>
    <row r="993" spans="2:8" x14ac:dyDescent="0.2">
      <c r="B993" s="27" t="s">
        <v>138</v>
      </c>
      <c r="C993" s="28" t="s">
        <v>969</v>
      </c>
      <c r="D993" s="29" t="s">
        <v>8</v>
      </c>
      <c r="E993" s="30" t="s">
        <v>947</v>
      </c>
      <c r="F993" s="28" t="s">
        <v>356</v>
      </c>
      <c r="G993" s="30" t="s">
        <v>844</v>
      </c>
      <c r="H993" t="str">
        <f>CONCATENATE(Prequal[[#This Row],[CITY]], ", ",Prequal[[#This Row],[STATE]])</f>
        <v>Chicago, IL</v>
      </c>
    </row>
    <row r="994" spans="2:8" x14ac:dyDescent="0.2">
      <c r="B994" s="27" t="s">
        <v>138</v>
      </c>
      <c r="C994" s="28" t="s">
        <v>969</v>
      </c>
      <c r="D994" s="29" t="s">
        <v>9</v>
      </c>
      <c r="E994" s="30" t="s">
        <v>947</v>
      </c>
      <c r="F994" s="28" t="s">
        <v>356</v>
      </c>
      <c r="G994" s="30" t="s">
        <v>844</v>
      </c>
      <c r="H994" t="str">
        <f>CONCATENATE(Prequal[[#This Row],[CITY]], ", ",Prequal[[#This Row],[STATE]])</f>
        <v>Chicago, IL</v>
      </c>
    </row>
    <row r="995" spans="2:8" x14ac:dyDescent="0.2">
      <c r="B995" s="27" t="s">
        <v>138</v>
      </c>
      <c r="C995" s="28" t="s">
        <v>969</v>
      </c>
      <c r="D995" s="29" t="s">
        <v>49</v>
      </c>
      <c r="E995" s="30" t="s">
        <v>947</v>
      </c>
      <c r="F995" s="28" t="s">
        <v>356</v>
      </c>
      <c r="G995" s="30" t="s">
        <v>844</v>
      </c>
      <c r="H995" t="str">
        <f>CONCATENATE(Prequal[[#This Row],[CITY]], ", ",Prequal[[#This Row],[STATE]])</f>
        <v>Chicago, IL</v>
      </c>
    </row>
    <row r="996" spans="2:8" x14ac:dyDescent="0.2">
      <c r="B996" s="27" t="s">
        <v>138</v>
      </c>
      <c r="C996" s="28" t="s">
        <v>969</v>
      </c>
      <c r="D996" s="29" t="s">
        <v>21</v>
      </c>
      <c r="E996" s="30" t="s">
        <v>947</v>
      </c>
      <c r="F996" s="28" t="s">
        <v>356</v>
      </c>
      <c r="G996" s="30" t="s">
        <v>844</v>
      </c>
      <c r="H996" t="str">
        <f>CONCATENATE(Prequal[[#This Row],[CITY]], ", ",Prequal[[#This Row],[STATE]])</f>
        <v>Chicago, IL</v>
      </c>
    </row>
    <row r="997" spans="2:8" x14ac:dyDescent="0.2">
      <c r="B997" s="27" t="s">
        <v>138</v>
      </c>
      <c r="C997" s="28" t="s">
        <v>969</v>
      </c>
      <c r="D997" s="29" t="s">
        <v>22</v>
      </c>
      <c r="E997" s="30" t="s">
        <v>947</v>
      </c>
      <c r="F997" s="28" t="s">
        <v>356</v>
      </c>
      <c r="G997" s="30" t="s">
        <v>844</v>
      </c>
      <c r="H997" t="str">
        <f>CONCATENATE(Prequal[[#This Row],[CITY]], ", ",Prequal[[#This Row],[STATE]])</f>
        <v>Chicago, IL</v>
      </c>
    </row>
    <row r="998" spans="2:8" x14ac:dyDescent="0.2">
      <c r="B998" s="27" t="s">
        <v>138</v>
      </c>
      <c r="C998" s="28" t="s">
        <v>969</v>
      </c>
      <c r="D998" s="29" t="s">
        <v>12</v>
      </c>
      <c r="E998" s="30" t="s">
        <v>947</v>
      </c>
      <c r="F998" s="28" t="s">
        <v>356</v>
      </c>
      <c r="G998" s="30" t="s">
        <v>844</v>
      </c>
      <c r="H998" t="str">
        <f>CONCATENATE(Prequal[[#This Row],[CITY]], ", ",Prequal[[#This Row],[STATE]])</f>
        <v>Chicago, IL</v>
      </c>
    </row>
    <row r="999" spans="2:8" x14ac:dyDescent="0.2">
      <c r="B999" s="27" t="s">
        <v>138</v>
      </c>
      <c r="C999" s="28" t="s">
        <v>969</v>
      </c>
      <c r="D999" s="29" t="s">
        <v>15</v>
      </c>
      <c r="E999" s="30" t="s">
        <v>947</v>
      </c>
      <c r="F999" s="28" t="s">
        <v>356</v>
      </c>
      <c r="G999" s="30" t="s">
        <v>844</v>
      </c>
      <c r="H999" t="str">
        <f>CONCATENATE(Prequal[[#This Row],[CITY]], ", ",Prequal[[#This Row],[STATE]])</f>
        <v>Chicago, IL</v>
      </c>
    </row>
    <row r="1000" spans="2:8" x14ac:dyDescent="0.2">
      <c r="B1000" s="27" t="s">
        <v>138</v>
      </c>
      <c r="C1000" s="28" t="s">
        <v>969</v>
      </c>
      <c r="D1000" s="29" t="s">
        <v>31</v>
      </c>
      <c r="E1000" s="30" t="s">
        <v>947</v>
      </c>
      <c r="F1000" s="28" t="s">
        <v>356</v>
      </c>
      <c r="G1000" s="30" t="s">
        <v>844</v>
      </c>
      <c r="H1000" t="str">
        <f>CONCATENATE(Prequal[[#This Row],[CITY]], ", ",Prequal[[#This Row],[STATE]])</f>
        <v>Chicago, IL</v>
      </c>
    </row>
    <row r="1001" spans="2:8" x14ac:dyDescent="0.2">
      <c r="B1001" s="27" t="s">
        <v>139</v>
      </c>
      <c r="C1001" s="28" t="s">
        <v>970</v>
      </c>
      <c r="D1001" s="29" t="s">
        <v>29</v>
      </c>
      <c r="E1001" s="30" t="s">
        <v>947</v>
      </c>
      <c r="F1001" s="28" t="s">
        <v>356</v>
      </c>
      <c r="G1001" s="30" t="s">
        <v>626</v>
      </c>
      <c r="H1001" t="str">
        <f>CONCATENATE(Prequal[[#This Row],[CITY]], ", ",Prequal[[#This Row],[STATE]])</f>
        <v>Chicago, IL</v>
      </c>
    </row>
    <row r="1002" spans="2:8" x14ac:dyDescent="0.2">
      <c r="B1002" s="27" t="s">
        <v>850</v>
      </c>
      <c r="C1002" s="28" t="s">
        <v>969</v>
      </c>
      <c r="D1002" s="29" t="s">
        <v>59</v>
      </c>
      <c r="E1002" s="30" t="s">
        <v>418</v>
      </c>
      <c r="F1002" s="28" t="s">
        <v>356</v>
      </c>
      <c r="G1002" s="30" t="s">
        <v>853</v>
      </c>
      <c r="H1002" t="str">
        <f>CONCATENATE(Prequal[[#This Row],[CITY]], ", ",Prequal[[#This Row],[STATE]])</f>
        <v>Downers Grove, IL</v>
      </c>
    </row>
    <row r="1003" spans="2:8" x14ac:dyDescent="0.2">
      <c r="B1003" s="27" t="s">
        <v>140</v>
      </c>
      <c r="C1003" s="28" t="s">
        <v>969</v>
      </c>
      <c r="D1003" s="29" t="s">
        <v>46</v>
      </c>
      <c r="E1003" s="30" t="s">
        <v>411</v>
      </c>
      <c r="F1003" s="28" t="s">
        <v>356</v>
      </c>
      <c r="G1003" s="30" t="s">
        <v>627</v>
      </c>
      <c r="H1003" t="str">
        <f>CONCATENATE(Prequal[[#This Row],[CITY]], ", ",Prequal[[#This Row],[STATE]])</f>
        <v>Buffalo Grove, IL</v>
      </c>
    </row>
    <row r="1004" spans="2:8" x14ac:dyDescent="0.2">
      <c r="B1004" s="27" t="s">
        <v>140</v>
      </c>
      <c r="C1004" s="28" t="s">
        <v>969</v>
      </c>
      <c r="D1004" s="29" t="s">
        <v>47</v>
      </c>
      <c r="E1004" s="30" t="s">
        <v>411</v>
      </c>
      <c r="F1004" s="28" t="s">
        <v>356</v>
      </c>
      <c r="G1004" s="30" t="s">
        <v>627</v>
      </c>
      <c r="H1004" t="str">
        <f>CONCATENATE(Prequal[[#This Row],[CITY]], ", ",Prequal[[#This Row],[STATE]])</f>
        <v>Buffalo Grove, IL</v>
      </c>
    </row>
    <row r="1005" spans="2:8" x14ac:dyDescent="0.2">
      <c r="B1005" s="27" t="s">
        <v>140</v>
      </c>
      <c r="C1005" s="28" t="s">
        <v>969</v>
      </c>
      <c r="D1005" s="29" t="s">
        <v>48</v>
      </c>
      <c r="E1005" s="30" t="s">
        <v>411</v>
      </c>
      <c r="F1005" s="28" t="s">
        <v>356</v>
      </c>
      <c r="G1005" s="30" t="s">
        <v>627</v>
      </c>
      <c r="H1005" t="str">
        <f>CONCATENATE(Prequal[[#This Row],[CITY]], ", ",Prequal[[#This Row],[STATE]])</f>
        <v>Buffalo Grove, IL</v>
      </c>
    </row>
    <row r="1006" spans="2:8" x14ac:dyDescent="0.2">
      <c r="B1006" s="27" t="s">
        <v>140</v>
      </c>
      <c r="C1006" s="28" t="s">
        <v>969</v>
      </c>
      <c r="D1006" s="29" t="s">
        <v>75</v>
      </c>
      <c r="E1006" s="30" t="s">
        <v>411</v>
      </c>
      <c r="F1006" s="28" t="s">
        <v>356</v>
      </c>
      <c r="G1006" s="30" t="s">
        <v>627</v>
      </c>
      <c r="H1006" t="str">
        <f>CONCATENATE(Prequal[[#This Row],[CITY]], ", ",Prequal[[#This Row],[STATE]])</f>
        <v>Buffalo Grove, IL</v>
      </c>
    </row>
    <row r="1007" spans="2:8" x14ac:dyDescent="0.2">
      <c r="B1007" s="27" t="s">
        <v>140</v>
      </c>
      <c r="C1007" s="28" t="s">
        <v>969</v>
      </c>
      <c r="D1007" s="29" t="s">
        <v>107</v>
      </c>
      <c r="E1007" s="30" t="s">
        <v>411</v>
      </c>
      <c r="F1007" s="28" t="s">
        <v>356</v>
      </c>
      <c r="G1007" s="30" t="s">
        <v>627</v>
      </c>
      <c r="H1007" t="str">
        <f>CONCATENATE(Prequal[[#This Row],[CITY]], ", ",Prequal[[#This Row],[STATE]])</f>
        <v>Buffalo Grove, IL</v>
      </c>
    </row>
    <row r="1008" spans="2:8" x14ac:dyDescent="0.2">
      <c r="B1008" s="27" t="s">
        <v>140</v>
      </c>
      <c r="C1008" s="28" t="s">
        <v>969</v>
      </c>
      <c r="D1008" s="29" t="s">
        <v>108</v>
      </c>
      <c r="E1008" s="30" t="s">
        <v>411</v>
      </c>
      <c r="F1008" s="28" t="s">
        <v>356</v>
      </c>
      <c r="G1008" s="30" t="s">
        <v>627</v>
      </c>
      <c r="H1008" t="str">
        <f>CONCATENATE(Prequal[[#This Row],[CITY]], ", ",Prequal[[#This Row],[STATE]])</f>
        <v>Buffalo Grove, IL</v>
      </c>
    </row>
    <row r="1009" spans="2:8" x14ac:dyDescent="0.2">
      <c r="B1009" s="27" t="s">
        <v>141</v>
      </c>
      <c r="C1009" s="28" t="s">
        <v>970</v>
      </c>
      <c r="D1009" s="29" t="s">
        <v>4</v>
      </c>
      <c r="E1009" s="30" t="s">
        <v>394</v>
      </c>
      <c r="F1009" s="28" t="s">
        <v>361</v>
      </c>
      <c r="G1009" s="30" t="s">
        <v>628</v>
      </c>
      <c r="H1009" t="str">
        <f>CONCATENATE(Prequal[[#This Row],[CITY]], ", ",Prequal[[#This Row],[STATE]])</f>
        <v>St. Louis, MO</v>
      </c>
    </row>
    <row r="1010" spans="2:8" x14ac:dyDescent="0.2">
      <c r="B1010" s="27" t="s">
        <v>141</v>
      </c>
      <c r="C1010" s="28" t="s">
        <v>970</v>
      </c>
      <c r="D1010" s="29" t="s">
        <v>5</v>
      </c>
      <c r="E1010" s="30" t="s">
        <v>394</v>
      </c>
      <c r="F1010" s="28" t="s">
        <v>361</v>
      </c>
      <c r="G1010" s="30" t="s">
        <v>628</v>
      </c>
      <c r="H1010" t="str">
        <f>CONCATENATE(Prequal[[#This Row],[CITY]], ", ",Prequal[[#This Row],[STATE]])</f>
        <v>St. Louis, MO</v>
      </c>
    </row>
    <row r="1011" spans="2:8" x14ac:dyDescent="0.2">
      <c r="B1011" s="27" t="s">
        <v>141</v>
      </c>
      <c r="C1011" s="28" t="s">
        <v>970</v>
      </c>
      <c r="D1011" s="29" t="s">
        <v>8</v>
      </c>
      <c r="E1011" s="30" t="s">
        <v>394</v>
      </c>
      <c r="F1011" s="28" t="s">
        <v>361</v>
      </c>
      <c r="G1011" s="30" t="s">
        <v>628</v>
      </c>
      <c r="H1011" t="str">
        <f>CONCATENATE(Prequal[[#This Row],[CITY]], ", ",Prequal[[#This Row],[STATE]])</f>
        <v>St. Louis, MO</v>
      </c>
    </row>
    <row r="1012" spans="2:8" x14ac:dyDescent="0.2">
      <c r="B1012" s="27" t="s">
        <v>141</v>
      </c>
      <c r="C1012" s="28" t="s">
        <v>970</v>
      </c>
      <c r="D1012" s="29" t="s">
        <v>24</v>
      </c>
      <c r="E1012" s="30" t="s">
        <v>394</v>
      </c>
      <c r="F1012" s="28" t="s">
        <v>361</v>
      </c>
      <c r="G1012" s="30" t="s">
        <v>628</v>
      </c>
      <c r="H1012" t="str">
        <f>CONCATENATE(Prequal[[#This Row],[CITY]], ", ",Prequal[[#This Row],[STATE]])</f>
        <v>St. Louis, MO</v>
      </c>
    </row>
    <row r="1013" spans="2:8" x14ac:dyDescent="0.2">
      <c r="B1013" s="31" t="s">
        <v>141</v>
      </c>
      <c r="C1013" s="32" t="s">
        <v>970</v>
      </c>
      <c r="D1013" s="33" t="s">
        <v>25</v>
      </c>
      <c r="E1013" s="30" t="s">
        <v>394</v>
      </c>
      <c r="F1013" s="32" t="s">
        <v>361</v>
      </c>
      <c r="G1013" s="30" t="s">
        <v>628</v>
      </c>
      <c r="H1013" t="str">
        <f>CONCATENATE(Prequal[[#This Row],[CITY]], ", ",Prequal[[#This Row],[STATE]])</f>
        <v>St. Louis, MO</v>
      </c>
    </row>
    <row r="1014" spans="2:8" x14ac:dyDescent="0.2">
      <c r="B1014" s="31" t="s">
        <v>141</v>
      </c>
      <c r="C1014" s="32" t="s">
        <v>970</v>
      </c>
      <c r="D1014" s="33" t="s">
        <v>9</v>
      </c>
      <c r="E1014" s="30" t="s">
        <v>394</v>
      </c>
      <c r="F1014" s="32" t="s">
        <v>361</v>
      </c>
      <c r="G1014" s="30" t="s">
        <v>628</v>
      </c>
      <c r="H1014" t="str">
        <f>CONCATENATE(Prequal[[#This Row],[CITY]], ", ",Prequal[[#This Row],[STATE]])</f>
        <v>St. Louis, MO</v>
      </c>
    </row>
    <row r="1015" spans="2:8" x14ac:dyDescent="0.2">
      <c r="B1015" s="31" t="s">
        <v>141</v>
      </c>
      <c r="C1015" s="32" t="s">
        <v>970</v>
      </c>
      <c r="D1015" s="33" t="s">
        <v>27</v>
      </c>
      <c r="E1015" s="30" t="s">
        <v>394</v>
      </c>
      <c r="F1015" s="32" t="s">
        <v>361</v>
      </c>
      <c r="G1015" s="30" t="s">
        <v>628</v>
      </c>
      <c r="H1015" t="str">
        <f>CONCATENATE(Prequal[[#This Row],[CITY]], ", ",Prequal[[#This Row],[STATE]])</f>
        <v>St. Louis, MO</v>
      </c>
    </row>
    <row r="1016" spans="2:8" x14ac:dyDescent="0.2">
      <c r="B1016" s="31" t="s">
        <v>141</v>
      </c>
      <c r="C1016" s="32" t="s">
        <v>970</v>
      </c>
      <c r="D1016" s="33" t="s">
        <v>10</v>
      </c>
      <c r="E1016" s="30" t="s">
        <v>394</v>
      </c>
      <c r="F1016" s="32" t="s">
        <v>361</v>
      </c>
      <c r="G1016" s="30" t="s">
        <v>628</v>
      </c>
      <c r="H1016" t="str">
        <f>CONCATENATE(Prequal[[#This Row],[CITY]], ", ",Prequal[[#This Row],[STATE]])</f>
        <v>St. Louis, MO</v>
      </c>
    </row>
    <row r="1017" spans="2:8" x14ac:dyDescent="0.2">
      <c r="B1017" s="31" t="s">
        <v>141</v>
      </c>
      <c r="C1017" s="32" t="s">
        <v>970</v>
      </c>
      <c r="D1017" s="33" t="s">
        <v>29</v>
      </c>
      <c r="E1017" s="30" t="s">
        <v>394</v>
      </c>
      <c r="F1017" s="32" t="s">
        <v>361</v>
      </c>
      <c r="G1017" s="30" t="s">
        <v>628</v>
      </c>
      <c r="H1017" t="str">
        <f>CONCATENATE(Prequal[[#This Row],[CITY]], ", ",Prequal[[#This Row],[STATE]])</f>
        <v>St. Louis, MO</v>
      </c>
    </row>
    <row r="1018" spans="2:8" x14ac:dyDescent="0.2">
      <c r="B1018" s="31" t="s">
        <v>141</v>
      </c>
      <c r="C1018" s="32" t="s">
        <v>970</v>
      </c>
      <c r="D1018" s="33" t="s">
        <v>37</v>
      </c>
      <c r="E1018" s="30" t="s">
        <v>394</v>
      </c>
      <c r="F1018" s="32" t="s">
        <v>361</v>
      </c>
      <c r="G1018" s="30" t="s">
        <v>628</v>
      </c>
      <c r="H1018" t="str">
        <f>CONCATENATE(Prequal[[#This Row],[CITY]], ", ",Prequal[[#This Row],[STATE]])</f>
        <v>St. Louis, MO</v>
      </c>
    </row>
    <row r="1019" spans="2:8" x14ac:dyDescent="0.2">
      <c r="B1019" s="31" t="s">
        <v>141</v>
      </c>
      <c r="C1019" s="32" t="s">
        <v>970</v>
      </c>
      <c r="D1019" s="33" t="s">
        <v>13</v>
      </c>
      <c r="E1019" s="30" t="s">
        <v>394</v>
      </c>
      <c r="F1019" s="32" t="s">
        <v>361</v>
      </c>
      <c r="G1019" s="30" t="s">
        <v>628</v>
      </c>
      <c r="H1019" t="str">
        <f>CONCATENATE(Prequal[[#This Row],[CITY]], ", ",Prequal[[#This Row],[STATE]])</f>
        <v>St. Louis, MO</v>
      </c>
    </row>
    <row r="1020" spans="2:8" x14ac:dyDescent="0.2">
      <c r="B1020" s="31" t="s">
        <v>141</v>
      </c>
      <c r="C1020" s="32" t="s">
        <v>970</v>
      </c>
      <c r="D1020" s="33" t="s">
        <v>14</v>
      </c>
      <c r="E1020" s="30" t="s">
        <v>394</v>
      </c>
      <c r="F1020" s="32" t="s">
        <v>361</v>
      </c>
      <c r="G1020" s="30" t="s">
        <v>628</v>
      </c>
      <c r="H1020" t="str">
        <f>CONCATENATE(Prequal[[#This Row],[CITY]], ", ",Prequal[[#This Row],[STATE]])</f>
        <v>St. Louis, MO</v>
      </c>
    </row>
    <row r="1021" spans="2:8" x14ac:dyDescent="0.2">
      <c r="B1021" s="27" t="s">
        <v>141</v>
      </c>
      <c r="C1021" s="28" t="s">
        <v>970</v>
      </c>
      <c r="D1021" s="29" t="s">
        <v>15</v>
      </c>
      <c r="E1021" s="30" t="s">
        <v>394</v>
      </c>
      <c r="F1021" s="28" t="s">
        <v>361</v>
      </c>
      <c r="G1021" s="30" t="s">
        <v>628</v>
      </c>
      <c r="H1021" t="str">
        <f>CONCATENATE(Prequal[[#This Row],[CITY]], ", ",Prequal[[#This Row],[STATE]])</f>
        <v>St. Louis, MO</v>
      </c>
    </row>
    <row r="1022" spans="2:8" x14ac:dyDescent="0.2">
      <c r="B1022" s="27" t="s">
        <v>141</v>
      </c>
      <c r="C1022" s="28" t="s">
        <v>970</v>
      </c>
      <c r="D1022" s="29" t="s">
        <v>30</v>
      </c>
      <c r="E1022" s="30" t="s">
        <v>394</v>
      </c>
      <c r="F1022" s="28" t="s">
        <v>361</v>
      </c>
      <c r="G1022" s="30" t="s">
        <v>628</v>
      </c>
      <c r="H1022" t="str">
        <f>CONCATENATE(Prequal[[#This Row],[CITY]], ", ",Prequal[[#This Row],[STATE]])</f>
        <v>St. Louis, MO</v>
      </c>
    </row>
    <row r="1023" spans="2:8" x14ac:dyDescent="0.2">
      <c r="B1023" s="27" t="s">
        <v>141</v>
      </c>
      <c r="C1023" s="28" t="s">
        <v>970</v>
      </c>
      <c r="D1023" s="29" t="s">
        <v>31</v>
      </c>
      <c r="E1023" s="30" t="s">
        <v>394</v>
      </c>
      <c r="F1023" s="28" t="s">
        <v>361</v>
      </c>
      <c r="G1023" s="30" t="s">
        <v>628</v>
      </c>
      <c r="H1023" t="str">
        <f>CONCATENATE(Prequal[[#This Row],[CITY]], ", ",Prequal[[#This Row],[STATE]])</f>
        <v>St. Louis, MO</v>
      </c>
    </row>
    <row r="1024" spans="2:8" x14ac:dyDescent="0.2">
      <c r="B1024" s="27" t="s">
        <v>141</v>
      </c>
      <c r="C1024" s="28" t="s">
        <v>970</v>
      </c>
      <c r="D1024" s="29" t="s">
        <v>32</v>
      </c>
      <c r="E1024" s="30" t="s">
        <v>394</v>
      </c>
      <c r="F1024" s="28" t="s">
        <v>361</v>
      </c>
      <c r="G1024" s="30" t="s">
        <v>628</v>
      </c>
      <c r="H1024" t="str">
        <f>CONCATENATE(Prequal[[#This Row],[CITY]], ", ",Prequal[[#This Row],[STATE]])</f>
        <v>St. Louis, MO</v>
      </c>
    </row>
    <row r="1025" spans="2:8" x14ac:dyDescent="0.2">
      <c r="B1025" s="27" t="s">
        <v>1027</v>
      </c>
      <c r="C1025" s="28" t="s">
        <v>969</v>
      </c>
      <c r="D1025" s="29" t="s">
        <v>976</v>
      </c>
      <c r="E1025" s="30" t="s">
        <v>367</v>
      </c>
      <c r="F1025" s="28" t="s">
        <v>356</v>
      </c>
      <c r="G1025" s="30" t="s">
        <v>1028</v>
      </c>
      <c r="H1025" t="str">
        <f>CONCATENATE(Prequal[[#This Row],[CITY]], ", ",Prequal[[#This Row],[STATE]])</f>
        <v>Springfield, IL</v>
      </c>
    </row>
    <row r="1026" spans="2:8" x14ac:dyDescent="0.2">
      <c r="B1026" s="27" t="s">
        <v>1027</v>
      </c>
      <c r="C1026" s="28" t="s">
        <v>969</v>
      </c>
      <c r="D1026" s="29" t="s">
        <v>978</v>
      </c>
      <c r="E1026" s="30" t="s">
        <v>367</v>
      </c>
      <c r="F1026" s="28" t="s">
        <v>356</v>
      </c>
      <c r="G1026" s="30" t="s">
        <v>1028</v>
      </c>
      <c r="H1026" t="str">
        <f>CONCATENATE(Prequal[[#This Row],[CITY]], ", ",Prequal[[#This Row],[STATE]])</f>
        <v>Springfield, IL</v>
      </c>
    </row>
    <row r="1027" spans="2:8" x14ac:dyDescent="0.2">
      <c r="B1027" s="27" t="s">
        <v>1029</v>
      </c>
      <c r="C1027" s="28" t="s">
        <v>969</v>
      </c>
      <c r="D1027" s="29" t="s">
        <v>1004</v>
      </c>
      <c r="E1027" s="30" t="s">
        <v>1030</v>
      </c>
      <c r="F1027" s="28" t="s">
        <v>363</v>
      </c>
      <c r="G1027" s="30" t="s">
        <v>1031</v>
      </c>
      <c r="H1027" t="str">
        <f>CONCATENATE(Prequal[[#This Row],[CITY]], ", ",Prequal[[#This Row],[STATE]])</f>
        <v>Duluth, MN</v>
      </c>
    </row>
    <row r="1028" spans="2:8" x14ac:dyDescent="0.2">
      <c r="B1028" s="27" t="s">
        <v>1029</v>
      </c>
      <c r="C1028" s="28" t="s">
        <v>969</v>
      </c>
      <c r="D1028" s="29" t="s">
        <v>1008</v>
      </c>
      <c r="E1028" s="30" t="s">
        <v>1030</v>
      </c>
      <c r="F1028" s="28" t="s">
        <v>363</v>
      </c>
      <c r="G1028" s="30" t="s">
        <v>1031</v>
      </c>
      <c r="H1028" t="str">
        <f>CONCATENATE(Prequal[[#This Row],[CITY]], ", ",Prequal[[#This Row],[STATE]])</f>
        <v>Duluth, MN</v>
      </c>
    </row>
    <row r="1029" spans="2:8" x14ac:dyDescent="0.2">
      <c r="B1029" s="27" t="s">
        <v>142</v>
      </c>
      <c r="C1029" s="28" t="s">
        <v>970</v>
      </c>
      <c r="D1029" s="29" t="s">
        <v>5</v>
      </c>
      <c r="E1029" s="30" t="s">
        <v>412</v>
      </c>
      <c r="F1029" s="28" t="s">
        <v>361</v>
      </c>
      <c r="G1029" s="30" t="s">
        <v>629</v>
      </c>
      <c r="H1029" t="str">
        <f>CONCATENATE(Prequal[[#This Row],[CITY]], ", ",Prequal[[#This Row],[STATE]])</f>
        <v>Chesterfield, MO</v>
      </c>
    </row>
    <row r="1030" spans="2:8" x14ac:dyDescent="0.2">
      <c r="B1030" s="27" t="s">
        <v>142</v>
      </c>
      <c r="C1030" s="28" t="s">
        <v>970</v>
      </c>
      <c r="D1030" s="29" t="s">
        <v>25</v>
      </c>
      <c r="E1030" s="30" t="s">
        <v>412</v>
      </c>
      <c r="F1030" s="28" t="s">
        <v>361</v>
      </c>
      <c r="G1030" s="30" t="s">
        <v>629</v>
      </c>
      <c r="H1030" t="str">
        <f>CONCATENATE(Prequal[[#This Row],[CITY]], ", ",Prequal[[#This Row],[STATE]])</f>
        <v>Chesterfield, MO</v>
      </c>
    </row>
    <row r="1031" spans="2:8" x14ac:dyDescent="0.2">
      <c r="B1031" s="27" t="s">
        <v>142</v>
      </c>
      <c r="C1031" s="28" t="s">
        <v>970</v>
      </c>
      <c r="D1031" s="29" t="s">
        <v>9</v>
      </c>
      <c r="E1031" s="30" t="s">
        <v>412</v>
      </c>
      <c r="F1031" s="28" t="s">
        <v>361</v>
      </c>
      <c r="G1031" s="30" t="s">
        <v>629</v>
      </c>
      <c r="H1031" t="str">
        <f>CONCATENATE(Prequal[[#This Row],[CITY]], ", ",Prequal[[#This Row],[STATE]])</f>
        <v>Chesterfield, MO</v>
      </c>
    </row>
    <row r="1032" spans="2:8" x14ac:dyDescent="0.2">
      <c r="B1032" s="27" t="s">
        <v>142</v>
      </c>
      <c r="C1032" s="28" t="s">
        <v>970</v>
      </c>
      <c r="D1032" s="29" t="s">
        <v>27</v>
      </c>
      <c r="E1032" s="30" t="s">
        <v>412</v>
      </c>
      <c r="F1032" s="28" t="s">
        <v>361</v>
      </c>
      <c r="G1032" s="30" t="s">
        <v>629</v>
      </c>
      <c r="H1032" t="str">
        <f>CONCATENATE(Prequal[[#This Row],[CITY]], ", ",Prequal[[#This Row],[STATE]])</f>
        <v>Chesterfield, MO</v>
      </c>
    </row>
    <row r="1033" spans="2:8" x14ac:dyDescent="0.2">
      <c r="B1033" s="27" t="s">
        <v>142</v>
      </c>
      <c r="C1033" s="28" t="s">
        <v>970</v>
      </c>
      <c r="D1033" s="29" t="s">
        <v>81</v>
      </c>
      <c r="E1033" s="30" t="s">
        <v>412</v>
      </c>
      <c r="F1033" s="28" t="s">
        <v>361</v>
      </c>
      <c r="G1033" s="30" t="s">
        <v>629</v>
      </c>
      <c r="H1033" t="str">
        <f>CONCATENATE(Prequal[[#This Row],[CITY]], ", ",Prequal[[#This Row],[STATE]])</f>
        <v>Chesterfield, MO</v>
      </c>
    </row>
    <row r="1034" spans="2:8" x14ac:dyDescent="0.2">
      <c r="B1034" s="27" t="s">
        <v>142</v>
      </c>
      <c r="C1034" s="28" t="s">
        <v>970</v>
      </c>
      <c r="D1034" s="29" t="s">
        <v>10</v>
      </c>
      <c r="E1034" s="30" t="s">
        <v>412</v>
      </c>
      <c r="F1034" s="28" t="s">
        <v>361</v>
      </c>
      <c r="G1034" s="30" t="s">
        <v>629</v>
      </c>
      <c r="H1034" t="str">
        <f>CONCATENATE(Prequal[[#This Row],[CITY]], ", ",Prequal[[#This Row],[STATE]])</f>
        <v>Chesterfield, MO</v>
      </c>
    </row>
    <row r="1035" spans="2:8" x14ac:dyDescent="0.2">
      <c r="B1035" s="27" t="s">
        <v>142</v>
      </c>
      <c r="C1035" s="28" t="s">
        <v>970</v>
      </c>
      <c r="D1035" s="29" t="s">
        <v>63</v>
      </c>
      <c r="E1035" s="30" t="s">
        <v>412</v>
      </c>
      <c r="F1035" s="28" t="s">
        <v>361</v>
      </c>
      <c r="G1035" s="30" t="s">
        <v>629</v>
      </c>
      <c r="H1035" t="str">
        <f>CONCATENATE(Prequal[[#This Row],[CITY]], ", ",Prequal[[#This Row],[STATE]])</f>
        <v>Chesterfield, MO</v>
      </c>
    </row>
    <row r="1036" spans="2:8" x14ac:dyDescent="0.2">
      <c r="B1036" s="27" t="s">
        <v>142</v>
      </c>
      <c r="C1036" s="28" t="s">
        <v>970</v>
      </c>
      <c r="D1036" s="29" t="s">
        <v>29</v>
      </c>
      <c r="E1036" s="30" t="s">
        <v>412</v>
      </c>
      <c r="F1036" s="28" t="s">
        <v>361</v>
      </c>
      <c r="G1036" s="30" t="s">
        <v>629</v>
      </c>
      <c r="H1036" t="str">
        <f>CONCATENATE(Prequal[[#This Row],[CITY]], ", ",Prequal[[#This Row],[STATE]])</f>
        <v>Chesterfield, MO</v>
      </c>
    </row>
    <row r="1037" spans="2:8" x14ac:dyDescent="0.2">
      <c r="B1037" s="27" t="s">
        <v>142</v>
      </c>
      <c r="C1037" s="28" t="s">
        <v>970</v>
      </c>
      <c r="D1037" s="29" t="s">
        <v>14</v>
      </c>
      <c r="E1037" s="30" t="s">
        <v>412</v>
      </c>
      <c r="F1037" s="28" t="s">
        <v>361</v>
      </c>
      <c r="G1037" s="30" t="s">
        <v>629</v>
      </c>
      <c r="H1037" t="str">
        <f>CONCATENATE(Prequal[[#This Row],[CITY]], ", ",Prequal[[#This Row],[STATE]])</f>
        <v>Chesterfield, MO</v>
      </c>
    </row>
    <row r="1038" spans="2:8" x14ac:dyDescent="0.2">
      <c r="B1038" s="27" t="s">
        <v>143</v>
      </c>
      <c r="C1038" s="28" t="s">
        <v>969</v>
      </c>
      <c r="D1038" s="29" t="s">
        <v>5</v>
      </c>
      <c r="E1038" s="30" t="s">
        <v>413</v>
      </c>
      <c r="F1038" s="28" t="s">
        <v>356</v>
      </c>
      <c r="G1038" s="30" t="s">
        <v>630</v>
      </c>
      <c r="H1038" t="str">
        <f>CONCATENATE(Prequal[[#This Row],[CITY]], ", ",Prequal[[#This Row],[STATE]])</f>
        <v>Sugar Grove, IL</v>
      </c>
    </row>
    <row r="1039" spans="2:8" x14ac:dyDescent="0.2">
      <c r="B1039" s="27" t="s">
        <v>143</v>
      </c>
      <c r="C1039" s="28" t="s">
        <v>969</v>
      </c>
      <c r="D1039" s="29" t="s">
        <v>25</v>
      </c>
      <c r="E1039" s="30" t="s">
        <v>413</v>
      </c>
      <c r="F1039" s="28" t="s">
        <v>356</v>
      </c>
      <c r="G1039" s="30" t="s">
        <v>630</v>
      </c>
      <c r="H1039" t="str">
        <f>CONCATENATE(Prequal[[#This Row],[CITY]], ", ",Prequal[[#This Row],[STATE]])</f>
        <v>Sugar Grove, IL</v>
      </c>
    </row>
    <row r="1040" spans="2:8" x14ac:dyDescent="0.2">
      <c r="B1040" s="27" t="s">
        <v>143</v>
      </c>
      <c r="C1040" s="28" t="s">
        <v>969</v>
      </c>
      <c r="D1040" s="29" t="s">
        <v>9</v>
      </c>
      <c r="E1040" s="30" t="s">
        <v>413</v>
      </c>
      <c r="F1040" s="28" t="s">
        <v>356</v>
      </c>
      <c r="G1040" s="30" t="s">
        <v>630</v>
      </c>
      <c r="H1040" t="str">
        <f>CONCATENATE(Prequal[[#This Row],[CITY]], ", ",Prequal[[#This Row],[STATE]])</f>
        <v>Sugar Grove, IL</v>
      </c>
    </row>
    <row r="1041" spans="2:8" x14ac:dyDescent="0.2">
      <c r="B1041" s="27" t="s">
        <v>143</v>
      </c>
      <c r="C1041" s="28" t="s">
        <v>969</v>
      </c>
      <c r="D1041" s="29" t="s">
        <v>27</v>
      </c>
      <c r="E1041" s="30" t="s">
        <v>413</v>
      </c>
      <c r="F1041" s="28" t="s">
        <v>356</v>
      </c>
      <c r="G1041" s="30" t="s">
        <v>630</v>
      </c>
      <c r="H1041" t="str">
        <f>CONCATENATE(Prequal[[#This Row],[CITY]], ", ",Prequal[[#This Row],[STATE]])</f>
        <v>Sugar Grove, IL</v>
      </c>
    </row>
    <row r="1042" spans="2:8" x14ac:dyDescent="0.2">
      <c r="B1042" s="27" t="s">
        <v>143</v>
      </c>
      <c r="C1042" s="28" t="s">
        <v>969</v>
      </c>
      <c r="D1042" s="29" t="s">
        <v>10</v>
      </c>
      <c r="E1042" s="30" t="s">
        <v>413</v>
      </c>
      <c r="F1042" s="28" t="s">
        <v>356</v>
      </c>
      <c r="G1042" s="30" t="s">
        <v>630</v>
      </c>
      <c r="H1042" t="str">
        <f>CONCATENATE(Prequal[[#This Row],[CITY]], ", ",Prequal[[#This Row],[STATE]])</f>
        <v>Sugar Grove, IL</v>
      </c>
    </row>
    <row r="1043" spans="2:8" x14ac:dyDescent="0.2">
      <c r="B1043" s="27" t="s">
        <v>143</v>
      </c>
      <c r="C1043" s="28" t="s">
        <v>969</v>
      </c>
      <c r="D1043" s="29" t="s">
        <v>12</v>
      </c>
      <c r="E1043" s="30" t="s">
        <v>413</v>
      </c>
      <c r="F1043" s="28" t="s">
        <v>356</v>
      </c>
      <c r="G1043" s="30" t="s">
        <v>630</v>
      </c>
      <c r="H1043" t="str">
        <f>CONCATENATE(Prequal[[#This Row],[CITY]], ", ",Prequal[[#This Row],[STATE]])</f>
        <v>Sugar Grove, IL</v>
      </c>
    </row>
    <row r="1044" spans="2:8" x14ac:dyDescent="0.2">
      <c r="B1044" s="27" t="s">
        <v>143</v>
      </c>
      <c r="C1044" s="28" t="s">
        <v>969</v>
      </c>
      <c r="D1044" s="29" t="s">
        <v>29</v>
      </c>
      <c r="E1044" s="30" t="s">
        <v>413</v>
      </c>
      <c r="F1044" s="28" t="s">
        <v>356</v>
      </c>
      <c r="G1044" s="30" t="s">
        <v>630</v>
      </c>
      <c r="H1044" t="str">
        <f>CONCATENATE(Prequal[[#This Row],[CITY]], ", ",Prequal[[#This Row],[STATE]])</f>
        <v>Sugar Grove, IL</v>
      </c>
    </row>
    <row r="1045" spans="2:8" x14ac:dyDescent="0.2">
      <c r="B1045" s="27" t="s">
        <v>143</v>
      </c>
      <c r="C1045" s="28" t="s">
        <v>969</v>
      </c>
      <c r="D1045" s="29" t="s">
        <v>37</v>
      </c>
      <c r="E1045" s="30" t="s">
        <v>413</v>
      </c>
      <c r="F1045" s="28" t="s">
        <v>356</v>
      </c>
      <c r="G1045" s="30" t="s">
        <v>630</v>
      </c>
      <c r="H1045" t="str">
        <f>CONCATENATE(Prequal[[#This Row],[CITY]], ", ",Prequal[[#This Row],[STATE]])</f>
        <v>Sugar Grove, IL</v>
      </c>
    </row>
    <row r="1046" spans="2:8" x14ac:dyDescent="0.2">
      <c r="B1046" s="27" t="s">
        <v>143</v>
      </c>
      <c r="C1046" s="28" t="s">
        <v>969</v>
      </c>
      <c r="D1046" s="29" t="s">
        <v>13</v>
      </c>
      <c r="E1046" s="30" t="s">
        <v>413</v>
      </c>
      <c r="F1046" s="28" t="s">
        <v>356</v>
      </c>
      <c r="G1046" s="30" t="s">
        <v>630</v>
      </c>
      <c r="H1046" t="str">
        <f>CONCATENATE(Prequal[[#This Row],[CITY]], ", ",Prequal[[#This Row],[STATE]])</f>
        <v>Sugar Grove, IL</v>
      </c>
    </row>
    <row r="1047" spans="2:8" x14ac:dyDescent="0.2">
      <c r="B1047" s="27" t="s">
        <v>143</v>
      </c>
      <c r="C1047" s="28" t="s">
        <v>969</v>
      </c>
      <c r="D1047" s="29" t="s">
        <v>14</v>
      </c>
      <c r="E1047" s="30" t="s">
        <v>413</v>
      </c>
      <c r="F1047" s="28" t="s">
        <v>356</v>
      </c>
      <c r="G1047" s="30" t="s">
        <v>630</v>
      </c>
      <c r="H1047" t="str">
        <f>CONCATENATE(Prequal[[#This Row],[CITY]], ", ",Prequal[[#This Row],[STATE]])</f>
        <v>Sugar Grove, IL</v>
      </c>
    </row>
    <row r="1048" spans="2:8" x14ac:dyDescent="0.2">
      <c r="B1048" s="27" t="s">
        <v>143</v>
      </c>
      <c r="C1048" s="28" t="s">
        <v>969</v>
      </c>
      <c r="D1048" s="29" t="s">
        <v>15</v>
      </c>
      <c r="E1048" s="30" t="s">
        <v>413</v>
      </c>
      <c r="F1048" s="28" t="s">
        <v>356</v>
      </c>
      <c r="G1048" s="30" t="s">
        <v>630</v>
      </c>
      <c r="H1048" t="str">
        <f>CONCATENATE(Prequal[[#This Row],[CITY]], ", ",Prequal[[#This Row],[STATE]])</f>
        <v>Sugar Grove, IL</v>
      </c>
    </row>
    <row r="1049" spans="2:8" x14ac:dyDescent="0.2">
      <c r="B1049" s="27" t="s">
        <v>144</v>
      </c>
      <c r="C1049" s="28" t="s">
        <v>969</v>
      </c>
      <c r="D1049" s="29" t="s">
        <v>5</v>
      </c>
      <c r="E1049" s="30" t="s">
        <v>414</v>
      </c>
      <c r="F1049" s="28" t="s">
        <v>356</v>
      </c>
      <c r="G1049" s="30" t="s">
        <v>631</v>
      </c>
      <c r="H1049" t="str">
        <f>CONCATENATE(Prequal[[#This Row],[CITY]], ", ",Prequal[[#This Row],[STATE]])</f>
        <v>Warrenville, IL</v>
      </c>
    </row>
    <row r="1050" spans="2:8" x14ac:dyDescent="0.2">
      <c r="B1050" s="27" t="s">
        <v>144</v>
      </c>
      <c r="C1050" s="28" t="s">
        <v>969</v>
      </c>
      <c r="D1050" s="29" t="s">
        <v>6</v>
      </c>
      <c r="E1050" s="30" t="s">
        <v>414</v>
      </c>
      <c r="F1050" s="28" t="s">
        <v>356</v>
      </c>
      <c r="G1050" s="30" t="s">
        <v>631</v>
      </c>
      <c r="H1050" t="str">
        <f>CONCATENATE(Prequal[[#This Row],[CITY]], ", ",Prequal[[#This Row],[STATE]])</f>
        <v>Warrenville, IL</v>
      </c>
    </row>
    <row r="1051" spans="2:8" x14ac:dyDescent="0.2">
      <c r="B1051" s="27" t="s">
        <v>144</v>
      </c>
      <c r="C1051" s="28" t="s">
        <v>969</v>
      </c>
      <c r="D1051" s="29" t="s">
        <v>7</v>
      </c>
      <c r="E1051" s="30" t="s">
        <v>414</v>
      </c>
      <c r="F1051" s="28" t="s">
        <v>356</v>
      </c>
      <c r="G1051" s="30" t="s">
        <v>631</v>
      </c>
      <c r="H1051" t="str">
        <f>CONCATENATE(Prequal[[#This Row],[CITY]], ", ",Prequal[[#This Row],[STATE]])</f>
        <v>Warrenville, IL</v>
      </c>
    </row>
    <row r="1052" spans="2:8" x14ac:dyDescent="0.2">
      <c r="B1052" s="27" t="s">
        <v>144</v>
      </c>
      <c r="C1052" s="28" t="s">
        <v>969</v>
      </c>
      <c r="D1052" s="29" t="s">
        <v>8</v>
      </c>
      <c r="E1052" s="30" t="s">
        <v>414</v>
      </c>
      <c r="F1052" s="28" t="s">
        <v>356</v>
      </c>
      <c r="G1052" s="30" t="s">
        <v>631</v>
      </c>
      <c r="H1052" t="str">
        <f>CONCATENATE(Prequal[[#This Row],[CITY]], ", ",Prequal[[#This Row],[STATE]])</f>
        <v>Warrenville, IL</v>
      </c>
    </row>
    <row r="1053" spans="2:8" x14ac:dyDescent="0.2">
      <c r="B1053" s="27" t="s">
        <v>144</v>
      </c>
      <c r="C1053" s="28" t="s">
        <v>969</v>
      </c>
      <c r="D1053" s="29" t="s">
        <v>25</v>
      </c>
      <c r="E1053" s="30" t="s">
        <v>414</v>
      </c>
      <c r="F1053" s="28" t="s">
        <v>356</v>
      </c>
      <c r="G1053" s="30" t="s">
        <v>631</v>
      </c>
      <c r="H1053" t="str">
        <f>CONCATENATE(Prequal[[#This Row],[CITY]], ", ",Prequal[[#This Row],[STATE]])</f>
        <v>Warrenville, IL</v>
      </c>
    </row>
    <row r="1054" spans="2:8" x14ac:dyDescent="0.2">
      <c r="B1054" s="27" t="s">
        <v>144</v>
      </c>
      <c r="C1054" s="28" t="s">
        <v>969</v>
      </c>
      <c r="D1054" s="29" t="s">
        <v>9</v>
      </c>
      <c r="E1054" s="30" t="s">
        <v>414</v>
      </c>
      <c r="F1054" s="28" t="s">
        <v>356</v>
      </c>
      <c r="G1054" s="30" t="s">
        <v>631</v>
      </c>
      <c r="H1054" t="str">
        <f>CONCATENATE(Prequal[[#This Row],[CITY]], ", ",Prequal[[#This Row],[STATE]])</f>
        <v>Warrenville, IL</v>
      </c>
    </row>
    <row r="1055" spans="2:8" x14ac:dyDescent="0.2">
      <c r="B1055" s="27" t="s">
        <v>144</v>
      </c>
      <c r="C1055" s="28" t="s">
        <v>969</v>
      </c>
      <c r="D1055" s="29" t="s">
        <v>27</v>
      </c>
      <c r="E1055" s="30" t="s">
        <v>414</v>
      </c>
      <c r="F1055" s="28" t="s">
        <v>356</v>
      </c>
      <c r="G1055" s="30" t="s">
        <v>631</v>
      </c>
      <c r="H1055" t="str">
        <f>CONCATENATE(Prequal[[#This Row],[CITY]], ", ",Prequal[[#This Row],[STATE]])</f>
        <v>Warrenville, IL</v>
      </c>
    </row>
    <row r="1056" spans="2:8" x14ac:dyDescent="0.2">
      <c r="B1056" s="27" t="s">
        <v>144</v>
      </c>
      <c r="C1056" s="28" t="s">
        <v>969</v>
      </c>
      <c r="D1056" s="29" t="s">
        <v>10</v>
      </c>
      <c r="E1056" s="30" t="s">
        <v>414</v>
      </c>
      <c r="F1056" s="28" t="s">
        <v>356</v>
      </c>
      <c r="G1056" s="30" t="s">
        <v>631</v>
      </c>
      <c r="H1056" t="str">
        <f>CONCATENATE(Prequal[[#This Row],[CITY]], ", ",Prequal[[#This Row],[STATE]])</f>
        <v>Warrenville, IL</v>
      </c>
    </row>
    <row r="1057" spans="2:8" x14ac:dyDescent="0.2">
      <c r="B1057" s="27" t="s">
        <v>144</v>
      </c>
      <c r="C1057" s="28" t="s">
        <v>969</v>
      </c>
      <c r="D1057" s="29" t="s">
        <v>29</v>
      </c>
      <c r="E1057" s="30" t="s">
        <v>414</v>
      </c>
      <c r="F1057" s="28" t="s">
        <v>356</v>
      </c>
      <c r="G1057" s="30" t="s">
        <v>631</v>
      </c>
      <c r="H1057" t="str">
        <f>CONCATENATE(Prequal[[#This Row],[CITY]], ", ",Prequal[[#This Row],[STATE]])</f>
        <v>Warrenville, IL</v>
      </c>
    </row>
    <row r="1058" spans="2:8" x14ac:dyDescent="0.2">
      <c r="B1058" s="27" t="s">
        <v>144</v>
      </c>
      <c r="C1058" s="28" t="s">
        <v>969</v>
      </c>
      <c r="D1058" s="29" t="s">
        <v>37</v>
      </c>
      <c r="E1058" s="30" t="s">
        <v>414</v>
      </c>
      <c r="F1058" s="28" t="s">
        <v>356</v>
      </c>
      <c r="G1058" s="30" t="s">
        <v>631</v>
      </c>
      <c r="H1058" t="str">
        <f>CONCATENATE(Prequal[[#This Row],[CITY]], ", ",Prequal[[#This Row],[STATE]])</f>
        <v>Warrenville, IL</v>
      </c>
    </row>
    <row r="1059" spans="2:8" x14ac:dyDescent="0.2">
      <c r="B1059" s="27" t="s">
        <v>144</v>
      </c>
      <c r="C1059" s="28" t="s">
        <v>969</v>
      </c>
      <c r="D1059" s="29" t="s">
        <v>14</v>
      </c>
      <c r="E1059" s="30" t="s">
        <v>414</v>
      </c>
      <c r="F1059" s="28" t="s">
        <v>356</v>
      </c>
      <c r="G1059" s="30" t="s">
        <v>631</v>
      </c>
      <c r="H1059" t="str">
        <f>CONCATENATE(Prequal[[#This Row],[CITY]], ", ",Prequal[[#This Row],[STATE]])</f>
        <v>Warrenville, IL</v>
      </c>
    </row>
    <row r="1060" spans="2:8" x14ac:dyDescent="0.2">
      <c r="B1060" s="27" t="s">
        <v>144</v>
      </c>
      <c r="C1060" s="28" t="s">
        <v>969</v>
      </c>
      <c r="D1060" s="29" t="s">
        <v>15</v>
      </c>
      <c r="E1060" s="30" t="s">
        <v>414</v>
      </c>
      <c r="F1060" s="28" t="s">
        <v>356</v>
      </c>
      <c r="G1060" s="30" t="s">
        <v>631</v>
      </c>
      <c r="H1060" t="str">
        <f>CONCATENATE(Prequal[[#This Row],[CITY]], ", ",Prequal[[#This Row],[STATE]])</f>
        <v>Warrenville, IL</v>
      </c>
    </row>
    <row r="1061" spans="2:8" x14ac:dyDescent="0.2">
      <c r="B1061" s="27" t="s">
        <v>144</v>
      </c>
      <c r="C1061" s="28" t="s">
        <v>969</v>
      </c>
      <c r="D1061" s="29" t="s">
        <v>31</v>
      </c>
      <c r="E1061" s="30" t="s">
        <v>414</v>
      </c>
      <c r="F1061" s="28" t="s">
        <v>356</v>
      </c>
      <c r="G1061" s="30" t="s">
        <v>631</v>
      </c>
      <c r="H1061" t="str">
        <f>CONCATENATE(Prequal[[#This Row],[CITY]], ", ",Prequal[[#This Row],[STATE]])</f>
        <v>Warrenville, IL</v>
      </c>
    </row>
    <row r="1062" spans="2:8" x14ac:dyDescent="0.2">
      <c r="B1062" s="27" t="s">
        <v>144</v>
      </c>
      <c r="C1062" s="28" t="s">
        <v>969</v>
      </c>
      <c r="D1062" s="29" t="s">
        <v>32</v>
      </c>
      <c r="E1062" s="30" t="s">
        <v>414</v>
      </c>
      <c r="F1062" s="28" t="s">
        <v>356</v>
      </c>
      <c r="G1062" s="30" t="s">
        <v>631</v>
      </c>
      <c r="H1062" t="str">
        <f>CONCATENATE(Prequal[[#This Row],[CITY]], ", ",Prequal[[#This Row],[STATE]])</f>
        <v>Warrenville, IL</v>
      </c>
    </row>
    <row r="1063" spans="2:8" x14ac:dyDescent="0.2">
      <c r="B1063" s="27" t="s">
        <v>145</v>
      </c>
      <c r="C1063" s="28" t="s">
        <v>970</v>
      </c>
      <c r="D1063" s="29" t="s">
        <v>5</v>
      </c>
      <c r="E1063" s="30" t="s">
        <v>396</v>
      </c>
      <c r="F1063" s="28" t="s">
        <v>356</v>
      </c>
      <c r="G1063" s="30" t="s">
        <v>632</v>
      </c>
      <c r="H1063" t="str">
        <f>CONCATENATE(Prequal[[#This Row],[CITY]], ", ",Prequal[[#This Row],[STATE]])</f>
        <v>Aurora, IL</v>
      </c>
    </row>
    <row r="1064" spans="2:8" x14ac:dyDescent="0.2">
      <c r="B1064" s="27" t="s">
        <v>145</v>
      </c>
      <c r="C1064" s="28" t="s">
        <v>970</v>
      </c>
      <c r="D1064" s="29" t="s">
        <v>27</v>
      </c>
      <c r="E1064" s="30" t="s">
        <v>396</v>
      </c>
      <c r="F1064" s="28" t="s">
        <v>356</v>
      </c>
      <c r="G1064" s="30" t="s">
        <v>632</v>
      </c>
      <c r="H1064" t="str">
        <f>CONCATENATE(Prequal[[#This Row],[CITY]], ", ",Prequal[[#This Row],[STATE]])</f>
        <v>Aurora, IL</v>
      </c>
    </row>
    <row r="1065" spans="2:8" x14ac:dyDescent="0.2">
      <c r="B1065" s="27" t="s">
        <v>145</v>
      </c>
      <c r="C1065" s="28" t="s">
        <v>970</v>
      </c>
      <c r="D1065" s="29" t="s">
        <v>10</v>
      </c>
      <c r="E1065" s="30" t="s">
        <v>396</v>
      </c>
      <c r="F1065" s="28" t="s">
        <v>356</v>
      </c>
      <c r="G1065" s="30" t="s">
        <v>632</v>
      </c>
      <c r="H1065" t="str">
        <f>CONCATENATE(Prequal[[#This Row],[CITY]], ", ",Prequal[[#This Row],[STATE]])</f>
        <v>Aurora, IL</v>
      </c>
    </row>
    <row r="1066" spans="2:8" x14ac:dyDescent="0.2">
      <c r="B1066" s="27" t="s">
        <v>145</v>
      </c>
      <c r="C1066" s="28" t="s">
        <v>970</v>
      </c>
      <c r="D1066" s="29" t="s">
        <v>14</v>
      </c>
      <c r="E1066" s="30" t="s">
        <v>396</v>
      </c>
      <c r="F1066" s="28" t="s">
        <v>356</v>
      </c>
      <c r="G1066" s="30" t="s">
        <v>632</v>
      </c>
      <c r="H1066" t="str">
        <f>CONCATENATE(Prequal[[#This Row],[CITY]], ", ",Prequal[[#This Row],[STATE]])</f>
        <v>Aurora, IL</v>
      </c>
    </row>
    <row r="1067" spans="2:8" x14ac:dyDescent="0.2">
      <c r="B1067" s="27" t="s">
        <v>145</v>
      </c>
      <c r="C1067" s="28" t="s">
        <v>970</v>
      </c>
      <c r="D1067" s="29" t="s">
        <v>15</v>
      </c>
      <c r="E1067" s="30" t="s">
        <v>396</v>
      </c>
      <c r="F1067" s="28" t="s">
        <v>356</v>
      </c>
      <c r="G1067" s="30" t="s">
        <v>632</v>
      </c>
      <c r="H1067" t="str">
        <f>CONCATENATE(Prequal[[#This Row],[CITY]], ", ",Prequal[[#This Row],[STATE]])</f>
        <v>Aurora, IL</v>
      </c>
    </row>
    <row r="1068" spans="2:8" x14ac:dyDescent="0.2">
      <c r="B1068" s="27" t="s">
        <v>146</v>
      </c>
      <c r="C1068" s="28" t="s">
        <v>970</v>
      </c>
      <c r="D1068" s="29" t="s">
        <v>5</v>
      </c>
      <c r="E1068" s="30" t="s">
        <v>974</v>
      </c>
      <c r="F1068" s="28" t="s">
        <v>356</v>
      </c>
      <c r="G1068" s="30" t="s">
        <v>633</v>
      </c>
      <c r="H1068" t="str">
        <f>CONCATENATE(Prequal[[#This Row],[CITY]], ", ",Prequal[[#This Row],[STATE]])</f>
        <v>Chicago , IL</v>
      </c>
    </row>
    <row r="1069" spans="2:8" x14ac:dyDescent="0.2">
      <c r="B1069" s="27" t="s">
        <v>146</v>
      </c>
      <c r="C1069" s="28" t="s">
        <v>970</v>
      </c>
      <c r="D1069" s="29" t="s">
        <v>7</v>
      </c>
      <c r="E1069" s="30" t="s">
        <v>974</v>
      </c>
      <c r="F1069" s="28" t="s">
        <v>356</v>
      </c>
      <c r="G1069" s="30" t="s">
        <v>633</v>
      </c>
      <c r="H1069" t="str">
        <f>CONCATENATE(Prequal[[#This Row],[CITY]], ", ",Prequal[[#This Row],[STATE]])</f>
        <v>Chicago , IL</v>
      </c>
    </row>
    <row r="1070" spans="2:8" x14ac:dyDescent="0.2">
      <c r="B1070" s="27" t="s">
        <v>146</v>
      </c>
      <c r="C1070" s="28" t="s">
        <v>970</v>
      </c>
      <c r="D1070" s="29" t="s">
        <v>8</v>
      </c>
      <c r="E1070" s="30" t="s">
        <v>974</v>
      </c>
      <c r="F1070" s="28" t="s">
        <v>356</v>
      </c>
      <c r="G1070" s="30" t="s">
        <v>633</v>
      </c>
      <c r="H1070" t="str">
        <f>CONCATENATE(Prequal[[#This Row],[CITY]], ", ",Prequal[[#This Row],[STATE]])</f>
        <v>Chicago , IL</v>
      </c>
    </row>
    <row r="1071" spans="2:8" x14ac:dyDescent="0.2">
      <c r="B1071" s="27" t="s">
        <v>146</v>
      </c>
      <c r="C1071" s="28" t="s">
        <v>970</v>
      </c>
      <c r="D1071" s="29" t="s">
        <v>9</v>
      </c>
      <c r="E1071" s="30" t="s">
        <v>974</v>
      </c>
      <c r="F1071" s="28" t="s">
        <v>356</v>
      </c>
      <c r="G1071" s="30" t="s">
        <v>633</v>
      </c>
      <c r="H1071" t="str">
        <f>CONCATENATE(Prequal[[#This Row],[CITY]], ", ",Prequal[[#This Row],[STATE]])</f>
        <v>Chicago , IL</v>
      </c>
    </row>
    <row r="1072" spans="2:8" x14ac:dyDescent="0.2">
      <c r="B1072" s="27" t="s">
        <v>146</v>
      </c>
      <c r="C1072" s="28" t="s">
        <v>970</v>
      </c>
      <c r="D1072" s="29" t="s">
        <v>75</v>
      </c>
      <c r="E1072" s="30" t="s">
        <v>974</v>
      </c>
      <c r="F1072" s="28" t="s">
        <v>356</v>
      </c>
      <c r="G1072" s="30" t="s">
        <v>633</v>
      </c>
      <c r="H1072" t="str">
        <f>CONCATENATE(Prequal[[#This Row],[CITY]], ", ",Prequal[[#This Row],[STATE]])</f>
        <v>Chicago , IL</v>
      </c>
    </row>
    <row r="1073" spans="2:8" x14ac:dyDescent="0.2">
      <c r="B1073" s="27" t="s">
        <v>146</v>
      </c>
      <c r="C1073" s="28" t="s">
        <v>970</v>
      </c>
      <c r="D1073" s="29" t="s">
        <v>10</v>
      </c>
      <c r="E1073" s="30" t="s">
        <v>974</v>
      </c>
      <c r="F1073" s="28" t="s">
        <v>356</v>
      </c>
      <c r="G1073" s="30" t="s">
        <v>633</v>
      </c>
      <c r="H1073" t="str">
        <f>CONCATENATE(Prequal[[#This Row],[CITY]], ", ",Prequal[[#This Row],[STATE]])</f>
        <v>Chicago , IL</v>
      </c>
    </row>
    <row r="1074" spans="2:8" x14ac:dyDescent="0.2">
      <c r="B1074" s="27" t="s">
        <v>146</v>
      </c>
      <c r="C1074" s="28" t="s">
        <v>970</v>
      </c>
      <c r="D1074" s="29" t="s">
        <v>18</v>
      </c>
      <c r="E1074" s="30" t="s">
        <v>974</v>
      </c>
      <c r="F1074" s="28" t="s">
        <v>356</v>
      </c>
      <c r="G1074" s="30" t="s">
        <v>633</v>
      </c>
      <c r="H1074" t="str">
        <f>CONCATENATE(Prequal[[#This Row],[CITY]], ", ",Prequal[[#This Row],[STATE]])</f>
        <v>Chicago , IL</v>
      </c>
    </row>
    <row r="1075" spans="2:8" x14ac:dyDescent="0.2">
      <c r="B1075" s="27" t="s">
        <v>146</v>
      </c>
      <c r="C1075" s="28" t="s">
        <v>970</v>
      </c>
      <c r="D1075" s="29" t="s">
        <v>12</v>
      </c>
      <c r="E1075" s="30" t="s">
        <v>974</v>
      </c>
      <c r="F1075" s="28" t="s">
        <v>356</v>
      </c>
      <c r="G1075" s="30" t="s">
        <v>633</v>
      </c>
      <c r="H1075" t="str">
        <f>CONCATENATE(Prequal[[#This Row],[CITY]], ", ",Prequal[[#This Row],[STATE]])</f>
        <v>Chicago , IL</v>
      </c>
    </row>
    <row r="1076" spans="2:8" x14ac:dyDescent="0.2">
      <c r="B1076" s="27" t="s">
        <v>146</v>
      </c>
      <c r="C1076" s="28" t="s">
        <v>970</v>
      </c>
      <c r="D1076" s="29" t="s">
        <v>29</v>
      </c>
      <c r="E1076" s="30" t="s">
        <v>974</v>
      </c>
      <c r="F1076" s="28" t="s">
        <v>356</v>
      </c>
      <c r="G1076" s="30" t="s">
        <v>633</v>
      </c>
      <c r="H1076" t="str">
        <f>CONCATENATE(Prequal[[#This Row],[CITY]], ", ",Prequal[[#This Row],[STATE]])</f>
        <v>Chicago , IL</v>
      </c>
    </row>
    <row r="1077" spans="2:8" x14ac:dyDescent="0.2">
      <c r="B1077" s="27" t="s">
        <v>146</v>
      </c>
      <c r="C1077" s="28" t="s">
        <v>970</v>
      </c>
      <c r="D1077" s="29" t="s">
        <v>13</v>
      </c>
      <c r="E1077" s="30" t="s">
        <v>974</v>
      </c>
      <c r="F1077" s="28" t="s">
        <v>356</v>
      </c>
      <c r="G1077" s="30" t="s">
        <v>633</v>
      </c>
      <c r="H1077" t="str">
        <f>CONCATENATE(Prequal[[#This Row],[CITY]], ", ",Prequal[[#This Row],[STATE]])</f>
        <v>Chicago , IL</v>
      </c>
    </row>
    <row r="1078" spans="2:8" x14ac:dyDescent="0.2">
      <c r="B1078" s="27" t="s">
        <v>146</v>
      </c>
      <c r="C1078" s="28" t="s">
        <v>970</v>
      </c>
      <c r="D1078" s="29" t="s">
        <v>14</v>
      </c>
      <c r="E1078" s="30" t="s">
        <v>974</v>
      </c>
      <c r="F1078" s="28" t="s">
        <v>356</v>
      </c>
      <c r="G1078" s="30" t="s">
        <v>633</v>
      </c>
      <c r="H1078" t="str">
        <f>CONCATENATE(Prequal[[#This Row],[CITY]], ", ",Prequal[[#This Row],[STATE]])</f>
        <v>Chicago , IL</v>
      </c>
    </row>
    <row r="1079" spans="2:8" x14ac:dyDescent="0.2">
      <c r="B1079" s="27" t="s">
        <v>146</v>
      </c>
      <c r="C1079" s="28" t="s">
        <v>970</v>
      </c>
      <c r="D1079" s="29" t="s">
        <v>15</v>
      </c>
      <c r="E1079" s="30" t="s">
        <v>974</v>
      </c>
      <c r="F1079" s="28" t="s">
        <v>356</v>
      </c>
      <c r="G1079" s="30" t="s">
        <v>633</v>
      </c>
      <c r="H1079" t="str">
        <f>CONCATENATE(Prequal[[#This Row],[CITY]], ", ",Prequal[[#This Row],[STATE]])</f>
        <v>Chicago , IL</v>
      </c>
    </row>
    <row r="1080" spans="2:8" x14ac:dyDescent="0.2">
      <c r="B1080" s="27" t="s">
        <v>147</v>
      </c>
      <c r="C1080" s="28" t="s">
        <v>969</v>
      </c>
      <c r="D1080" s="29" t="s">
        <v>36</v>
      </c>
      <c r="E1080" s="30" t="s">
        <v>947</v>
      </c>
      <c r="F1080" s="28" t="s">
        <v>356</v>
      </c>
      <c r="G1080" s="30" t="s">
        <v>634</v>
      </c>
      <c r="H1080" t="str">
        <f>CONCATENATE(Prequal[[#This Row],[CITY]], ", ",Prequal[[#This Row],[STATE]])</f>
        <v>Chicago, IL</v>
      </c>
    </row>
    <row r="1081" spans="2:8" x14ac:dyDescent="0.2">
      <c r="B1081" s="27" t="s">
        <v>147</v>
      </c>
      <c r="C1081" s="28" t="s">
        <v>969</v>
      </c>
      <c r="D1081" s="29" t="s">
        <v>43</v>
      </c>
      <c r="E1081" s="30" t="s">
        <v>947</v>
      </c>
      <c r="F1081" s="28" t="s">
        <v>356</v>
      </c>
      <c r="G1081" s="30" t="s">
        <v>634</v>
      </c>
      <c r="H1081" t="str">
        <f>CONCATENATE(Prequal[[#This Row],[CITY]], ", ",Prequal[[#This Row],[STATE]])</f>
        <v>Chicago, IL</v>
      </c>
    </row>
    <row r="1082" spans="2:8" x14ac:dyDescent="0.2">
      <c r="B1082" s="27" t="s">
        <v>147</v>
      </c>
      <c r="C1082" s="28" t="s">
        <v>969</v>
      </c>
      <c r="D1082" s="29" t="s">
        <v>4</v>
      </c>
      <c r="E1082" s="30" t="s">
        <v>947</v>
      </c>
      <c r="F1082" s="28" t="s">
        <v>356</v>
      </c>
      <c r="G1082" s="30" t="s">
        <v>634</v>
      </c>
      <c r="H1082" t="str">
        <f>CONCATENATE(Prequal[[#This Row],[CITY]], ", ",Prequal[[#This Row],[STATE]])</f>
        <v>Chicago, IL</v>
      </c>
    </row>
    <row r="1083" spans="2:8" x14ac:dyDescent="0.2">
      <c r="B1083" s="27" t="s">
        <v>147</v>
      </c>
      <c r="C1083" s="28" t="s">
        <v>969</v>
      </c>
      <c r="D1083" s="29" t="s">
        <v>5</v>
      </c>
      <c r="E1083" s="30" t="s">
        <v>947</v>
      </c>
      <c r="F1083" s="28" t="s">
        <v>356</v>
      </c>
      <c r="G1083" s="30" t="s">
        <v>634</v>
      </c>
      <c r="H1083" t="str">
        <f>CONCATENATE(Prequal[[#This Row],[CITY]], ", ",Prequal[[#This Row],[STATE]])</f>
        <v>Chicago, IL</v>
      </c>
    </row>
    <row r="1084" spans="2:8" x14ac:dyDescent="0.2">
      <c r="B1084" s="27" t="s">
        <v>147</v>
      </c>
      <c r="C1084" s="28" t="s">
        <v>969</v>
      </c>
      <c r="D1084" s="29" t="s">
        <v>7</v>
      </c>
      <c r="E1084" s="30" t="s">
        <v>947</v>
      </c>
      <c r="F1084" s="28" t="s">
        <v>356</v>
      </c>
      <c r="G1084" s="30" t="s">
        <v>634</v>
      </c>
      <c r="H1084" t="str">
        <f>CONCATENATE(Prequal[[#This Row],[CITY]], ", ",Prequal[[#This Row],[STATE]])</f>
        <v>Chicago, IL</v>
      </c>
    </row>
    <row r="1085" spans="2:8" x14ac:dyDescent="0.2">
      <c r="B1085" s="27" t="s">
        <v>147</v>
      </c>
      <c r="C1085" s="28" t="s">
        <v>969</v>
      </c>
      <c r="D1085" s="29" t="s">
        <v>8</v>
      </c>
      <c r="E1085" s="30" t="s">
        <v>947</v>
      </c>
      <c r="F1085" s="28" t="s">
        <v>356</v>
      </c>
      <c r="G1085" s="30" t="s">
        <v>634</v>
      </c>
      <c r="H1085" t="str">
        <f>CONCATENATE(Prequal[[#This Row],[CITY]], ", ",Prequal[[#This Row],[STATE]])</f>
        <v>Chicago, IL</v>
      </c>
    </row>
    <row r="1086" spans="2:8" x14ac:dyDescent="0.2">
      <c r="B1086" s="27" t="s">
        <v>147</v>
      </c>
      <c r="C1086" s="28" t="s">
        <v>969</v>
      </c>
      <c r="D1086" s="29" t="s">
        <v>24</v>
      </c>
      <c r="E1086" s="30" t="s">
        <v>947</v>
      </c>
      <c r="F1086" s="28" t="s">
        <v>356</v>
      </c>
      <c r="G1086" s="30" t="s">
        <v>634</v>
      </c>
      <c r="H1086" t="str">
        <f>CONCATENATE(Prequal[[#This Row],[CITY]], ", ",Prequal[[#This Row],[STATE]])</f>
        <v>Chicago, IL</v>
      </c>
    </row>
    <row r="1087" spans="2:8" x14ac:dyDescent="0.2">
      <c r="B1087" s="27" t="s">
        <v>147</v>
      </c>
      <c r="C1087" s="28" t="s">
        <v>969</v>
      </c>
      <c r="D1087" s="29" t="s">
        <v>25</v>
      </c>
      <c r="E1087" s="30" t="s">
        <v>947</v>
      </c>
      <c r="F1087" s="28" t="s">
        <v>356</v>
      </c>
      <c r="G1087" s="30" t="s">
        <v>634</v>
      </c>
      <c r="H1087" t="str">
        <f>CONCATENATE(Prequal[[#This Row],[CITY]], ", ",Prequal[[#This Row],[STATE]])</f>
        <v>Chicago, IL</v>
      </c>
    </row>
    <row r="1088" spans="2:8" x14ac:dyDescent="0.2">
      <c r="B1088" s="27" t="s">
        <v>147</v>
      </c>
      <c r="C1088" s="28" t="s">
        <v>969</v>
      </c>
      <c r="D1088" s="29" t="s">
        <v>9</v>
      </c>
      <c r="E1088" s="30" t="s">
        <v>947</v>
      </c>
      <c r="F1088" s="28" t="s">
        <v>356</v>
      </c>
      <c r="G1088" s="30" t="s">
        <v>634</v>
      </c>
      <c r="H1088" t="str">
        <f>CONCATENATE(Prequal[[#This Row],[CITY]], ", ",Prequal[[#This Row],[STATE]])</f>
        <v>Chicago, IL</v>
      </c>
    </row>
    <row r="1089" spans="2:8" x14ac:dyDescent="0.2">
      <c r="B1089" s="27" t="s">
        <v>147</v>
      </c>
      <c r="C1089" s="28" t="s">
        <v>969</v>
      </c>
      <c r="D1089" s="29" t="s">
        <v>49</v>
      </c>
      <c r="E1089" s="30" t="s">
        <v>947</v>
      </c>
      <c r="F1089" s="28" t="s">
        <v>356</v>
      </c>
      <c r="G1089" s="30" t="s">
        <v>634</v>
      </c>
      <c r="H1089" t="str">
        <f>CONCATENATE(Prequal[[#This Row],[CITY]], ", ",Prequal[[#This Row],[STATE]])</f>
        <v>Chicago, IL</v>
      </c>
    </row>
    <row r="1090" spans="2:8" x14ac:dyDescent="0.2">
      <c r="B1090" s="31" t="s">
        <v>147</v>
      </c>
      <c r="C1090" s="32" t="s">
        <v>969</v>
      </c>
      <c r="D1090" s="33" t="s">
        <v>27</v>
      </c>
      <c r="E1090" s="30" t="s">
        <v>947</v>
      </c>
      <c r="F1090" s="32" t="s">
        <v>356</v>
      </c>
      <c r="G1090" s="30" t="s">
        <v>634</v>
      </c>
      <c r="H1090" t="str">
        <f>CONCATENATE(Prequal[[#This Row],[CITY]], ", ",Prequal[[#This Row],[STATE]])</f>
        <v>Chicago, IL</v>
      </c>
    </row>
    <row r="1091" spans="2:8" x14ac:dyDescent="0.2">
      <c r="B1091" s="27" t="s">
        <v>147</v>
      </c>
      <c r="C1091" s="28" t="s">
        <v>969</v>
      </c>
      <c r="D1091" s="29" t="s">
        <v>59</v>
      </c>
      <c r="E1091" s="30" t="s">
        <v>947</v>
      </c>
      <c r="F1091" s="28" t="s">
        <v>356</v>
      </c>
      <c r="G1091" s="30" t="s">
        <v>634</v>
      </c>
      <c r="H1091" t="str">
        <f>CONCATENATE(Prequal[[#This Row],[CITY]], ", ",Prequal[[#This Row],[STATE]])</f>
        <v>Chicago, IL</v>
      </c>
    </row>
    <row r="1092" spans="2:8" x14ac:dyDescent="0.2">
      <c r="B1092" s="27" t="s">
        <v>147</v>
      </c>
      <c r="C1092" s="28" t="s">
        <v>969</v>
      </c>
      <c r="D1092" s="29" t="s">
        <v>21</v>
      </c>
      <c r="E1092" s="30" t="s">
        <v>947</v>
      </c>
      <c r="F1092" s="28" t="s">
        <v>356</v>
      </c>
      <c r="G1092" s="30" t="s">
        <v>634</v>
      </c>
      <c r="H1092" t="str">
        <f>CONCATENATE(Prequal[[#This Row],[CITY]], ", ",Prequal[[#This Row],[STATE]])</f>
        <v>Chicago, IL</v>
      </c>
    </row>
    <row r="1093" spans="2:8" x14ac:dyDescent="0.2">
      <c r="B1093" s="27" t="s">
        <v>147</v>
      </c>
      <c r="C1093" s="28" t="s">
        <v>969</v>
      </c>
      <c r="D1093" s="29" t="s">
        <v>11</v>
      </c>
      <c r="E1093" s="30" t="s">
        <v>947</v>
      </c>
      <c r="F1093" s="28" t="s">
        <v>356</v>
      </c>
      <c r="G1093" s="30" t="s">
        <v>634</v>
      </c>
      <c r="H1093" t="str">
        <f>CONCATENATE(Prequal[[#This Row],[CITY]], ", ",Prequal[[#This Row],[STATE]])</f>
        <v>Chicago, IL</v>
      </c>
    </row>
    <row r="1094" spans="2:8" x14ac:dyDescent="0.2">
      <c r="B1094" s="27" t="s">
        <v>147</v>
      </c>
      <c r="C1094" s="28" t="s">
        <v>969</v>
      </c>
      <c r="D1094" s="29" t="s">
        <v>22</v>
      </c>
      <c r="E1094" s="30" t="s">
        <v>947</v>
      </c>
      <c r="F1094" s="28" t="s">
        <v>356</v>
      </c>
      <c r="G1094" s="30" t="s">
        <v>634</v>
      </c>
      <c r="H1094" t="str">
        <f>CONCATENATE(Prequal[[#This Row],[CITY]], ", ",Prequal[[#This Row],[STATE]])</f>
        <v>Chicago, IL</v>
      </c>
    </row>
    <row r="1095" spans="2:8" x14ac:dyDescent="0.2">
      <c r="B1095" s="27" t="s">
        <v>147</v>
      </c>
      <c r="C1095" s="28" t="s">
        <v>969</v>
      </c>
      <c r="D1095" s="29" t="s">
        <v>39</v>
      </c>
      <c r="E1095" s="30" t="s">
        <v>947</v>
      </c>
      <c r="F1095" s="28" t="s">
        <v>356</v>
      </c>
      <c r="G1095" s="30" t="s">
        <v>634</v>
      </c>
      <c r="H1095" t="str">
        <f>CONCATENATE(Prequal[[#This Row],[CITY]], ", ",Prequal[[#This Row],[STATE]])</f>
        <v>Chicago, IL</v>
      </c>
    </row>
    <row r="1096" spans="2:8" x14ac:dyDescent="0.2">
      <c r="B1096" s="27" t="s">
        <v>147</v>
      </c>
      <c r="C1096" s="28" t="s">
        <v>969</v>
      </c>
      <c r="D1096" s="29" t="s">
        <v>12</v>
      </c>
      <c r="E1096" s="30" t="s">
        <v>947</v>
      </c>
      <c r="F1096" s="28" t="s">
        <v>356</v>
      </c>
      <c r="G1096" s="30" t="s">
        <v>634</v>
      </c>
      <c r="H1096" t="str">
        <f>CONCATENATE(Prequal[[#This Row],[CITY]], ", ",Prequal[[#This Row],[STATE]])</f>
        <v>Chicago, IL</v>
      </c>
    </row>
    <row r="1097" spans="2:8" x14ac:dyDescent="0.2">
      <c r="B1097" s="27" t="s">
        <v>147</v>
      </c>
      <c r="C1097" s="28" t="s">
        <v>969</v>
      </c>
      <c r="D1097" s="29" t="s">
        <v>37</v>
      </c>
      <c r="E1097" s="30" t="s">
        <v>947</v>
      </c>
      <c r="F1097" s="28" t="s">
        <v>356</v>
      </c>
      <c r="G1097" s="30" t="s">
        <v>634</v>
      </c>
      <c r="H1097" t="str">
        <f>CONCATENATE(Prequal[[#This Row],[CITY]], ", ",Prequal[[#This Row],[STATE]])</f>
        <v>Chicago, IL</v>
      </c>
    </row>
    <row r="1098" spans="2:8" x14ac:dyDescent="0.2">
      <c r="B1098" s="27" t="s">
        <v>147</v>
      </c>
      <c r="C1098" s="28" t="s">
        <v>969</v>
      </c>
      <c r="D1098" s="29" t="s">
        <v>13</v>
      </c>
      <c r="E1098" s="30" t="s">
        <v>947</v>
      </c>
      <c r="F1098" s="28" t="s">
        <v>356</v>
      </c>
      <c r="G1098" s="30" t="s">
        <v>634</v>
      </c>
      <c r="H1098" t="str">
        <f>CONCATENATE(Prequal[[#This Row],[CITY]], ", ",Prequal[[#This Row],[STATE]])</f>
        <v>Chicago, IL</v>
      </c>
    </row>
    <row r="1099" spans="2:8" x14ac:dyDescent="0.2">
      <c r="B1099" s="27" t="s">
        <v>147</v>
      </c>
      <c r="C1099" s="28" t="s">
        <v>969</v>
      </c>
      <c r="D1099" s="29" t="s">
        <v>14</v>
      </c>
      <c r="E1099" s="30" t="s">
        <v>947</v>
      </c>
      <c r="F1099" s="28" t="s">
        <v>356</v>
      </c>
      <c r="G1099" s="30" t="s">
        <v>634</v>
      </c>
      <c r="H1099" t="str">
        <f>CONCATENATE(Prequal[[#This Row],[CITY]], ", ",Prequal[[#This Row],[STATE]])</f>
        <v>Chicago, IL</v>
      </c>
    </row>
    <row r="1100" spans="2:8" x14ac:dyDescent="0.2">
      <c r="B1100" s="27" t="s">
        <v>147</v>
      </c>
      <c r="C1100" s="28" t="s">
        <v>969</v>
      </c>
      <c r="D1100" s="29" t="s">
        <v>15</v>
      </c>
      <c r="E1100" s="30" t="s">
        <v>947</v>
      </c>
      <c r="F1100" s="28" t="s">
        <v>356</v>
      </c>
      <c r="G1100" s="30" t="s">
        <v>634</v>
      </c>
      <c r="H1100" t="str">
        <f>CONCATENATE(Prequal[[#This Row],[CITY]], ", ",Prequal[[#This Row],[STATE]])</f>
        <v>Chicago, IL</v>
      </c>
    </row>
    <row r="1101" spans="2:8" x14ac:dyDescent="0.2">
      <c r="B1101" s="27" t="s">
        <v>147</v>
      </c>
      <c r="C1101" s="28" t="s">
        <v>969</v>
      </c>
      <c r="D1101" s="29" t="s">
        <v>30</v>
      </c>
      <c r="E1101" s="30" t="s">
        <v>947</v>
      </c>
      <c r="F1101" s="28" t="s">
        <v>356</v>
      </c>
      <c r="G1101" s="30" t="s">
        <v>634</v>
      </c>
      <c r="H1101" t="str">
        <f>CONCATENATE(Prequal[[#This Row],[CITY]], ", ",Prequal[[#This Row],[STATE]])</f>
        <v>Chicago, IL</v>
      </c>
    </row>
    <row r="1102" spans="2:8" x14ac:dyDescent="0.2">
      <c r="B1102" s="27" t="s">
        <v>147</v>
      </c>
      <c r="C1102" s="28" t="s">
        <v>969</v>
      </c>
      <c r="D1102" s="29" t="s">
        <v>31</v>
      </c>
      <c r="E1102" s="30" t="s">
        <v>947</v>
      </c>
      <c r="F1102" s="28" t="s">
        <v>356</v>
      </c>
      <c r="G1102" s="30" t="s">
        <v>634</v>
      </c>
      <c r="H1102" t="str">
        <f>CONCATENATE(Prequal[[#This Row],[CITY]], ", ",Prequal[[#This Row],[STATE]])</f>
        <v>Chicago, IL</v>
      </c>
    </row>
    <row r="1103" spans="2:8" x14ac:dyDescent="0.2">
      <c r="B1103" s="27" t="s">
        <v>147</v>
      </c>
      <c r="C1103" s="28" t="s">
        <v>969</v>
      </c>
      <c r="D1103" s="29" t="s">
        <v>32</v>
      </c>
      <c r="E1103" s="30" t="s">
        <v>947</v>
      </c>
      <c r="F1103" s="28" t="s">
        <v>356</v>
      </c>
      <c r="G1103" s="30" t="s">
        <v>634</v>
      </c>
      <c r="H1103" t="str">
        <f>CONCATENATE(Prequal[[#This Row],[CITY]], ", ",Prequal[[#This Row],[STATE]])</f>
        <v>Chicago, IL</v>
      </c>
    </row>
    <row r="1104" spans="2:8" x14ac:dyDescent="0.2">
      <c r="B1104" s="27" t="s">
        <v>147</v>
      </c>
      <c r="C1104" s="28" t="s">
        <v>969</v>
      </c>
      <c r="D1104" s="29" t="s">
        <v>54</v>
      </c>
      <c r="E1104" s="30" t="s">
        <v>947</v>
      </c>
      <c r="F1104" s="28" t="s">
        <v>356</v>
      </c>
      <c r="G1104" s="30" t="s">
        <v>634</v>
      </c>
      <c r="H1104" t="str">
        <f>CONCATENATE(Prequal[[#This Row],[CITY]], ", ",Prequal[[#This Row],[STATE]])</f>
        <v>Chicago, IL</v>
      </c>
    </row>
    <row r="1105" spans="2:8" x14ac:dyDescent="0.2">
      <c r="B1105" s="27" t="s">
        <v>147</v>
      </c>
      <c r="C1105" s="28" t="s">
        <v>969</v>
      </c>
      <c r="D1105" s="29" t="s">
        <v>38</v>
      </c>
      <c r="E1105" s="30" t="s">
        <v>947</v>
      </c>
      <c r="F1105" s="28" t="s">
        <v>356</v>
      </c>
      <c r="G1105" s="30" t="s">
        <v>634</v>
      </c>
      <c r="H1105" t="str">
        <f>CONCATENATE(Prequal[[#This Row],[CITY]], ", ",Prequal[[#This Row],[STATE]])</f>
        <v>Chicago, IL</v>
      </c>
    </row>
    <row r="1106" spans="2:8" x14ac:dyDescent="0.2">
      <c r="B1106" s="27" t="s">
        <v>887</v>
      </c>
      <c r="C1106" s="28" t="s">
        <v>969</v>
      </c>
      <c r="D1106" s="29" t="s">
        <v>70</v>
      </c>
      <c r="E1106" s="30" t="s">
        <v>888</v>
      </c>
      <c r="F1106" s="28" t="s">
        <v>356</v>
      </c>
      <c r="G1106" s="30" t="s">
        <v>889</v>
      </c>
      <c r="H1106" t="str">
        <f>CONCATENATE(Prequal[[#This Row],[CITY]], ", ",Prequal[[#This Row],[STATE]])</f>
        <v>New Lenox, IL</v>
      </c>
    </row>
    <row r="1107" spans="2:8" x14ac:dyDescent="0.2">
      <c r="B1107" s="27" t="s">
        <v>148</v>
      </c>
      <c r="C1107" s="28" t="s">
        <v>969</v>
      </c>
      <c r="D1107" s="29" t="s">
        <v>4</v>
      </c>
      <c r="E1107" s="30" t="s">
        <v>371</v>
      </c>
      <c r="F1107" s="28" t="s">
        <v>356</v>
      </c>
      <c r="G1107" s="30" t="s">
        <v>635</v>
      </c>
      <c r="H1107" t="str">
        <f>CONCATENATE(Prequal[[#This Row],[CITY]], ", ",Prequal[[#This Row],[STATE]])</f>
        <v>Urbana, IL</v>
      </c>
    </row>
    <row r="1108" spans="2:8" x14ac:dyDescent="0.2">
      <c r="B1108" s="27" t="s">
        <v>148</v>
      </c>
      <c r="C1108" s="28" t="s">
        <v>969</v>
      </c>
      <c r="D1108" s="29" t="s">
        <v>5</v>
      </c>
      <c r="E1108" s="30" t="s">
        <v>371</v>
      </c>
      <c r="F1108" s="28" t="s">
        <v>356</v>
      </c>
      <c r="G1108" s="30" t="s">
        <v>635</v>
      </c>
      <c r="H1108" t="str">
        <f>CONCATENATE(Prequal[[#This Row],[CITY]], ", ",Prequal[[#This Row],[STATE]])</f>
        <v>Urbana, IL</v>
      </c>
    </row>
    <row r="1109" spans="2:8" x14ac:dyDescent="0.2">
      <c r="B1109" s="27" t="s">
        <v>148</v>
      </c>
      <c r="C1109" s="28" t="s">
        <v>969</v>
      </c>
      <c r="D1109" s="29" t="s">
        <v>8</v>
      </c>
      <c r="E1109" s="30" t="s">
        <v>371</v>
      </c>
      <c r="F1109" s="28" t="s">
        <v>356</v>
      </c>
      <c r="G1109" s="30" t="s">
        <v>635</v>
      </c>
      <c r="H1109" t="str">
        <f>CONCATENATE(Prequal[[#This Row],[CITY]], ", ",Prequal[[#This Row],[STATE]])</f>
        <v>Urbana, IL</v>
      </c>
    </row>
    <row r="1110" spans="2:8" x14ac:dyDescent="0.2">
      <c r="B1110" s="27" t="s">
        <v>148</v>
      </c>
      <c r="C1110" s="28" t="s">
        <v>969</v>
      </c>
      <c r="D1110" s="29" t="s">
        <v>25</v>
      </c>
      <c r="E1110" s="30" t="s">
        <v>371</v>
      </c>
      <c r="F1110" s="28" t="s">
        <v>356</v>
      </c>
      <c r="G1110" s="30" t="s">
        <v>635</v>
      </c>
      <c r="H1110" t="str">
        <f>CONCATENATE(Prequal[[#This Row],[CITY]], ", ",Prequal[[#This Row],[STATE]])</f>
        <v>Urbana, IL</v>
      </c>
    </row>
    <row r="1111" spans="2:8" x14ac:dyDescent="0.2">
      <c r="B1111" s="27" t="s">
        <v>148</v>
      </c>
      <c r="C1111" s="28" t="s">
        <v>969</v>
      </c>
      <c r="D1111" s="29" t="s">
        <v>9</v>
      </c>
      <c r="E1111" s="30" t="s">
        <v>371</v>
      </c>
      <c r="F1111" s="28" t="s">
        <v>356</v>
      </c>
      <c r="G1111" s="30" t="s">
        <v>635</v>
      </c>
      <c r="H1111" t="str">
        <f>CONCATENATE(Prequal[[#This Row],[CITY]], ", ",Prequal[[#This Row],[STATE]])</f>
        <v>Urbana, IL</v>
      </c>
    </row>
    <row r="1112" spans="2:8" x14ac:dyDescent="0.2">
      <c r="B1112" s="27" t="s">
        <v>148</v>
      </c>
      <c r="C1112" s="28" t="s">
        <v>969</v>
      </c>
      <c r="D1112" s="29" t="s">
        <v>27</v>
      </c>
      <c r="E1112" s="30" t="s">
        <v>371</v>
      </c>
      <c r="F1112" s="28" t="s">
        <v>356</v>
      </c>
      <c r="G1112" s="30" t="s">
        <v>635</v>
      </c>
      <c r="H1112" t="str">
        <f>CONCATENATE(Prequal[[#This Row],[CITY]], ", ",Prequal[[#This Row],[STATE]])</f>
        <v>Urbana, IL</v>
      </c>
    </row>
    <row r="1113" spans="2:8" x14ac:dyDescent="0.2">
      <c r="B1113" s="27" t="s">
        <v>148</v>
      </c>
      <c r="C1113" s="28" t="s">
        <v>969</v>
      </c>
      <c r="D1113" s="29" t="s">
        <v>10</v>
      </c>
      <c r="E1113" s="30" t="s">
        <v>371</v>
      </c>
      <c r="F1113" s="28" t="s">
        <v>356</v>
      </c>
      <c r="G1113" s="30" t="s">
        <v>635</v>
      </c>
      <c r="H1113" t="str">
        <f>CONCATENATE(Prequal[[#This Row],[CITY]], ", ",Prequal[[#This Row],[STATE]])</f>
        <v>Urbana, IL</v>
      </c>
    </row>
    <row r="1114" spans="2:8" x14ac:dyDescent="0.2">
      <c r="B1114" s="27" t="s">
        <v>148</v>
      </c>
      <c r="C1114" s="28" t="s">
        <v>969</v>
      </c>
      <c r="D1114" s="29" t="s">
        <v>37</v>
      </c>
      <c r="E1114" s="30" t="s">
        <v>371</v>
      </c>
      <c r="F1114" s="28" t="s">
        <v>356</v>
      </c>
      <c r="G1114" s="30" t="s">
        <v>635</v>
      </c>
      <c r="H1114" t="str">
        <f>CONCATENATE(Prequal[[#This Row],[CITY]], ", ",Prequal[[#This Row],[STATE]])</f>
        <v>Urbana, IL</v>
      </c>
    </row>
    <row r="1115" spans="2:8" x14ac:dyDescent="0.2">
      <c r="B1115" s="27" t="s">
        <v>148</v>
      </c>
      <c r="C1115" s="28" t="s">
        <v>969</v>
      </c>
      <c r="D1115" s="29" t="s">
        <v>14</v>
      </c>
      <c r="E1115" s="30" t="s">
        <v>371</v>
      </c>
      <c r="F1115" s="28" t="s">
        <v>356</v>
      </c>
      <c r="G1115" s="30" t="s">
        <v>635</v>
      </c>
      <c r="H1115" t="str">
        <f>CONCATENATE(Prequal[[#This Row],[CITY]], ", ",Prequal[[#This Row],[STATE]])</f>
        <v>Urbana, IL</v>
      </c>
    </row>
    <row r="1116" spans="2:8" x14ac:dyDescent="0.2">
      <c r="B1116" s="27" t="s">
        <v>148</v>
      </c>
      <c r="C1116" s="28" t="s">
        <v>969</v>
      </c>
      <c r="D1116" s="29" t="s">
        <v>15</v>
      </c>
      <c r="E1116" s="30" t="s">
        <v>371</v>
      </c>
      <c r="F1116" s="28" t="s">
        <v>356</v>
      </c>
      <c r="G1116" s="30" t="s">
        <v>635</v>
      </c>
      <c r="H1116" t="str">
        <f>CONCATENATE(Prequal[[#This Row],[CITY]], ", ",Prequal[[#This Row],[STATE]])</f>
        <v>Urbana, IL</v>
      </c>
    </row>
    <row r="1117" spans="2:8" x14ac:dyDescent="0.2">
      <c r="B1117" s="27" t="s">
        <v>148</v>
      </c>
      <c r="C1117" s="28" t="s">
        <v>969</v>
      </c>
      <c r="D1117" s="29" t="s">
        <v>30</v>
      </c>
      <c r="E1117" s="30" t="s">
        <v>371</v>
      </c>
      <c r="F1117" s="28" t="s">
        <v>356</v>
      </c>
      <c r="G1117" s="30" t="s">
        <v>635</v>
      </c>
      <c r="H1117" t="str">
        <f>CONCATENATE(Prequal[[#This Row],[CITY]], ", ",Prequal[[#This Row],[STATE]])</f>
        <v>Urbana, IL</v>
      </c>
    </row>
    <row r="1118" spans="2:8" x14ac:dyDescent="0.2">
      <c r="B1118" s="27" t="s">
        <v>148</v>
      </c>
      <c r="C1118" s="28" t="s">
        <v>969</v>
      </c>
      <c r="D1118" s="29" t="s">
        <v>31</v>
      </c>
      <c r="E1118" s="30" t="s">
        <v>371</v>
      </c>
      <c r="F1118" s="28" t="s">
        <v>356</v>
      </c>
      <c r="G1118" s="30" t="s">
        <v>635</v>
      </c>
      <c r="H1118" t="str">
        <f>CONCATENATE(Prequal[[#This Row],[CITY]], ", ",Prequal[[#This Row],[STATE]])</f>
        <v>Urbana, IL</v>
      </c>
    </row>
    <row r="1119" spans="2:8" x14ac:dyDescent="0.2">
      <c r="B1119" s="27" t="s">
        <v>148</v>
      </c>
      <c r="C1119" s="28" t="s">
        <v>969</v>
      </c>
      <c r="D1119" s="29" t="s">
        <v>32</v>
      </c>
      <c r="E1119" s="30" t="s">
        <v>371</v>
      </c>
      <c r="F1119" s="28" t="s">
        <v>356</v>
      </c>
      <c r="G1119" s="30" t="s">
        <v>635</v>
      </c>
      <c r="H1119" t="str">
        <f>CONCATENATE(Prequal[[#This Row],[CITY]], ", ",Prequal[[#This Row],[STATE]])</f>
        <v>Urbana, IL</v>
      </c>
    </row>
    <row r="1120" spans="2:8" x14ac:dyDescent="0.2">
      <c r="B1120" s="27" t="s">
        <v>148</v>
      </c>
      <c r="C1120" s="28" t="s">
        <v>969</v>
      </c>
      <c r="D1120" s="29" t="s">
        <v>38</v>
      </c>
      <c r="E1120" s="30" t="s">
        <v>371</v>
      </c>
      <c r="F1120" s="28" t="s">
        <v>356</v>
      </c>
      <c r="G1120" s="30" t="s">
        <v>635</v>
      </c>
      <c r="H1120" t="str">
        <f>CONCATENATE(Prequal[[#This Row],[CITY]], ", ",Prequal[[#This Row],[STATE]])</f>
        <v>Urbana, IL</v>
      </c>
    </row>
    <row r="1121" spans="2:8" x14ac:dyDescent="0.2">
      <c r="B1121" s="31" t="s">
        <v>148</v>
      </c>
      <c r="C1121" s="32" t="s">
        <v>969</v>
      </c>
      <c r="D1121" s="33" t="s">
        <v>33</v>
      </c>
      <c r="E1121" s="30" t="s">
        <v>371</v>
      </c>
      <c r="F1121" s="32" t="s">
        <v>356</v>
      </c>
      <c r="G1121" s="30" t="s">
        <v>635</v>
      </c>
      <c r="H1121" t="str">
        <f>CONCATENATE(Prequal[[#This Row],[CITY]], ", ",Prequal[[#This Row],[STATE]])</f>
        <v>Urbana, IL</v>
      </c>
    </row>
    <row r="1122" spans="2:8" x14ac:dyDescent="0.2">
      <c r="B1122" s="27" t="s">
        <v>958</v>
      </c>
      <c r="C1122" s="28" t="s">
        <v>970</v>
      </c>
      <c r="D1122" s="29" t="s">
        <v>70</v>
      </c>
      <c r="E1122" s="30" t="s">
        <v>387</v>
      </c>
      <c r="F1122" s="28" t="s">
        <v>356</v>
      </c>
      <c r="G1122" s="30" t="s">
        <v>1079</v>
      </c>
      <c r="H1122" t="str">
        <f>CONCATENATE(Prequal[[#This Row],[CITY]], ", ",Prequal[[#This Row],[STATE]])</f>
        <v>Belleville, IL</v>
      </c>
    </row>
    <row r="1123" spans="2:8" x14ac:dyDescent="0.2">
      <c r="B1123" s="27" t="s">
        <v>958</v>
      </c>
      <c r="C1123" s="28" t="s">
        <v>970</v>
      </c>
      <c r="D1123" s="29" t="s">
        <v>1004</v>
      </c>
      <c r="E1123" s="30" t="s">
        <v>387</v>
      </c>
      <c r="F1123" s="28" t="s">
        <v>356</v>
      </c>
      <c r="G1123" s="30" t="s">
        <v>1079</v>
      </c>
      <c r="H1123" t="str">
        <f>CONCATENATE(Prequal[[#This Row],[CITY]], ", ",Prequal[[#This Row],[STATE]])</f>
        <v>Belleville, IL</v>
      </c>
    </row>
    <row r="1124" spans="2:8" x14ac:dyDescent="0.2">
      <c r="B1124" s="27" t="s">
        <v>149</v>
      </c>
      <c r="C1124" s="28" t="s">
        <v>969</v>
      </c>
      <c r="D1124" s="29" t="s">
        <v>36</v>
      </c>
      <c r="E1124" s="30" t="s">
        <v>947</v>
      </c>
      <c r="F1124" s="28" t="s">
        <v>356</v>
      </c>
      <c r="G1124" s="30" t="s">
        <v>636</v>
      </c>
      <c r="H1124" t="str">
        <f>CONCATENATE(Prequal[[#This Row],[CITY]], ", ",Prequal[[#This Row],[STATE]])</f>
        <v>Chicago, IL</v>
      </c>
    </row>
    <row r="1125" spans="2:8" x14ac:dyDescent="0.2">
      <c r="B1125" s="27" t="s">
        <v>149</v>
      </c>
      <c r="C1125" s="28" t="s">
        <v>969</v>
      </c>
      <c r="D1125" s="29" t="s">
        <v>43</v>
      </c>
      <c r="E1125" s="30" t="s">
        <v>947</v>
      </c>
      <c r="F1125" s="28" t="s">
        <v>356</v>
      </c>
      <c r="G1125" s="30" t="s">
        <v>636</v>
      </c>
      <c r="H1125" t="str">
        <f>CONCATENATE(Prequal[[#This Row],[CITY]], ", ",Prequal[[#This Row],[STATE]])</f>
        <v>Chicago, IL</v>
      </c>
    </row>
    <row r="1126" spans="2:8" x14ac:dyDescent="0.2">
      <c r="B1126" s="27" t="s">
        <v>149</v>
      </c>
      <c r="C1126" s="28" t="s">
        <v>969</v>
      </c>
      <c r="D1126" s="29" t="s">
        <v>4</v>
      </c>
      <c r="E1126" s="30" t="s">
        <v>947</v>
      </c>
      <c r="F1126" s="28" t="s">
        <v>356</v>
      </c>
      <c r="G1126" s="30" t="s">
        <v>636</v>
      </c>
      <c r="H1126" t="str">
        <f>CONCATENATE(Prequal[[#This Row],[CITY]], ", ",Prequal[[#This Row],[STATE]])</f>
        <v>Chicago, IL</v>
      </c>
    </row>
    <row r="1127" spans="2:8" x14ac:dyDescent="0.2">
      <c r="B1127" s="27" t="s">
        <v>149</v>
      </c>
      <c r="C1127" s="28" t="s">
        <v>969</v>
      </c>
      <c r="D1127" s="29" t="s">
        <v>5</v>
      </c>
      <c r="E1127" s="30" t="s">
        <v>947</v>
      </c>
      <c r="F1127" s="28" t="s">
        <v>356</v>
      </c>
      <c r="G1127" s="30" t="s">
        <v>636</v>
      </c>
      <c r="H1127" t="str">
        <f>CONCATENATE(Prequal[[#This Row],[CITY]], ", ",Prequal[[#This Row],[STATE]])</f>
        <v>Chicago, IL</v>
      </c>
    </row>
    <row r="1128" spans="2:8" x14ac:dyDescent="0.2">
      <c r="B1128" s="27" t="s">
        <v>149</v>
      </c>
      <c r="C1128" s="28" t="s">
        <v>969</v>
      </c>
      <c r="D1128" s="29" t="s">
        <v>6</v>
      </c>
      <c r="E1128" s="30" t="s">
        <v>947</v>
      </c>
      <c r="F1128" s="28" t="s">
        <v>356</v>
      </c>
      <c r="G1128" s="30" t="s">
        <v>636</v>
      </c>
      <c r="H1128" t="str">
        <f>CONCATENATE(Prequal[[#This Row],[CITY]], ", ",Prequal[[#This Row],[STATE]])</f>
        <v>Chicago, IL</v>
      </c>
    </row>
    <row r="1129" spans="2:8" x14ac:dyDescent="0.2">
      <c r="B1129" s="27" t="s">
        <v>149</v>
      </c>
      <c r="C1129" s="28" t="s">
        <v>969</v>
      </c>
      <c r="D1129" s="29" t="s">
        <v>7</v>
      </c>
      <c r="E1129" s="30" t="s">
        <v>947</v>
      </c>
      <c r="F1129" s="28" t="s">
        <v>356</v>
      </c>
      <c r="G1129" s="30" t="s">
        <v>636</v>
      </c>
      <c r="H1129" t="str">
        <f>CONCATENATE(Prequal[[#This Row],[CITY]], ", ",Prequal[[#This Row],[STATE]])</f>
        <v>Chicago, IL</v>
      </c>
    </row>
    <row r="1130" spans="2:8" x14ac:dyDescent="0.2">
      <c r="B1130" s="27" t="s">
        <v>149</v>
      </c>
      <c r="C1130" s="28" t="s">
        <v>969</v>
      </c>
      <c r="D1130" s="29" t="s">
        <v>8</v>
      </c>
      <c r="E1130" s="30" t="s">
        <v>947</v>
      </c>
      <c r="F1130" s="28" t="s">
        <v>356</v>
      </c>
      <c r="G1130" s="30" t="s">
        <v>636</v>
      </c>
      <c r="H1130" t="str">
        <f>CONCATENATE(Prequal[[#This Row],[CITY]], ", ",Prequal[[#This Row],[STATE]])</f>
        <v>Chicago, IL</v>
      </c>
    </row>
    <row r="1131" spans="2:8" x14ac:dyDescent="0.2">
      <c r="B1131" s="27" t="s">
        <v>149</v>
      </c>
      <c r="C1131" s="28" t="s">
        <v>969</v>
      </c>
      <c r="D1131" s="29" t="s">
        <v>24</v>
      </c>
      <c r="E1131" s="30" t="s">
        <v>947</v>
      </c>
      <c r="F1131" s="28" t="s">
        <v>356</v>
      </c>
      <c r="G1131" s="30" t="s">
        <v>636</v>
      </c>
      <c r="H1131" t="str">
        <f>CONCATENATE(Prequal[[#This Row],[CITY]], ", ",Prequal[[#This Row],[STATE]])</f>
        <v>Chicago, IL</v>
      </c>
    </row>
    <row r="1132" spans="2:8" x14ac:dyDescent="0.2">
      <c r="B1132" s="27" t="s">
        <v>149</v>
      </c>
      <c r="C1132" s="28" t="s">
        <v>969</v>
      </c>
      <c r="D1132" s="29" t="s">
        <v>25</v>
      </c>
      <c r="E1132" s="30" t="s">
        <v>947</v>
      </c>
      <c r="F1132" s="28" t="s">
        <v>356</v>
      </c>
      <c r="G1132" s="30" t="s">
        <v>636</v>
      </c>
      <c r="H1132" t="str">
        <f>CONCATENATE(Prequal[[#This Row],[CITY]], ", ",Prequal[[#This Row],[STATE]])</f>
        <v>Chicago, IL</v>
      </c>
    </row>
    <row r="1133" spans="2:8" x14ac:dyDescent="0.2">
      <c r="B1133" s="27" t="s">
        <v>149</v>
      </c>
      <c r="C1133" s="28" t="s">
        <v>969</v>
      </c>
      <c r="D1133" s="29" t="s">
        <v>9</v>
      </c>
      <c r="E1133" s="30" t="s">
        <v>947</v>
      </c>
      <c r="F1133" s="28" t="s">
        <v>356</v>
      </c>
      <c r="G1133" s="30" t="s">
        <v>636</v>
      </c>
      <c r="H1133" t="str">
        <f>CONCATENATE(Prequal[[#This Row],[CITY]], ", ",Prequal[[#This Row],[STATE]])</f>
        <v>Chicago, IL</v>
      </c>
    </row>
    <row r="1134" spans="2:8" x14ac:dyDescent="0.2">
      <c r="B1134" s="27" t="s">
        <v>149</v>
      </c>
      <c r="C1134" s="28" t="s">
        <v>969</v>
      </c>
      <c r="D1134" s="29" t="s">
        <v>49</v>
      </c>
      <c r="E1134" s="30" t="s">
        <v>947</v>
      </c>
      <c r="F1134" s="28" t="s">
        <v>356</v>
      </c>
      <c r="G1134" s="30" t="s">
        <v>636</v>
      </c>
      <c r="H1134" t="str">
        <f>CONCATENATE(Prequal[[#This Row],[CITY]], ", ",Prequal[[#This Row],[STATE]])</f>
        <v>Chicago, IL</v>
      </c>
    </row>
    <row r="1135" spans="2:8" x14ac:dyDescent="0.2">
      <c r="B1135" s="27" t="s">
        <v>149</v>
      </c>
      <c r="C1135" s="28" t="s">
        <v>969</v>
      </c>
      <c r="D1135" s="29" t="s">
        <v>27</v>
      </c>
      <c r="E1135" s="30" t="s">
        <v>947</v>
      </c>
      <c r="F1135" s="28" t="s">
        <v>356</v>
      </c>
      <c r="G1135" s="30" t="s">
        <v>636</v>
      </c>
      <c r="H1135" t="str">
        <f>CONCATENATE(Prequal[[#This Row],[CITY]], ", ",Prequal[[#This Row],[STATE]])</f>
        <v>Chicago, IL</v>
      </c>
    </row>
    <row r="1136" spans="2:8" x14ac:dyDescent="0.2">
      <c r="B1136" s="27" t="s">
        <v>149</v>
      </c>
      <c r="C1136" s="28" t="s">
        <v>969</v>
      </c>
      <c r="D1136" s="29" t="s">
        <v>59</v>
      </c>
      <c r="E1136" s="30" t="s">
        <v>947</v>
      </c>
      <c r="F1136" s="28" t="s">
        <v>356</v>
      </c>
      <c r="G1136" s="30" t="s">
        <v>636</v>
      </c>
      <c r="H1136" t="str">
        <f>CONCATENATE(Prequal[[#This Row],[CITY]], ", ",Prequal[[#This Row],[STATE]])</f>
        <v>Chicago, IL</v>
      </c>
    </row>
    <row r="1137" spans="2:8" x14ac:dyDescent="0.2">
      <c r="B1137" s="27" t="s">
        <v>149</v>
      </c>
      <c r="C1137" s="28" t="s">
        <v>969</v>
      </c>
      <c r="D1137" s="29" t="s">
        <v>10</v>
      </c>
      <c r="E1137" s="30" t="s">
        <v>947</v>
      </c>
      <c r="F1137" s="28" t="s">
        <v>356</v>
      </c>
      <c r="G1137" s="30" t="s">
        <v>636</v>
      </c>
      <c r="H1137" t="str">
        <f>CONCATENATE(Prequal[[#This Row],[CITY]], ", ",Prequal[[#This Row],[STATE]])</f>
        <v>Chicago, IL</v>
      </c>
    </row>
    <row r="1138" spans="2:8" x14ac:dyDescent="0.2">
      <c r="B1138" s="27" t="s">
        <v>149</v>
      </c>
      <c r="C1138" s="28" t="s">
        <v>969</v>
      </c>
      <c r="D1138" s="29" t="s">
        <v>21</v>
      </c>
      <c r="E1138" s="30" t="s">
        <v>947</v>
      </c>
      <c r="F1138" s="28" t="s">
        <v>356</v>
      </c>
      <c r="G1138" s="30" t="s">
        <v>636</v>
      </c>
      <c r="H1138" t="str">
        <f>CONCATENATE(Prequal[[#This Row],[CITY]], ", ",Prequal[[#This Row],[STATE]])</f>
        <v>Chicago, IL</v>
      </c>
    </row>
    <row r="1139" spans="2:8" x14ac:dyDescent="0.2">
      <c r="B1139" s="27" t="s">
        <v>149</v>
      </c>
      <c r="C1139" s="28" t="s">
        <v>969</v>
      </c>
      <c r="D1139" s="29" t="s">
        <v>11</v>
      </c>
      <c r="E1139" s="30" t="s">
        <v>947</v>
      </c>
      <c r="F1139" s="28" t="s">
        <v>356</v>
      </c>
      <c r="G1139" s="30" t="s">
        <v>636</v>
      </c>
      <c r="H1139" t="str">
        <f>CONCATENATE(Prequal[[#This Row],[CITY]], ", ",Prequal[[#This Row],[STATE]])</f>
        <v>Chicago, IL</v>
      </c>
    </row>
    <row r="1140" spans="2:8" x14ac:dyDescent="0.2">
      <c r="B1140" s="27" t="s">
        <v>149</v>
      </c>
      <c r="C1140" s="28" t="s">
        <v>969</v>
      </c>
      <c r="D1140" s="29" t="s">
        <v>22</v>
      </c>
      <c r="E1140" s="30" t="s">
        <v>947</v>
      </c>
      <c r="F1140" s="28" t="s">
        <v>356</v>
      </c>
      <c r="G1140" s="30" t="s">
        <v>636</v>
      </c>
      <c r="H1140" t="str">
        <f>CONCATENATE(Prequal[[#This Row],[CITY]], ", ",Prequal[[#This Row],[STATE]])</f>
        <v>Chicago, IL</v>
      </c>
    </row>
    <row r="1141" spans="2:8" x14ac:dyDescent="0.2">
      <c r="B1141" s="27" t="s">
        <v>149</v>
      </c>
      <c r="C1141" s="28" t="s">
        <v>969</v>
      </c>
      <c r="D1141" s="29" t="s">
        <v>39</v>
      </c>
      <c r="E1141" s="30" t="s">
        <v>947</v>
      </c>
      <c r="F1141" s="28" t="s">
        <v>356</v>
      </c>
      <c r="G1141" s="30" t="s">
        <v>636</v>
      </c>
      <c r="H1141" t="str">
        <f>CONCATENATE(Prequal[[#This Row],[CITY]], ", ",Prequal[[#This Row],[STATE]])</f>
        <v>Chicago, IL</v>
      </c>
    </row>
    <row r="1142" spans="2:8" x14ac:dyDescent="0.2">
      <c r="B1142" s="27" t="s">
        <v>149</v>
      </c>
      <c r="C1142" s="28" t="s">
        <v>969</v>
      </c>
      <c r="D1142" s="29" t="s">
        <v>29</v>
      </c>
      <c r="E1142" s="30" t="s">
        <v>947</v>
      </c>
      <c r="F1142" s="28" t="s">
        <v>356</v>
      </c>
      <c r="G1142" s="30" t="s">
        <v>636</v>
      </c>
      <c r="H1142" t="str">
        <f>CONCATENATE(Prequal[[#This Row],[CITY]], ", ",Prequal[[#This Row],[STATE]])</f>
        <v>Chicago, IL</v>
      </c>
    </row>
    <row r="1143" spans="2:8" x14ac:dyDescent="0.2">
      <c r="B1143" s="27" t="s">
        <v>149</v>
      </c>
      <c r="C1143" s="28" t="s">
        <v>969</v>
      </c>
      <c r="D1143" s="29" t="s">
        <v>37</v>
      </c>
      <c r="E1143" s="30" t="s">
        <v>947</v>
      </c>
      <c r="F1143" s="28" t="s">
        <v>356</v>
      </c>
      <c r="G1143" s="30" t="s">
        <v>636</v>
      </c>
      <c r="H1143" t="str">
        <f>CONCATENATE(Prequal[[#This Row],[CITY]], ", ",Prequal[[#This Row],[STATE]])</f>
        <v>Chicago, IL</v>
      </c>
    </row>
    <row r="1144" spans="2:8" x14ac:dyDescent="0.2">
      <c r="B1144" s="27" t="s">
        <v>149</v>
      </c>
      <c r="C1144" s="28" t="s">
        <v>969</v>
      </c>
      <c r="D1144" s="29" t="s">
        <v>13</v>
      </c>
      <c r="E1144" s="30" t="s">
        <v>947</v>
      </c>
      <c r="F1144" s="28" t="s">
        <v>356</v>
      </c>
      <c r="G1144" s="30" t="s">
        <v>636</v>
      </c>
      <c r="H1144" t="str">
        <f>CONCATENATE(Prequal[[#This Row],[CITY]], ", ",Prequal[[#This Row],[STATE]])</f>
        <v>Chicago, IL</v>
      </c>
    </row>
    <row r="1145" spans="2:8" x14ac:dyDescent="0.2">
      <c r="B1145" s="27" t="s">
        <v>149</v>
      </c>
      <c r="C1145" s="28" t="s">
        <v>969</v>
      </c>
      <c r="D1145" s="29" t="s">
        <v>14</v>
      </c>
      <c r="E1145" s="30" t="s">
        <v>947</v>
      </c>
      <c r="F1145" s="28" t="s">
        <v>356</v>
      </c>
      <c r="G1145" s="30" t="s">
        <v>636</v>
      </c>
      <c r="H1145" t="str">
        <f>CONCATENATE(Prequal[[#This Row],[CITY]], ", ",Prequal[[#This Row],[STATE]])</f>
        <v>Chicago, IL</v>
      </c>
    </row>
    <row r="1146" spans="2:8" x14ac:dyDescent="0.2">
      <c r="B1146" s="27" t="s">
        <v>149</v>
      </c>
      <c r="C1146" s="28" t="s">
        <v>969</v>
      </c>
      <c r="D1146" s="29" t="s">
        <v>15</v>
      </c>
      <c r="E1146" s="30" t="s">
        <v>947</v>
      </c>
      <c r="F1146" s="28" t="s">
        <v>356</v>
      </c>
      <c r="G1146" s="30" t="s">
        <v>636</v>
      </c>
      <c r="H1146" t="str">
        <f>CONCATENATE(Prequal[[#This Row],[CITY]], ", ",Prequal[[#This Row],[STATE]])</f>
        <v>Chicago, IL</v>
      </c>
    </row>
    <row r="1147" spans="2:8" x14ac:dyDescent="0.2">
      <c r="B1147" s="27" t="s">
        <v>149</v>
      </c>
      <c r="C1147" s="28" t="s">
        <v>969</v>
      </c>
      <c r="D1147" s="29" t="s">
        <v>30</v>
      </c>
      <c r="E1147" s="30" t="s">
        <v>947</v>
      </c>
      <c r="F1147" s="28" t="s">
        <v>356</v>
      </c>
      <c r="G1147" s="30" t="s">
        <v>636</v>
      </c>
      <c r="H1147" t="str">
        <f>CONCATENATE(Prequal[[#This Row],[CITY]], ", ",Prequal[[#This Row],[STATE]])</f>
        <v>Chicago, IL</v>
      </c>
    </row>
    <row r="1148" spans="2:8" x14ac:dyDescent="0.2">
      <c r="B1148" s="27" t="s">
        <v>149</v>
      </c>
      <c r="C1148" s="28" t="s">
        <v>969</v>
      </c>
      <c r="D1148" s="29" t="s">
        <v>53</v>
      </c>
      <c r="E1148" s="30" t="s">
        <v>947</v>
      </c>
      <c r="F1148" s="28" t="s">
        <v>356</v>
      </c>
      <c r="G1148" s="30" t="s">
        <v>636</v>
      </c>
      <c r="H1148" t="str">
        <f>CONCATENATE(Prequal[[#This Row],[CITY]], ", ",Prequal[[#This Row],[STATE]])</f>
        <v>Chicago, IL</v>
      </c>
    </row>
    <row r="1149" spans="2:8" x14ac:dyDescent="0.2">
      <c r="B1149" s="27" t="s">
        <v>149</v>
      </c>
      <c r="C1149" s="28" t="s">
        <v>969</v>
      </c>
      <c r="D1149" s="29" t="s">
        <v>31</v>
      </c>
      <c r="E1149" s="30" t="s">
        <v>947</v>
      </c>
      <c r="F1149" s="28" t="s">
        <v>356</v>
      </c>
      <c r="G1149" s="30" t="s">
        <v>636</v>
      </c>
      <c r="H1149" t="str">
        <f>CONCATENATE(Prequal[[#This Row],[CITY]], ", ",Prequal[[#This Row],[STATE]])</f>
        <v>Chicago, IL</v>
      </c>
    </row>
    <row r="1150" spans="2:8" x14ac:dyDescent="0.2">
      <c r="B1150" s="27" t="s">
        <v>149</v>
      </c>
      <c r="C1150" s="28" t="s">
        <v>969</v>
      </c>
      <c r="D1150" s="29" t="s">
        <v>32</v>
      </c>
      <c r="E1150" s="30" t="s">
        <v>947</v>
      </c>
      <c r="F1150" s="28" t="s">
        <v>356</v>
      </c>
      <c r="G1150" s="30" t="s">
        <v>636</v>
      </c>
      <c r="H1150" t="str">
        <f>CONCATENATE(Prequal[[#This Row],[CITY]], ", ",Prequal[[#This Row],[STATE]])</f>
        <v>Chicago, IL</v>
      </c>
    </row>
    <row r="1151" spans="2:8" x14ac:dyDescent="0.2">
      <c r="B1151" s="27" t="s">
        <v>149</v>
      </c>
      <c r="C1151" s="28" t="s">
        <v>969</v>
      </c>
      <c r="D1151" s="29" t="s">
        <v>54</v>
      </c>
      <c r="E1151" s="30" t="s">
        <v>947</v>
      </c>
      <c r="F1151" s="28" t="s">
        <v>356</v>
      </c>
      <c r="G1151" s="30" t="s">
        <v>636</v>
      </c>
      <c r="H1151" t="str">
        <f>CONCATENATE(Prequal[[#This Row],[CITY]], ", ",Prequal[[#This Row],[STATE]])</f>
        <v>Chicago, IL</v>
      </c>
    </row>
    <row r="1152" spans="2:8" x14ac:dyDescent="0.2">
      <c r="B1152" s="27" t="s">
        <v>149</v>
      </c>
      <c r="C1152" s="28" t="s">
        <v>969</v>
      </c>
      <c r="D1152" s="29" t="s">
        <v>38</v>
      </c>
      <c r="E1152" s="30" t="s">
        <v>947</v>
      </c>
      <c r="F1152" s="28" t="s">
        <v>356</v>
      </c>
      <c r="G1152" s="30" t="s">
        <v>636</v>
      </c>
      <c r="H1152" t="str">
        <f>CONCATENATE(Prequal[[#This Row],[CITY]], ", ",Prequal[[#This Row],[STATE]])</f>
        <v>Chicago, IL</v>
      </c>
    </row>
    <row r="1153" spans="2:8" x14ac:dyDescent="0.2">
      <c r="B1153" s="27" t="s">
        <v>149</v>
      </c>
      <c r="C1153" s="28" t="s">
        <v>969</v>
      </c>
      <c r="D1153" s="29" t="s">
        <v>55</v>
      </c>
      <c r="E1153" s="30" t="s">
        <v>947</v>
      </c>
      <c r="F1153" s="28" t="s">
        <v>356</v>
      </c>
      <c r="G1153" s="30" t="s">
        <v>636</v>
      </c>
      <c r="H1153" t="str">
        <f>CONCATENATE(Prequal[[#This Row],[CITY]], ", ",Prequal[[#This Row],[STATE]])</f>
        <v>Chicago, IL</v>
      </c>
    </row>
    <row r="1154" spans="2:8" x14ac:dyDescent="0.2">
      <c r="B1154" s="27" t="s">
        <v>149</v>
      </c>
      <c r="C1154" s="28" t="s">
        <v>969</v>
      </c>
      <c r="D1154" s="29" t="s">
        <v>56</v>
      </c>
      <c r="E1154" s="30" t="s">
        <v>947</v>
      </c>
      <c r="F1154" s="28" t="s">
        <v>356</v>
      </c>
      <c r="G1154" s="30" t="s">
        <v>636</v>
      </c>
      <c r="H1154" t="str">
        <f>CONCATENATE(Prequal[[#This Row],[CITY]], ", ",Prequal[[#This Row],[STATE]])</f>
        <v>Chicago, IL</v>
      </c>
    </row>
    <row r="1155" spans="2:8" x14ac:dyDescent="0.2">
      <c r="B1155" s="27" t="s">
        <v>149</v>
      </c>
      <c r="C1155" s="28" t="s">
        <v>969</v>
      </c>
      <c r="D1155" s="29" t="s">
        <v>33</v>
      </c>
      <c r="E1155" s="30" t="s">
        <v>947</v>
      </c>
      <c r="F1155" s="28" t="s">
        <v>356</v>
      </c>
      <c r="G1155" s="30" t="s">
        <v>636</v>
      </c>
      <c r="H1155" t="str">
        <f>CONCATENATE(Prequal[[#This Row],[CITY]], ", ",Prequal[[#This Row],[STATE]])</f>
        <v>Chicago, IL</v>
      </c>
    </row>
    <row r="1156" spans="2:8" x14ac:dyDescent="0.2">
      <c r="B1156" s="27" t="s">
        <v>150</v>
      </c>
      <c r="C1156" s="28" t="s">
        <v>970</v>
      </c>
      <c r="D1156" s="29" t="s">
        <v>21</v>
      </c>
      <c r="E1156" s="30" t="s">
        <v>947</v>
      </c>
      <c r="F1156" s="28" t="s">
        <v>356</v>
      </c>
      <c r="G1156" s="30" t="s">
        <v>637</v>
      </c>
      <c r="H1156" t="str">
        <f>CONCATENATE(Prequal[[#This Row],[CITY]], ", ",Prequal[[#This Row],[STATE]])</f>
        <v>Chicago, IL</v>
      </c>
    </row>
    <row r="1157" spans="2:8" x14ac:dyDescent="0.2">
      <c r="B1157" s="27" t="s">
        <v>151</v>
      </c>
      <c r="C1157" s="28" t="s">
        <v>969</v>
      </c>
      <c r="D1157" s="29" t="s">
        <v>36</v>
      </c>
      <c r="E1157" s="30" t="s">
        <v>415</v>
      </c>
      <c r="F1157" s="28" t="s">
        <v>356</v>
      </c>
      <c r="G1157" s="30" t="s">
        <v>638</v>
      </c>
      <c r="H1157" t="str">
        <f>CONCATENATE(Prequal[[#This Row],[CITY]], ", ",Prequal[[#This Row],[STATE]])</f>
        <v>Bloomington, IL</v>
      </c>
    </row>
    <row r="1158" spans="2:8" x14ac:dyDescent="0.2">
      <c r="B1158" s="27" t="s">
        <v>151</v>
      </c>
      <c r="C1158" s="28" t="s">
        <v>969</v>
      </c>
      <c r="D1158" s="29" t="s">
        <v>43</v>
      </c>
      <c r="E1158" s="30" t="s">
        <v>415</v>
      </c>
      <c r="F1158" s="28" t="s">
        <v>356</v>
      </c>
      <c r="G1158" s="30" t="s">
        <v>638</v>
      </c>
      <c r="H1158" t="str">
        <f>CONCATENATE(Prequal[[#This Row],[CITY]], ", ",Prequal[[#This Row],[STATE]])</f>
        <v>Bloomington, IL</v>
      </c>
    </row>
    <row r="1159" spans="2:8" x14ac:dyDescent="0.2">
      <c r="B1159" s="27" t="s">
        <v>151</v>
      </c>
      <c r="C1159" s="28" t="s">
        <v>969</v>
      </c>
      <c r="D1159" s="29" t="s">
        <v>4</v>
      </c>
      <c r="E1159" s="30" t="s">
        <v>415</v>
      </c>
      <c r="F1159" s="28" t="s">
        <v>356</v>
      </c>
      <c r="G1159" s="30" t="s">
        <v>638</v>
      </c>
      <c r="H1159" t="str">
        <f>CONCATENATE(Prequal[[#This Row],[CITY]], ", ",Prequal[[#This Row],[STATE]])</f>
        <v>Bloomington, IL</v>
      </c>
    </row>
    <row r="1160" spans="2:8" x14ac:dyDescent="0.2">
      <c r="B1160" s="27" t="s">
        <v>151</v>
      </c>
      <c r="C1160" s="28" t="s">
        <v>969</v>
      </c>
      <c r="D1160" s="29" t="s">
        <v>5</v>
      </c>
      <c r="E1160" s="30" t="s">
        <v>415</v>
      </c>
      <c r="F1160" s="28" t="s">
        <v>356</v>
      </c>
      <c r="G1160" s="30" t="s">
        <v>638</v>
      </c>
      <c r="H1160" t="str">
        <f>CONCATENATE(Prequal[[#This Row],[CITY]], ", ",Prequal[[#This Row],[STATE]])</f>
        <v>Bloomington, IL</v>
      </c>
    </row>
    <row r="1161" spans="2:8" x14ac:dyDescent="0.2">
      <c r="B1161" s="27" t="s">
        <v>151</v>
      </c>
      <c r="C1161" s="28" t="s">
        <v>969</v>
      </c>
      <c r="D1161" s="29" t="s">
        <v>7</v>
      </c>
      <c r="E1161" s="30" t="s">
        <v>415</v>
      </c>
      <c r="F1161" s="28" t="s">
        <v>356</v>
      </c>
      <c r="G1161" s="30" t="s">
        <v>638</v>
      </c>
      <c r="H1161" t="str">
        <f>CONCATENATE(Prequal[[#This Row],[CITY]], ", ",Prequal[[#This Row],[STATE]])</f>
        <v>Bloomington, IL</v>
      </c>
    </row>
    <row r="1162" spans="2:8" x14ac:dyDescent="0.2">
      <c r="B1162" s="27" t="s">
        <v>151</v>
      </c>
      <c r="C1162" s="28" t="s">
        <v>969</v>
      </c>
      <c r="D1162" s="29" t="s">
        <v>8</v>
      </c>
      <c r="E1162" s="30" t="s">
        <v>415</v>
      </c>
      <c r="F1162" s="28" t="s">
        <v>356</v>
      </c>
      <c r="G1162" s="30" t="s">
        <v>638</v>
      </c>
      <c r="H1162" t="str">
        <f>CONCATENATE(Prequal[[#This Row],[CITY]], ", ",Prequal[[#This Row],[STATE]])</f>
        <v>Bloomington, IL</v>
      </c>
    </row>
    <row r="1163" spans="2:8" x14ac:dyDescent="0.2">
      <c r="B1163" s="27" t="s">
        <v>151</v>
      </c>
      <c r="C1163" s="28" t="s">
        <v>969</v>
      </c>
      <c r="D1163" s="29" t="s">
        <v>24</v>
      </c>
      <c r="E1163" s="30" t="s">
        <v>415</v>
      </c>
      <c r="F1163" s="28" t="s">
        <v>356</v>
      </c>
      <c r="G1163" s="30" t="s">
        <v>638</v>
      </c>
      <c r="H1163" t="str">
        <f>CONCATENATE(Prequal[[#This Row],[CITY]], ", ",Prequal[[#This Row],[STATE]])</f>
        <v>Bloomington, IL</v>
      </c>
    </row>
    <row r="1164" spans="2:8" x14ac:dyDescent="0.2">
      <c r="B1164" s="27" t="s">
        <v>151</v>
      </c>
      <c r="C1164" s="28" t="s">
        <v>969</v>
      </c>
      <c r="D1164" s="29" t="s">
        <v>25</v>
      </c>
      <c r="E1164" s="30" t="s">
        <v>415</v>
      </c>
      <c r="F1164" s="28" t="s">
        <v>356</v>
      </c>
      <c r="G1164" s="30" t="s">
        <v>638</v>
      </c>
      <c r="H1164" t="str">
        <f>CONCATENATE(Prequal[[#This Row],[CITY]], ", ",Prequal[[#This Row],[STATE]])</f>
        <v>Bloomington, IL</v>
      </c>
    </row>
    <row r="1165" spans="2:8" x14ac:dyDescent="0.2">
      <c r="B1165" s="27" t="s">
        <v>151</v>
      </c>
      <c r="C1165" s="28" t="s">
        <v>969</v>
      </c>
      <c r="D1165" s="29" t="s">
        <v>9</v>
      </c>
      <c r="E1165" s="30" t="s">
        <v>415</v>
      </c>
      <c r="F1165" s="28" t="s">
        <v>356</v>
      </c>
      <c r="G1165" s="30" t="s">
        <v>638</v>
      </c>
      <c r="H1165" t="str">
        <f>CONCATENATE(Prequal[[#This Row],[CITY]], ", ",Prequal[[#This Row],[STATE]])</f>
        <v>Bloomington, IL</v>
      </c>
    </row>
    <row r="1166" spans="2:8" x14ac:dyDescent="0.2">
      <c r="B1166" s="27" t="s">
        <v>151</v>
      </c>
      <c r="C1166" s="28" t="s">
        <v>969</v>
      </c>
      <c r="D1166" s="29" t="s">
        <v>20</v>
      </c>
      <c r="E1166" s="30" t="s">
        <v>415</v>
      </c>
      <c r="F1166" s="28" t="s">
        <v>356</v>
      </c>
      <c r="G1166" s="30" t="s">
        <v>638</v>
      </c>
      <c r="H1166" t="str">
        <f>CONCATENATE(Prequal[[#This Row],[CITY]], ", ",Prequal[[#This Row],[STATE]])</f>
        <v>Bloomington, IL</v>
      </c>
    </row>
    <row r="1167" spans="2:8" x14ac:dyDescent="0.2">
      <c r="B1167" s="27" t="s">
        <v>151</v>
      </c>
      <c r="C1167" s="28" t="s">
        <v>969</v>
      </c>
      <c r="D1167" s="29" t="s">
        <v>49</v>
      </c>
      <c r="E1167" s="30" t="s">
        <v>415</v>
      </c>
      <c r="F1167" s="28" t="s">
        <v>356</v>
      </c>
      <c r="G1167" s="30" t="s">
        <v>638</v>
      </c>
      <c r="H1167" t="str">
        <f>CONCATENATE(Prequal[[#This Row],[CITY]], ", ",Prequal[[#This Row],[STATE]])</f>
        <v>Bloomington, IL</v>
      </c>
    </row>
    <row r="1168" spans="2:8" x14ac:dyDescent="0.2">
      <c r="B1168" s="27" t="s">
        <v>151</v>
      </c>
      <c r="C1168" s="28" t="s">
        <v>969</v>
      </c>
      <c r="D1168" s="29" t="s">
        <v>27</v>
      </c>
      <c r="E1168" s="30" t="s">
        <v>415</v>
      </c>
      <c r="F1168" s="28" t="s">
        <v>356</v>
      </c>
      <c r="G1168" s="30" t="s">
        <v>638</v>
      </c>
      <c r="H1168" t="str">
        <f>CONCATENATE(Prequal[[#This Row],[CITY]], ", ",Prequal[[#This Row],[STATE]])</f>
        <v>Bloomington, IL</v>
      </c>
    </row>
    <row r="1169" spans="2:8" x14ac:dyDescent="0.2">
      <c r="B1169" s="27" t="s">
        <v>151</v>
      </c>
      <c r="C1169" s="28" t="s">
        <v>969</v>
      </c>
      <c r="D1169" s="29" t="s">
        <v>81</v>
      </c>
      <c r="E1169" s="30" t="s">
        <v>415</v>
      </c>
      <c r="F1169" s="28" t="s">
        <v>356</v>
      </c>
      <c r="G1169" s="30" t="s">
        <v>638</v>
      </c>
      <c r="H1169" t="str">
        <f>CONCATENATE(Prequal[[#This Row],[CITY]], ", ",Prequal[[#This Row],[STATE]])</f>
        <v>Bloomington, IL</v>
      </c>
    </row>
    <row r="1170" spans="2:8" x14ac:dyDescent="0.2">
      <c r="B1170" s="27" t="s">
        <v>151</v>
      </c>
      <c r="C1170" s="28" t="s">
        <v>969</v>
      </c>
      <c r="D1170" s="29" t="s">
        <v>59</v>
      </c>
      <c r="E1170" s="30" t="s">
        <v>415</v>
      </c>
      <c r="F1170" s="28" t="s">
        <v>356</v>
      </c>
      <c r="G1170" s="30" t="s">
        <v>638</v>
      </c>
      <c r="H1170" t="str">
        <f>CONCATENATE(Prequal[[#This Row],[CITY]], ", ",Prequal[[#This Row],[STATE]])</f>
        <v>Bloomington, IL</v>
      </c>
    </row>
    <row r="1171" spans="2:8" x14ac:dyDescent="0.2">
      <c r="B1171" s="27" t="s">
        <v>151</v>
      </c>
      <c r="C1171" s="28" t="s">
        <v>969</v>
      </c>
      <c r="D1171" s="29" t="s">
        <v>10</v>
      </c>
      <c r="E1171" s="30" t="s">
        <v>415</v>
      </c>
      <c r="F1171" s="28" t="s">
        <v>356</v>
      </c>
      <c r="G1171" s="30" t="s">
        <v>638</v>
      </c>
      <c r="H1171" t="str">
        <f>CONCATENATE(Prequal[[#This Row],[CITY]], ", ",Prequal[[#This Row],[STATE]])</f>
        <v>Bloomington, IL</v>
      </c>
    </row>
    <row r="1172" spans="2:8" x14ac:dyDescent="0.2">
      <c r="B1172" s="27" t="s">
        <v>151</v>
      </c>
      <c r="C1172" s="28" t="s">
        <v>969</v>
      </c>
      <c r="D1172" s="29" t="s">
        <v>21</v>
      </c>
      <c r="E1172" s="30" t="s">
        <v>415</v>
      </c>
      <c r="F1172" s="28" t="s">
        <v>356</v>
      </c>
      <c r="G1172" s="30" t="s">
        <v>638</v>
      </c>
      <c r="H1172" t="str">
        <f>CONCATENATE(Prequal[[#This Row],[CITY]], ", ",Prequal[[#This Row],[STATE]])</f>
        <v>Bloomington, IL</v>
      </c>
    </row>
    <row r="1173" spans="2:8" x14ac:dyDescent="0.2">
      <c r="B1173" s="27" t="s">
        <v>151</v>
      </c>
      <c r="C1173" s="28" t="s">
        <v>969</v>
      </c>
      <c r="D1173" s="29" t="s">
        <v>11</v>
      </c>
      <c r="E1173" s="30" t="s">
        <v>415</v>
      </c>
      <c r="F1173" s="28" t="s">
        <v>356</v>
      </c>
      <c r="G1173" s="30" t="s">
        <v>638</v>
      </c>
      <c r="H1173" t="str">
        <f>CONCATENATE(Prequal[[#This Row],[CITY]], ", ",Prequal[[#This Row],[STATE]])</f>
        <v>Bloomington, IL</v>
      </c>
    </row>
    <row r="1174" spans="2:8" x14ac:dyDescent="0.2">
      <c r="B1174" s="27" t="s">
        <v>151</v>
      </c>
      <c r="C1174" s="28" t="s">
        <v>969</v>
      </c>
      <c r="D1174" s="29" t="s">
        <v>22</v>
      </c>
      <c r="E1174" s="30" t="s">
        <v>415</v>
      </c>
      <c r="F1174" s="28" t="s">
        <v>356</v>
      </c>
      <c r="G1174" s="30" t="s">
        <v>638</v>
      </c>
      <c r="H1174" t="str">
        <f>CONCATENATE(Prequal[[#This Row],[CITY]], ", ",Prequal[[#This Row],[STATE]])</f>
        <v>Bloomington, IL</v>
      </c>
    </row>
    <row r="1175" spans="2:8" x14ac:dyDescent="0.2">
      <c r="B1175" s="27" t="s">
        <v>151</v>
      </c>
      <c r="C1175" s="28" t="s">
        <v>969</v>
      </c>
      <c r="D1175" s="29" t="s">
        <v>51</v>
      </c>
      <c r="E1175" s="30" t="s">
        <v>415</v>
      </c>
      <c r="F1175" s="28" t="s">
        <v>356</v>
      </c>
      <c r="G1175" s="30" t="s">
        <v>638</v>
      </c>
      <c r="H1175" t="str">
        <f>CONCATENATE(Prequal[[#This Row],[CITY]], ", ",Prequal[[#This Row],[STATE]])</f>
        <v>Bloomington, IL</v>
      </c>
    </row>
    <row r="1176" spans="2:8" x14ac:dyDescent="0.2">
      <c r="B1176" s="27" t="s">
        <v>151</v>
      </c>
      <c r="C1176" s="28" t="s">
        <v>969</v>
      </c>
      <c r="D1176" s="29" t="s">
        <v>12</v>
      </c>
      <c r="E1176" s="30" t="s">
        <v>415</v>
      </c>
      <c r="F1176" s="28" t="s">
        <v>356</v>
      </c>
      <c r="G1176" s="30" t="s">
        <v>638</v>
      </c>
      <c r="H1176" t="str">
        <f>CONCATENATE(Prequal[[#This Row],[CITY]], ", ",Prequal[[#This Row],[STATE]])</f>
        <v>Bloomington, IL</v>
      </c>
    </row>
    <row r="1177" spans="2:8" x14ac:dyDescent="0.2">
      <c r="B1177" s="27" t="s">
        <v>151</v>
      </c>
      <c r="C1177" s="28" t="s">
        <v>969</v>
      </c>
      <c r="D1177" s="29" t="s">
        <v>28</v>
      </c>
      <c r="E1177" s="30" t="s">
        <v>415</v>
      </c>
      <c r="F1177" s="28" t="s">
        <v>356</v>
      </c>
      <c r="G1177" s="30" t="s">
        <v>638</v>
      </c>
      <c r="H1177" t="str">
        <f>CONCATENATE(Prequal[[#This Row],[CITY]], ", ",Prequal[[#This Row],[STATE]])</f>
        <v>Bloomington, IL</v>
      </c>
    </row>
    <row r="1178" spans="2:8" x14ac:dyDescent="0.2">
      <c r="B1178" s="27" t="s">
        <v>151</v>
      </c>
      <c r="C1178" s="28" t="s">
        <v>969</v>
      </c>
      <c r="D1178" s="29" t="s">
        <v>29</v>
      </c>
      <c r="E1178" s="30" t="s">
        <v>415</v>
      </c>
      <c r="F1178" s="28" t="s">
        <v>356</v>
      </c>
      <c r="G1178" s="30" t="s">
        <v>638</v>
      </c>
      <c r="H1178" t="str">
        <f>CONCATENATE(Prequal[[#This Row],[CITY]], ", ",Prequal[[#This Row],[STATE]])</f>
        <v>Bloomington, IL</v>
      </c>
    </row>
    <row r="1179" spans="2:8" x14ac:dyDescent="0.2">
      <c r="B1179" s="27" t="s">
        <v>151</v>
      </c>
      <c r="C1179" s="28" t="s">
        <v>969</v>
      </c>
      <c r="D1179" s="29" t="s">
        <v>37</v>
      </c>
      <c r="E1179" s="30" t="s">
        <v>415</v>
      </c>
      <c r="F1179" s="28" t="s">
        <v>356</v>
      </c>
      <c r="G1179" s="30" t="s">
        <v>638</v>
      </c>
      <c r="H1179" t="str">
        <f>CONCATENATE(Prequal[[#This Row],[CITY]], ", ",Prequal[[#This Row],[STATE]])</f>
        <v>Bloomington, IL</v>
      </c>
    </row>
    <row r="1180" spans="2:8" x14ac:dyDescent="0.2">
      <c r="B1180" s="27" t="s">
        <v>151</v>
      </c>
      <c r="C1180" s="28" t="s">
        <v>969</v>
      </c>
      <c r="D1180" s="29" t="s">
        <v>13</v>
      </c>
      <c r="E1180" s="30" t="s">
        <v>415</v>
      </c>
      <c r="F1180" s="28" t="s">
        <v>356</v>
      </c>
      <c r="G1180" s="30" t="s">
        <v>638</v>
      </c>
      <c r="H1180" t="str">
        <f>CONCATENATE(Prequal[[#This Row],[CITY]], ", ",Prequal[[#This Row],[STATE]])</f>
        <v>Bloomington, IL</v>
      </c>
    </row>
    <row r="1181" spans="2:8" x14ac:dyDescent="0.2">
      <c r="B1181" s="27" t="s">
        <v>151</v>
      </c>
      <c r="C1181" s="28" t="s">
        <v>969</v>
      </c>
      <c r="D1181" s="29" t="s">
        <v>14</v>
      </c>
      <c r="E1181" s="30" t="s">
        <v>415</v>
      </c>
      <c r="F1181" s="28" t="s">
        <v>356</v>
      </c>
      <c r="G1181" s="30" t="s">
        <v>638</v>
      </c>
      <c r="H1181" t="str">
        <f>CONCATENATE(Prequal[[#This Row],[CITY]], ", ",Prequal[[#This Row],[STATE]])</f>
        <v>Bloomington, IL</v>
      </c>
    </row>
    <row r="1182" spans="2:8" x14ac:dyDescent="0.2">
      <c r="B1182" s="27" t="s">
        <v>151</v>
      </c>
      <c r="C1182" s="28" t="s">
        <v>969</v>
      </c>
      <c r="D1182" s="29" t="s">
        <v>15</v>
      </c>
      <c r="E1182" s="30" t="s">
        <v>415</v>
      </c>
      <c r="F1182" s="28" t="s">
        <v>356</v>
      </c>
      <c r="G1182" s="30" t="s">
        <v>638</v>
      </c>
      <c r="H1182" t="str">
        <f>CONCATENATE(Prequal[[#This Row],[CITY]], ", ",Prequal[[#This Row],[STATE]])</f>
        <v>Bloomington, IL</v>
      </c>
    </row>
    <row r="1183" spans="2:8" x14ac:dyDescent="0.2">
      <c r="B1183" s="27" t="s">
        <v>151</v>
      </c>
      <c r="C1183" s="28" t="s">
        <v>969</v>
      </c>
      <c r="D1183" s="29" t="s">
        <v>30</v>
      </c>
      <c r="E1183" s="30" t="s">
        <v>415</v>
      </c>
      <c r="F1183" s="28" t="s">
        <v>356</v>
      </c>
      <c r="G1183" s="30" t="s">
        <v>638</v>
      </c>
      <c r="H1183" t="str">
        <f>CONCATENATE(Prequal[[#This Row],[CITY]], ", ",Prequal[[#This Row],[STATE]])</f>
        <v>Bloomington, IL</v>
      </c>
    </row>
    <row r="1184" spans="2:8" x14ac:dyDescent="0.2">
      <c r="B1184" s="27" t="s">
        <v>151</v>
      </c>
      <c r="C1184" s="28" t="s">
        <v>969</v>
      </c>
      <c r="D1184" s="29" t="s">
        <v>53</v>
      </c>
      <c r="E1184" s="30" t="s">
        <v>415</v>
      </c>
      <c r="F1184" s="28" t="s">
        <v>356</v>
      </c>
      <c r="G1184" s="30" t="s">
        <v>638</v>
      </c>
      <c r="H1184" t="str">
        <f>CONCATENATE(Prequal[[#This Row],[CITY]], ", ",Prequal[[#This Row],[STATE]])</f>
        <v>Bloomington, IL</v>
      </c>
    </row>
    <row r="1185" spans="2:8" x14ac:dyDescent="0.2">
      <c r="B1185" s="27" t="s">
        <v>151</v>
      </c>
      <c r="C1185" s="28" t="s">
        <v>969</v>
      </c>
      <c r="D1185" s="29" t="s">
        <v>31</v>
      </c>
      <c r="E1185" s="30" t="s">
        <v>415</v>
      </c>
      <c r="F1185" s="28" t="s">
        <v>356</v>
      </c>
      <c r="G1185" s="30" t="s">
        <v>638</v>
      </c>
      <c r="H1185" t="str">
        <f>CONCATENATE(Prequal[[#This Row],[CITY]], ", ",Prequal[[#This Row],[STATE]])</f>
        <v>Bloomington, IL</v>
      </c>
    </row>
    <row r="1186" spans="2:8" x14ac:dyDescent="0.2">
      <c r="B1186" s="27" t="s">
        <v>151</v>
      </c>
      <c r="C1186" s="28" t="s">
        <v>969</v>
      </c>
      <c r="D1186" s="29" t="s">
        <v>32</v>
      </c>
      <c r="E1186" s="30" t="s">
        <v>415</v>
      </c>
      <c r="F1186" s="28" t="s">
        <v>356</v>
      </c>
      <c r="G1186" s="30" t="s">
        <v>638</v>
      </c>
      <c r="H1186" t="str">
        <f>CONCATENATE(Prequal[[#This Row],[CITY]], ", ",Prequal[[#This Row],[STATE]])</f>
        <v>Bloomington, IL</v>
      </c>
    </row>
    <row r="1187" spans="2:8" x14ac:dyDescent="0.2">
      <c r="B1187" s="27" t="s">
        <v>151</v>
      </c>
      <c r="C1187" s="28" t="s">
        <v>969</v>
      </c>
      <c r="D1187" s="29" t="s">
        <v>38</v>
      </c>
      <c r="E1187" s="30" t="s">
        <v>415</v>
      </c>
      <c r="F1187" s="28" t="s">
        <v>356</v>
      </c>
      <c r="G1187" s="30" t="s">
        <v>638</v>
      </c>
      <c r="H1187" t="str">
        <f>CONCATENATE(Prequal[[#This Row],[CITY]], ", ",Prequal[[#This Row],[STATE]])</f>
        <v>Bloomington, IL</v>
      </c>
    </row>
    <row r="1188" spans="2:8" x14ac:dyDescent="0.2">
      <c r="B1188" s="27" t="s">
        <v>151</v>
      </c>
      <c r="C1188" s="28" t="s">
        <v>969</v>
      </c>
      <c r="D1188" s="29" t="s">
        <v>33</v>
      </c>
      <c r="E1188" s="30" t="s">
        <v>415</v>
      </c>
      <c r="F1188" s="28" t="s">
        <v>356</v>
      </c>
      <c r="G1188" s="30" t="s">
        <v>638</v>
      </c>
      <c r="H1188" t="str">
        <f>CONCATENATE(Prequal[[#This Row],[CITY]], ", ",Prequal[[#This Row],[STATE]])</f>
        <v>Bloomington, IL</v>
      </c>
    </row>
    <row r="1189" spans="2:8" x14ac:dyDescent="0.2">
      <c r="B1189" s="27" t="s">
        <v>152</v>
      </c>
      <c r="C1189" s="28" t="s">
        <v>969</v>
      </c>
      <c r="D1189" s="29" t="s">
        <v>5</v>
      </c>
      <c r="E1189" s="30" t="s">
        <v>416</v>
      </c>
      <c r="F1189" s="28" t="s">
        <v>356</v>
      </c>
      <c r="G1189" s="30" t="s">
        <v>870</v>
      </c>
      <c r="H1189" t="str">
        <f>CONCATENATE(Prequal[[#This Row],[CITY]], ", ",Prequal[[#This Row],[STATE]])</f>
        <v>Rockford, IL</v>
      </c>
    </row>
    <row r="1190" spans="2:8" x14ac:dyDescent="0.2">
      <c r="B1190" s="27" t="s">
        <v>152</v>
      </c>
      <c r="C1190" s="28" t="s">
        <v>969</v>
      </c>
      <c r="D1190" s="29" t="s">
        <v>8</v>
      </c>
      <c r="E1190" s="30" t="s">
        <v>416</v>
      </c>
      <c r="F1190" s="28" t="s">
        <v>356</v>
      </c>
      <c r="G1190" s="30" t="s">
        <v>870</v>
      </c>
      <c r="H1190" t="str">
        <f>CONCATENATE(Prequal[[#This Row],[CITY]], ", ",Prequal[[#This Row],[STATE]])</f>
        <v>Rockford, IL</v>
      </c>
    </row>
    <row r="1191" spans="2:8" x14ac:dyDescent="0.2">
      <c r="B1191" s="27" t="s">
        <v>152</v>
      </c>
      <c r="C1191" s="28" t="s">
        <v>969</v>
      </c>
      <c r="D1191" s="29" t="s">
        <v>24</v>
      </c>
      <c r="E1191" s="30" t="s">
        <v>416</v>
      </c>
      <c r="F1191" s="28" t="s">
        <v>356</v>
      </c>
      <c r="G1191" s="30" t="s">
        <v>870</v>
      </c>
      <c r="H1191" t="str">
        <f>CONCATENATE(Prequal[[#This Row],[CITY]], ", ",Prequal[[#This Row],[STATE]])</f>
        <v>Rockford, IL</v>
      </c>
    </row>
    <row r="1192" spans="2:8" x14ac:dyDescent="0.2">
      <c r="B1192" s="27" t="s">
        <v>152</v>
      </c>
      <c r="C1192" s="28" t="s">
        <v>969</v>
      </c>
      <c r="D1192" s="29" t="s">
        <v>25</v>
      </c>
      <c r="E1192" s="30" t="s">
        <v>416</v>
      </c>
      <c r="F1192" s="28" t="s">
        <v>356</v>
      </c>
      <c r="G1192" s="30" t="s">
        <v>870</v>
      </c>
      <c r="H1192" t="str">
        <f>CONCATENATE(Prequal[[#This Row],[CITY]], ", ",Prequal[[#This Row],[STATE]])</f>
        <v>Rockford, IL</v>
      </c>
    </row>
    <row r="1193" spans="2:8" x14ac:dyDescent="0.2">
      <c r="B1193" s="27" t="s">
        <v>152</v>
      </c>
      <c r="C1193" s="28" t="s">
        <v>969</v>
      </c>
      <c r="D1193" s="29" t="s">
        <v>9</v>
      </c>
      <c r="E1193" s="30" t="s">
        <v>416</v>
      </c>
      <c r="F1193" s="28" t="s">
        <v>356</v>
      </c>
      <c r="G1193" s="30" t="s">
        <v>870</v>
      </c>
      <c r="H1193" t="str">
        <f>CONCATENATE(Prequal[[#This Row],[CITY]], ", ",Prequal[[#This Row],[STATE]])</f>
        <v>Rockford, IL</v>
      </c>
    </row>
    <row r="1194" spans="2:8" x14ac:dyDescent="0.2">
      <c r="B1194" s="27" t="s">
        <v>152</v>
      </c>
      <c r="C1194" s="28" t="s">
        <v>969</v>
      </c>
      <c r="D1194" s="29" t="s">
        <v>27</v>
      </c>
      <c r="E1194" s="30" t="s">
        <v>416</v>
      </c>
      <c r="F1194" s="28" t="s">
        <v>356</v>
      </c>
      <c r="G1194" s="30" t="s">
        <v>870</v>
      </c>
      <c r="H1194" t="str">
        <f>CONCATENATE(Prequal[[#This Row],[CITY]], ", ",Prequal[[#This Row],[STATE]])</f>
        <v>Rockford, IL</v>
      </c>
    </row>
    <row r="1195" spans="2:8" x14ac:dyDescent="0.2">
      <c r="B1195" s="27" t="s">
        <v>152</v>
      </c>
      <c r="C1195" s="28" t="s">
        <v>969</v>
      </c>
      <c r="D1195" s="29" t="s">
        <v>10</v>
      </c>
      <c r="E1195" s="30" t="s">
        <v>416</v>
      </c>
      <c r="F1195" s="28" t="s">
        <v>356</v>
      </c>
      <c r="G1195" s="30" t="s">
        <v>870</v>
      </c>
      <c r="H1195" t="str">
        <f>CONCATENATE(Prequal[[#This Row],[CITY]], ", ",Prequal[[#This Row],[STATE]])</f>
        <v>Rockford, IL</v>
      </c>
    </row>
    <row r="1196" spans="2:8" x14ac:dyDescent="0.2">
      <c r="B1196" s="27" t="s">
        <v>152</v>
      </c>
      <c r="C1196" s="28" t="s">
        <v>969</v>
      </c>
      <c r="D1196" s="29" t="s">
        <v>50</v>
      </c>
      <c r="E1196" s="30" t="s">
        <v>416</v>
      </c>
      <c r="F1196" s="28" t="s">
        <v>356</v>
      </c>
      <c r="G1196" s="30" t="s">
        <v>870</v>
      </c>
      <c r="H1196" t="str">
        <f>CONCATENATE(Prequal[[#This Row],[CITY]], ", ",Prequal[[#This Row],[STATE]])</f>
        <v>Rockford, IL</v>
      </c>
    </row>
    <row r="1197" spans="2:8" x14ac:dyDescent="0.2">
      <c r="B1197" s="27" t="s">
        <v>152</v>
      </c>
      <c r="C1197" s="28" t="s">
        <v>969</v>
      </c>
      <c r="D1197" s="29" t="s">
        <v>18</v>
      </c>
      <c r="E1197" s="30" t="s">
        <v>416</v>
      </c>
      <c r="F1197" s="28" t="s">
        <v>356</v>
      </c>
      <c r="G1197" s="30" t="s">
        <v>870</v>
      </c>
      <c r="H1197" t="str">
        <f>CONCATENATE(Prequal[[#This Row],[CITY]], ", ",Prequal[[#This Row],[STATE]])</f>
        <v>Rockford, IL</v>
      </c>
    </row>
    <row r="1198" spans="2:8" x14ac:dyDescent="0.2">
      <c r="B1198" s="27" t="s">
        <v>152</v>
      </c>
      <c r="C1198" s="28" t="s">
        <v>969</v>
      </c>
      <c r="D1198" s="29" t="s">
        <v>11</v>
      </c>
      <c r="E1198" s="30" t="s">
        <v>416</v>
      </c>
      <c r="F1198" s="28" t="s">
        <v>356</v>
      </c>
      <c r="G1198" s="30" t="s">
        <v>870</v>
      </c>
      <c r="H1198" t="str">
        <f>CONCATENATE(Prequal[[#This Row],[CITY]], ", ",Prequal[[#This Row],[STATE]])</f>
        <v>Rockford, IL</v>
      </c>
    </row>
    <row r="1199" spans="2:8" x14ac:dyDescent="0.2">
      <c r="B1199" s="27" t="s">
        <v>152</v>
      </c>
      <c r="C1199" s="28" t="s">
        <v>969</v>
      </c>
      <c r="D1199" s="29" t="s">
        <v>12</v>
      </c>
      <c r="E1199" s="30" t="s">
        <v>416</v>
      </c>
      <c r="F1199" s="28" t="s">
        <v>356</v>
      </c>
      <c r="G1199" s="30" t="s">
        <v>870</v>
      </c>
      <c r="H1199" t="str">
        <f>CONCATENATE(Prequal[[#This Row],[CITY]], ", ",Prequal[[#This Row],[STATE]])</f>
        <v>Rockford, IL</v>
      </c>
    </row>
    <row r="1200" spans="2:8" x14ac:dyDescent="0.2">
      <c r="B1200" s="27" t="s">
        <v>152</v>
      </c>
      <c r="C1200" s="28" t="s">
        <v>969</v>
      </c>
      <c r="D1200" s="29" t="s">
        <v>29</v>
      </c>
      <c r="E1200" s="30" t="s">
        <v>416</v>
      </c>
      <c r="F1200" s="28" t="s">
        <v>356</v>
      </c>
      <c r="G1200" s="30" t="s">
        <v>870</v>
      </c>
      <c r="H1200" t="str">
        <f>CONCATENATE(Prequal[[#This Row],[CITY]], ", ",Prequal[[#This Row],[STATE]])</f>
        <v>Rockford, IL</v>
      </c>
    </row>
    <row r="1201" spans="2:8" x14ac:dyDescent="0.2">
      <c r="B1201" s="27" t="s">
        <v>152</v>
      </c>
      <c r="C1201" s="28" t="s">
        <v>969</v>
      </c>
      <c r="D1201" s="29" t="s">
        <v>37</v>
      </c>
      <c r="E1201" s="30" t="s">
        <v>416</v>
      </c>
      <c r="F1201" s="28" t="s">
        <v>356</v>
      </c>
      <c r="G1201" s="30" t="s">
        <v>870</v>
      </c>
      <c r="H1201" t="str">
        <f>CONCATENATE(Prequal[[#This Row],[CITY]], ", ",Prequal[[#This Row],[STATE]])</f>
        <v>Rockford, IL</v>
      </c>
    </row>
    <row r="1202" spans="2:8" x14ac:dyDescent="0.2">
      <c r="B1202" s="27" t="s">
        <v>152</v>
      </c>
      <c r="C1202" s="28" t="s">
        <v>969</v>
      </c>
      <c r="D1202" s="29" t="s">
        <v>14</v>
      </c>
      <c r="E1202" s="30" t="s">
        <v>416</v>
      </c>
      <c r="F1202" s="28" t="s">
        <v>356</v>
      </c>
      <c r="G1202" s="30" t="s">
        <v>870</v>
      </c>
      <c r="H1202" t="str">
        <f>CONCATENATE(Prequal[[#This Row],[CITY]], ", ",Prequal[[#This Row],[STATE]])</f>
        <v>Rockford, IL</v>
      </c>
    </row>
    <row r="1203" spans="2:8" x14ac:dyDescent="0.2">
      <c r="B1203" s="27" t="s">
        <v>152</v>
      </c>
      <c r="C1203" s="28" t="s">
        <v>969</v>
      </c>
      <c r="D1203" s="29" t="s">
        <v>15</v>
      </c>
      <c r="E1203" s="30" t="s">
        <v>416</v>
      </c>
      <c r="F1203" s="28" t="s">
        <v>356</v>
      </c>
      <c r="G1203" s="30" t="s">
        <v>870</v>
      </c>
      <c r="H1203" t="str">
        <f>CONCATENATE(Prequal[[#This Row],[CITY]], ", ",Prequal[[#This Row],[STATE]])</f>
        <v>Rockford, IL</v>
      </c>
    </row>
    <row r="1204" spans="2:8" x14ac:dyDescent="0.2">
      <c r="B1204" s="27" t="s">
        <v>152</v>
      </c>
      <c r="C1204" s="28" t="s">
        <v>969</v>
      </c>
      <c r="D1204" s="29" t="s">
        <v>31</v>
      </c>
      <c r="E1204" s="30" t="s">
        <v>416</v>
      </c>
      <c r="F1204" s="28" t="s">
        <v>356</v>
      </c>
      <c r="G1204" s="30" t="s">
        <v>870</v>
      </c>
      <c r="H1204" t="str">
        <f>CONCATENATE(Prequal[[#This Row],[CITY]], ", ",Prequal[[#This Row],[STATE]])</f>
        <v>Rockford, IL</v>
      </c>
    </row>
    <row r="1205" spans="2:8" x14ac:dyDescent="0.2">
      <c r="B1205" s="27" t="s">
        <v>152</v>
      </c>
      <c r="C1205" s="28" t="s">
        <v>969</v>
      </c>
      <c r="D1205" s="29" t="s">
        <v>32</v>
      </c>
      <c r="E1205" s="30" t="s">
        <v>416</v>
      </c>
      <c r="F1205" s="28" t="s">
        <v>356</v>
      </c>
      <c r="G1205" s="30" t="s">
        <v>870</v>
      </c>
      <c r="H1205" t="str">
        <f>CONCATENATE(Prequal[[#This Row],[CITY]], ", ",Prequal[[#This Row],[STATE]])</f>
        <v>Rockford, IL</v>
      </c>
    </row>
    <row r="1206" spans="2:8" x14ac:dyDescent="0.2">
      <c r="B1206" s="27" t="s">
        <v>153</v>
      </c>
      <c r="C1206" s="28" t="s">
        <v>970</v>
      </c>
      <c r="D1206" s="29" t="s">
        <v>6</v>
      </c>
      <c r="E1206" s="30" t="s">
        <v>417</v>
      </c>
      <c r="F1206" s="28" t="s">
        <v>356</v>
      </c>
      <c r="G1206" s="30" t="s">
        <v>829</v>
      </c>
      <c r="H1206" t="str">
        <f>CONCATENATE(Prequal[[#This Row],[CITY]], ", ",Prequal[[#This Row],[STATE]])</f>
        <v>Oak Park, IL</v>
      </c>
    </row>
    <row r="1207" spans="2:8" x14ac:dyDescent="0.2">
      <c r="B1207" s="27" t="s">
        <v>153</v>
      </c>
      <c r="C1207" s="28" t="s">
        <v>970</v>
      </c>
      <c r="D1207" s="29" t="s">
        <v>7</v>
      </c>
      <c r="E1207" s="30" t="s">
        <v>417</v>
      </c>
      <c r="F1207" s="28" t="s">
        <v>356</v>
      </c>
      <c r="G1207" s="30" t="s">
        <v>829</v>
      </c>
      <c r="H1207" t="str">
        <f>CONCATENATE(Prequal[[#This Row],[CITY]], ", ",Prequal[[#This Row],[STATE]])</f>
        <v>Oak Park, IL</v>
      </c>
    </row>
    <row r="1208" spans="2:8" x14ac:dyDescent="0.2">
      <c r="B1208" s="27" t="s">
        <v>153</v>
      </c>
      <c r="C1208" s="28" t="s">
        <v>970</v>
      </c>
      <c r="D1208" s="29" t="s">
        <v>8</v>
      </c>
      <c r="E1208" s="30" t="s">
        <v>417</v>
      </c>
      <c r="F1208" s="28" t="s">
        <v>356</v>
      </c>
      <c r="G1208" s="30" t="s">
        <v>829</v>
      </c>
      <c r="H1208" t="str">
        <f>CONCATENATE(Prequal[[#This Row],[CITY]], ", ",Prequal[[#This Row],[STATE]])</f>
        <v>Oak Park, IL</v>
      </c>
    </row>
    <row r="1209" spans="2:8" x14ac:dyDescent="0.2">
      <c r="B1209" s="27" t="s">
        <v>153</v>
      </c>
      <c r="C1209" s="28" t="s">
        <v>970</v>
      </c>
      <c r="D1209" s="29" t="s">
        <v>12</v>
      </c>
      <c r="E1209" s="30" t="s">
        <v>417</v>
      </c>
      <c r="F1209" s="28" t="s">
        <v>356</v>
      </c>
      <c r="G1209" s="30" t="s">
        <v>829</v>
      </c>
      <c r="H1209" t="str">
        <f>CONCATENATE(Prequal[[#This Row],[CITY]], ", ",Prequal[[#This Row],[STATE]])</f>
        <v>Oak Park, IL</v>
      </c>
    </row>
    <row r="1210" spans="2:8" x14ac:dyDescent="0.2">
      <c r="B1210" s="27" t="s">
        <v>153</v>
      </c>
      <c r="C1210" s="28" t="s">
        <v>970</v>
      </c>
      <c r="D1210" s="29" t="s">
        <v>29</v>
      </c>
      <c r="E1210" s="30" t="s">
        <v>417</v>
      </c>
      <c r="F1210" s="28" t="s">
        <v>356</v>
      </c>
      <c r="G1210" s="30" t="s">
        <v>829</v>
      </c>
      <c r="H1210" t="str">
        <f>CONCATENATE(Prequal[[#This Row],[CITY]], ", ",Prequal[[#This Row],[STATE]])</f>
        <v>Oak Park, IL</v>
      </c>
    </row>
    <row r="1211" spans="2:8" x14ac:dyDescent="0.2">
      <c r="B1211" s="27" t="s">
        <v>153</v>
      </c>
      <c r="C1211" s="28" t="s">
        <v>970</v>
      </c>
      <c r="D1211" s="29" t="s">
        <v>15</v>
      </c>
      <c r="E1211" s="30" t="s">
        <v>417</v>
      </c>
      <c r="F1211" s="28" t="s">
        <v>356</v>
      </c>
      <c r="G1211" s="30" t="s">
        <v>829</v>
      </c>
      <c r="H1211" t="str">
        <f>CONCATENATE(Prequal[[#This Row],[CITY]], ", ",Prequal[[#This Row],[STATE]])</f>
        <v>Oak Park, IL</v>
      </c>
    </row>
    <row r="1212" spans="2:8" x14ac:dyDescent="0.2">
      <c r="B1212" s="27" t="s">
        <v>154</v>
      </c>
      <c r="C1212" s="28" t="s">
        <v>970</v>
      </c>
      <c r="D1212" s="29" t="s">
        <v>10</v>
      </c>
      <c r="E1212" s="30" t="s">
        <v>947</v>
      </c>
      <c r="F1212" s="28" t="s">
        <v>356</v>
      </c>
      <c r="G1212" s="30" t="s">
        <v>639</v>
      </c>
      <c r="H1212" t="str">
        <f>CONCATENATE(Prequal[[#This Row],[CITY]], ", ",Prequal[[#This Row],[STATE]])</f>
        <v>Chicago, IL</v>
      </c>
    </row>
    <row r="1213" spans="2:8" x14ac:dyDescent="0.2">
      <c r="B1213" s="27" t="s">
        <v>996</v>
      </c>
      <c r="C1213" s="28" t="s">
        <v>970</v>
      </c>
      <c r="D1213" s="29" t="s">
        <v>39</v>
      </c>
      <c r="E1213" s="30" t="s">
        <v>947</v>
      </c>
      <c r="F1213" s="28" t="s">
        <v>356</v>
      </c>
      <c r="G1213" s="30" t="s">
        <v>997</v>
      </c>
      <c r="H1213" t="str">
        <f>CONCATENATE(Prequal[[#This Row],[CITY]], ", ",Prequal[[#This Row],[STATE]])</f>
        <v>Chicago, IL</v>
      </c>
    </row>
    <row r="1214" spans="2:8" x14ac:dyDescent="0.2">
      <c r="B1214" s="27" t="s">
        <v>155</v>
      </c>
      <c r="C1214" s="28" t="s">
        <v>970</v>
      </c>
      <c r="D1214" s="29" t="s">
        <v>4</v>
      </c>
      <c r="E1214" s="30" t="s">
        <v>367</v>
      </c>
      <c r="F1214" s="28" t="s">
        <v>356</v>
      </c>
      <c r="G1214" s="30" t="s">
        <v>640</v>
      </c>
      <c r="H1214" t="str">
        <f>CONCATENATE(Prequal[[#This Row],[CITY]], ", ",Prequal[[#This Row],[STATE]])</f>
        <v>Springfield, IL</v>
      </c>
    </row>
    <row r="1215" spans="2:8" x14ac:dyDescent="0.2">
      <c r="B1215" s="27" t="s">
        <v>155</v>
      </c>
      <c r="C1215" s="28" t="s">
        <v>970</v>
      </c>
      <c r="D1215" s="29" t="s">
        <v>5</v>
      </c>
      <c r="E1215" s="30" t="s">
        <v>367</v>
      </c>
      <c r="F1215" s="28" t="s">
        <v>356</v>
      </c>
      <c r="G1215" s="30" t="s">
        <v>640</v>
      </c>
      <c r="H1215" t="str">
        <f>CONCATENATE(Prequal[[#This Row],[CITY]], ", ",Prequal[[#This Row],[STATE]])</f>
        <v>Springfield, IL</v>
      </c>
    </row>
    <row r="1216" spans="2:8" x14ac:dyDescent="0.2">
      <c r="B1216" s="27" t="s">
        <v>155</v>
      </c>
      <c r="C1216" s="28" t="s">
        <v>970</v>
      </c>
      <c r="D1216" s="29" t="s">
        <v>8</v>
      </c>
      <c r="E1216" s="30" t="s">
        <v>367</v>
      </c>
      <c r="F1216" s="28" t="s">
        <v>356</v>
      </c>
      <c r="G1216" s="30" t="s">
        <v>640</v>
      </c>
      <c r="H1216" t="str">
        <f>CONCATENATE(Prequal[[#This Row],[CITY]], ", ",Prequal[[#This Row],[STATE]])</f>
        <v>Springfield, IL</v>
      </c>
    </row>
    <row r="1217" spans="2:8" x14ac:dyDescent="0.2">
      <c r="B1217" s="27" t="s">
        <v>155</v>
      </c>
      <c r="C1217" s="28" t="s">
        <v>970</v>
      </c>
      <c r="D1217" s="29" t="s">
        <v>25</v>
      </c>
      <c r="E1217" s="30" t="s">
        <v>367</v>
      </c>
      <c r="F1217" s="28" t="s">
        <v>356</v>
      </c>
      <c r="G1217" s="30" t="s">
        <v>640</v>
      </c>
      <c r="H1217" t="str">
        <f>CONCATENATE(Prequal[[#This Row],[CITY]], ", ",Prequal[[#This Row],[STATE]])</f>
        <v>Springfield, IL</v>
      </c>
    </row>
    <row r="1218" spans="2:8" x14ac:dyDescent="0.2">
      <c r="B1218" s="27" t="s">
        <v>155</v>
      </c>
      <c r="C1218" s="28" t="s">
        <v>970</v>
      </c>
      <c r="D1218" s="29" t="s">
        <v>9</v>
      </c>
      <c r="E1218" s="30" t="s">
        <v>367</v>
      </c>
      <c r="F1218" s="28" t="s">
        <v>356</v>
      </c>
      <c r="G1218" s="30" t="s">
        <v>640</v>
      </c>
      <c r="H1218" t="str">
        <f>CONCATENATE(Prequal[[#This Row],[CITY]], ", ",Prequal[[#This Row],[STATE]])</f>
        <v>Springfield, IL</v>
      </c>
    </row>
    <row r="1219" spans="2:8" x14ac:dyDescent="0.2">
      <c r="B1219" s="27" t="s">
        <v>155</v>
      </c>
      <c r="C1219" s="28" t="s">
        <v>970</v>
      </c>
      <c r="D1219" s="29" t="s">
        <v>27</v>
      </c>
      <c r="E1219" s="30" t="s">
        <v>367</v>
      </c>
      <c r="F1219" s="28" t="s">
        <v>356</v>
      </c>
      <c r="G1219" s="30" t="s">
        <v>640</v>
      </c>
      <c r="H1219" t="str">
        <f>CONCATENATE(Prequal[[#This Row],[CITY]], ", ",Prequal[[#This Row],[STATE]])</f>
        <v>Springfield, IL</v>
      </c>
    </row>
    <row r="1220" spans="2:8" x14ac:dyDescent="0.2">
      <c r="B1220" s="27" t="s">
        <v>155</v>
      </c>
      <c r="C1220" s="28" t="s">
        <v>970</v>
      </c>
      <c r="D1220" s="29" t="s">
        <v>10</v>
      </c>
      <c r="E1220" s="30" t="s">
        <v>367</v>
      </c>
      <c r="F1220" s="28" t="s">
        <v>356</v>
      </c>
      <c r="G1220" s="30" t="s">
        <v>640</v>
      </c>
      <c r="H1220" t="str">
        <f>CONCATENATE(Prequal[[#This Row],[CITY]], ", ",Prequal[[#This Row],[STATE]])</f>
        <v>Springfield, IL</v>
      </c>
    </row>
    <row r="1221" spans="2:8" x14ac:dyDescent="0.2">
      <c r="B1221" s="27" t="s">
        <v>155</v>
      </c>
      <c r="C1221" s="28" t="s">
        <v>970</v>
      </c>
      <c r="D1221" s="29" t="s">
        <v>21</v>
      </c>
      <c r="E1221" s="30" t="s">
        <v>367</v>
      </c>
      <c r="F1221" s="28" t="s">
        <v>356</v>
      </c>
      <c r="G1221" s="30" t="s">
        <v>640</v>
      </c>
      <c r="H1221" t="str">
        <f>CONCATENATE(Prequal[[#This Row],[CITY]], ", ",Prequal[[#This Row],[STATE]])</f>
        <v>Springfield, IL</v>
      </c>
    </row>
    <row r="1222" spans="2:8" x14ac:dyDescent="0.2">
      <c r="B1222" s="27" t="s">
        <v>155</v>
      </c>
      <c r="C1222" s="28" t="s">
        <v>970</v>
      </c>
      <c r="D1222" s="29" t="s">
        <v>29</v>
      </c>
      <c r="E1222" s="30" t="s">
        <v>367</v>
      </c>
      <c r="F1222" s="28" t="s">
        <v>356</v>
      </c>
      <c r="G1222" s="30" t="s">
        <v>640</v>
      </c>
      <c r="H1222" t="str">
        <f>CONCATENATE(Prequal[[#This Row],[CITY]], ", ",Prequal[[#This Row],[STATE]])</f>
        <v>Springfield, IL</v>
      </c>
    </row>
    <row r="1223" spans="2:8" x14ac:dyDescent="0.2">
      <c r="B1223" s="27" t="s">
        <v>155</v>
      </c>
      <c r="C1223" s="28" t="s">
        <v>970</v>
      </c>
      <c r="D1223" s="29" t="s">
        <v>13</v>
      </c>
      <c r="E1223" s="30" t="s">
        <v>367</v>
      </c>
      <c r="F1223" s="28" t="s">
        <v>356</v>
      </c>
      <c r="G1223" s="30" t="s">
        <v>640</v>
      </c>
      <c r="H1223" t="str">
        <f>CONCATENATE(Prequal[[#This Row],[CITY]], ", ",Prequal[[#This Row],[STATE]])</f>
        <v>Springfield, IL</v>
      </c>
    </row>
    <row r="1224" spans="2:8" x14ac:dyDescent="0.2">
      <c r="B1224" s="27" t="s">
        <v>155</v>
      </c>
      <c r="C1224" s="28" t="s">
        <v>970</v>
      </c>
      <c r="D1224" s="29" t="s">
        <v>14</v>
      </c>
      <c r="E1224" s="30" t="s">
        <v>367</v>
      </c>
      <c r="F1224" s="28" t="s">
        <v>356</v>
      </c>
      <c r="G1224" s="30" t="s">
        <v>640</v>
      </c>
      <c r="H1224" t="str">
        <f>CONCATENATE(Prequal[[#This Row],[CITY]], ", ",Prequal[[#This Row],[STATE]])</f>
        <v>Springfield, IL</v>
      </c>
    </row>
    <row r="1225" spans="2:8" x14ac:dyDescent="0.2">
      <c r="B1225" s="27" t="s">
        <v>155</v>
      </c>
      <c r="C1225" s="28" t="s">
        <v>970</v>
      </c>
      <c r="D1225" s="29" t="s">
        <v>15</v>
      </c>
      <c r="E1225" s="30" t="s">
        <v>367</v>
      </c>
      <c r="F1225" s="28" t="s">
        <v>356</v>
      </c>
      <c r="G1225" s="30" t="s">
        <v>640</v>
      </c>
      <c r="H1225" t="str">
        <f>CONCATENATE(Prequal[[#This Row],[CITY]], ", ",Prequal[[#This Row],[STATE]])</f>
        <v>Springfield, IL</v>
      </c>
    </row>
    <row r="1226" spans="2:8" x14ac:dyDescent="0.2">
      <c r="B1226" s="27" t="s">
        <v>156</v>
      </c>
      <c r="C1226" s="28" t="s">
        <v>970</v>
      </c>
      <c r="D1226" s="29" t="s">
        <v>26</v>
      </c>
      <c r="E1226" s="30" t="s">
        <v>947</v>
      </c>
      <c r="F1226" s="28" t="s">
        <v>356</v>
      </c>
      <c r="G1226" s="30" t="s">
        <v>641</v>
      </c>
      <c r="H1226" t="str">
        <f>CONCATENATE(Prequal[[#This Row],[CITY]], ", ",Prequal[[#This Row],[STATE]])</f>
        <v>Chicago, IL</v>
      </c>
    </row>
    <row r="1227" spans="2:8" x14ac:dyDescent="0.2">
      <c r="B1227" s="27" t="s">
        <v>156</v>
      </c>
      <c r="C1227" s="28" t="s">
        <v>970</v>
      </c>
      <c r="D1227" s="29" t="s">
        <v>20</v>
      </c>
      <c r="E1227" s="30" t="s">
        <v>947</v>
      </c>
      <c r="F1227" s="28" t="s">
        <v>356</v>
      </c>
      <c r="G1227" s="30" t="s">
        <v>641</v>
      </c>
      <c r="H1227" t="str">
        <f>CONCATENATE(Prequal[[#This Row],[CITY]], ", ",Prequal[[#This Row],[STATE]])</f>
        <v>Chicago, IL</v>
      </c>
    </row>
    <row r="1228" spans="2:8" x14ac:dyDescent="0.2">
      <c r="B1228" s="27" t="s">
        <v>156</v>
      </c>
      <c r="C1228" s="28" t="s">
        <v>970</v>
      </c>
      <c r="D1228" s="29" t="s">
        <v>27</v>
      </c>
      <c r="E1228" s="30" t="s">
        <v>947</v>
      </c>
      <c r="F1228" s="28" t="s">
        <v>356</v>
      </c>
      <c r="G1228" s="30" t="s">
        <v>641</v>
      </c>
      <c r="H1228" t="str">
        <f>CONCATENATE(Prequal[[#This Row],[CITY]], ", ",Prequal[[#This Row],[STATE]])</f>
        <v>Chicago, IL</v>
      </c>
    </row>
    <row r="1229" spans="2:8" x14ac:dyDescent="0.2">
      <c r="B1229" s="27" t="s">
        <v>156</v>
      </c>
      <c r="C1229" s="28" t="s">
        <v>970</v>
      </c>
      <c r="D1229" s="29" t="s">
        <v>21</v>
      </c>
      <c r="E1229" s="30" t="s">
        <v>947</v>
      </c>
      <c r="F1229" s="28" t="s">
        <v>356</v>
      </c>
      <c r="G1229" s="30" t="s">
        <v>641</v>
      </c>
      <c r="H1229" t="str">
        <f>CONCATENATE(Prequal[[#This Row],[CITY]], ", ",Prequal[[#This Row],[STATE]])</f>
        <v>Chicago, IL</v>
      </c>
    </row>
    <row r="1230" spans="2:8" x14ac:dyDescent="0.2">
      <c r="B1230" s="27" t="s">
        <v>156</v>
      </c>
      <c r="C1230" s="28" t="s">
        <v>970</v>
      </c>
      <c r="D1230" s="29" t="s">
        <v>22</v>
      </c>
      <c r="E1230" s="30" t="s">
        <v>947</v>
      </c>
      <c r="F1230" s="28" t="s">
        <v>356</v>
      </c>
      <c r="G1230" s="30" t="s">
        <v>641</v>
      </c>
      <c r="H1230" t="str">
        <f>CONCATENATE(Prequal[[#This Row],[CITY]], ", ",Prequal[[#This Row],[STATE]])</f>
        <v>Chicago, IL</v>
      </c>
    </row>
    <row r="1231" spans="2:8" x14ac:dyDescent="0.2">
      <c r="B1231" s="31" t="s">
        <v>156</v>
      </c>
      <c r="C1231" s="32" t="s">
        <v>970</v>
      </c>
      <c r="D1231" s="33" t="s">
        <v>14</v>
      </c>
      <c r="E1231" s="30" t="s">
        <v>947</v>
      </c>
      <c r="F1231" s="32" t="s">
        <v>356</v>
      </c>
      <c r="G1231" s="30" t="s">
        <v>641</v>
      </c>
      <c r="H1231" t="str">
        <f>CONCATENATE(Prequal[[#This Row],[CITY]], ", ",Prequal[[#This Row],[STATE]])</f>
        <v>Chicago, IL</v>
      </c>
    </row>
    <row r="1232" spans="2:8" x14ac:dyDescent="0.2">
      <c r="B1232" s="31" t="s">
        <v>1050</v>
      </c>
      <c r="C1232" s="32" t="s">
        <v>969</v>
      </c>
      <c r="D1232" s="33" t="s">
        <v>36</v>
      </c>
      <c r="E1232" s="30" t="s">
        <v>364</v>
      </c>
      <c r="F1232" s="32" t="s">
        <v>365</v>
      </c>
      <c r="G1232" s="30" t="s">
        <v>1051</v>
      </c>
      <c r="H1232" t="str">
        <f>CONCATENATE(Prequal[[#This Row],[CITY]], ", ",Prequal[[#This Row],[STATE]])</f>
        <v>Indianapolis, IN</v>
      </c>
    </row>
    <row r="1233" spans="2:8" x14ac:dyDescent="0.2">
      <c r="B1233" s="31" t="s">
        <v>1050</v>
      </c>
      <c r="C1233" s="32" t="s">
        <v>969</v>
      </c>
      <c r="D1233" s="33" t="s">
        <v>125</v>
      </c>
      <c r="E1233" s="30" t="s">
        <v>364</v>
      </c>
      <c r="F1233" s="32" t="s">
        <v>365</v>
      </c>
      <c r="G1233" s="30" t="s">
        <v>1051</v>
      </c>
      <c r="H1233" t="str">
        <f>CONCATENATE(Prequal[[#This Row],[CITY]], ", ",Prequal[[#This Row],[STATE]])</f>
        <v>Indianapolis, IN</v>
      </c>
    </row>
    <row r="1234" spans="2:8" x14ac:dyDescent="0.2">
      <c r="B1234" s="31" t="s">
        <v>1050</v>
      </c>
      <c r="C1234" s="32" t="s">
        <v>969</v>
      </c>
      <c r="D1234" s="33" t="s">
        <v>42</v>
      </c>
      <c r="E1234" s="30" t="s">
        <v>364</v>
      </c>
      <c r="F1234" s="32" t="s">
        <v>365</v>
      </c>
      <c r="G1234" s="30" t="s">
        <v>1051</v>
      </c>
      <c r="H1234" t="str">
        <f>CONCATENATE(Prequal[[#This Row],[CITY]], ", ",Prequal[[#This Row],[STATE]])</f>
        <v>Indianapolis, IN</v>
      </c>
    </row>
    <row r="1235" spans="2:8" x14ac:dyDescent="0.2">
      <c r="B1235" s="31" t="s">
        <v>1050</v>
      </c>
      <c r="C1235" s="32" t="s">
        <v>969</v>
      </c>
      <c r="D1235" s="33" t="s">
        <v>51</v>
      </c>
      <c r="E1235" s="30" t="s">
        <v>364</v>
      </c>
      <c r="F1235" s="32" t="s">
        <v>365</v>
      </c>
      <c r="G1235" s="30" t="s">
        <v>1051</v>
      </c>
      <c r="H1235" t="str">
        <f>CONCATENATE(Prequal[[#This Row],[CITY]], ", ",Prequal[[#This Row],[STATE]])</f>
        <v>Indianapolis, IN</v>
      </c>
    </row>
    <row r="1236" spans="2:8" x14ac:dyDescent="0.2">
      <c r="B1236" s="31" t="s">
        <v>157</v>
      </c>
      <c r="C1236" s="32" t="s">
        <v>970</v>
      </c>
      <c r="D1236" s="33" t="s">
        <v>4</v>
      </c>
      <c r="E1236" s="30" t="s">
        <v>947</v>
      </c>
      <c r="F1236" s="32" t="s">
        <v>356</v>
      </c>
      <c r="G1236" s="30" t="s">
        <v>642</v>
      </c>
      <c r="H1236" t="str">
        <f>CONCATENATE(Prequal[[#This Row],[CITY]], ", ",Prequal[[#This Row],[STATE]])</f>
        <v>Chicago, IL</v>
      </c>
    </row>
    <row r="1237" spans="2:8" x14ac:dyDescent="0.2">
      <c r="B1237" s="31" t="s">
        <v>157</v>
      </c>
      <c r="C1237" s="32" t="s">
        <v>970</v>
      </c>
      <c r="D1237" s="33" t="s">
        <v>5</v>
      </c>
      <c r="E1237" s="30" t="s">
        <v>947</v>
      </c>
      <c r="F1237" s="32" t="s">
        <v>356</v>
      </c>
      <c r="G1237" s="30" t="s">
        <v>642</v>
      </c>
      <c r="H1237" t="str">
        <f>CONCATENATE(Prequal[[#This Row],[CITY]], ", ",Prequal[[#This Row],[STATE]])</f>
        <v>Chicago, IL</v>
      </c>
    </row>
    <row r="1238" spans="2:8" x14ac:dyDescent="0.2">
      <c r="B1238" s="31" t="s">
        <v>157</v>
      </c>
      <c r="C1238" s="32" t="s">
        <v>970</v>
      </c>
      <c r="D1238" s="33" t="s">
        <v>9</v>
      </c>
      <c r="E1238" s="30" t="s">
        <v>947</v>
      </c>
      <c r="F1238" s="32" t="s">
        <v>356</v>
      </c>
      <c r="G1238" s="30" t="s">
        <v>642</v>
      </c>
      <c r="H1238" t="str">
        <f>CONCATENATE(Prequal[[#This Row],[CITY]], ", ",Prequal[[#This Row],[STATE]])</f>
        <v>Chicago, IL</v>
      </c>
    </row>
    <row r="1239" spans="2:8" x14ac:dyDescent="0.2">
      <c r="B1239" s="27" t="s">
        <v>157</v>
      </c>
      <c r="C1239" s="28" t="s">
        <v>970</v>
      </c>
      <c r="D1239" s="29" t="s">
        <v>10</v>
      </c>
      <c r="E1239" s="30" t="s">
        <v>947</v>
      </c>
      <c r="F1239" s="28" t="s">
        <v>356</v>
      </c>
      <c r="G1239" s="30" t="s">
        <v>642</v>
      </c>
      <c r="H1239" t="str">
        <f>CONCATENATE(Prequal[[#This Row],[CITY]], ", ",Prequal[[#This Row],[STATE]])</f>
        <v>Chicago, IL</v>
      </c>
    </row>
    <row r="1240" spans="2:8" x14ac:dyDescent="0.2">
      <c r="B1240" s="27" t="s">
        <v>157</v>
      </c>
      <c r="C1240" s="28" t="s">
        <v>970</v>
      </c>
      <c r="D1240" s="29" t="s">
        <v>30</v>
      </c>
      <c r="E1240" s="30" t="s">
        <v>947</v>
      </c>
      <c r="F1240" s="28" t="s">
        <v>356</v>
      </c>
      <c r="G1240" s="30" t="s">
        <v>642</v>
      </c>
      <c r="H1240" t="str">
        <f>CONCATENATE(Prequal[[#This Row],[CITY]], ", ",Prequal[[#This Row],[STATE]])</f>
        <v>Chicago, IL</v>
      </c>
    </row>
    <row r="1241" spans="2:8" x14ac:dyDescent="0.2">
      <c r="B1241" s="27" t="s">
        <v>157</v>
      </c>
      <c r="C1241" s="28" t="s">
        <v>970</v>
      </c>
      <c r="D1241" s="29" t="s">
        <v>53</v>
      </c>
      <c r="E1241" s="30" t="s">
        <v>947</v>
      </c>
      <c r="F1241" s="28" t="s">
        <v>356</v>
      </c>
      <c r="G1241" s="30" t="s">
        <v>642</v>
      </c>
      <c r="H1241" t="str">
        <f>CONCATENATE(Prequal[[#This Row],[CITY]], ", ",Prequal[[#This Row],[STATE]])</f>
        <v>Chicago, IL</v>
      </c>
    </row>
    <row r="1242" spans="2:8" x14ac:dyDescent="0.2">
      <c r="B1242" s="27" t="s">
        <v>157</v>
      </c>
      <c r="C1242" s="28" t="s">
        <v>970</v>
      </c>
      <c r="D1242" s="29" t="s">
        <v>31</v>
      </c>
      <c r="E1242" s="30" t="s">
        <v>947</v>
      </c>
      <c r="F1242" s="28" t="s">
        <v>356</v>
      </c>
      <c r="G1242" s="30" t="s">
        <v>642</v>
      </c>
      <c r="H1242" t="str">
        <f>CONCATENATE(Prequal[[#This Row],[CITY]], ", ",Prequal[[#This Row],[STATE]])</f>
        <v>Chicago, IL</v>
      </c>
    </row>
    <row r="1243" spans="2:8" x14ac:dyDescent="0.2">
      <c r="B1243" s="27" t="s">
        <v>157</v>
      </c>
      <c r="C1243" s="28" t="s">
        <v>970</v>
      </c>
      <c r="D1243" s="29" t="s">
        <v>32</v>
      </c>
      <c r="E1243" s="30" t="s">
        <v>947</v>
      </c>
      <c r="F1243" s="28" t="s">
        <v>356</v>
      </c>
      <c r="G1243" s="30" t="s">
        <v>642</v>
      </c>
      <c r="H1243" t="str">
        <f>CONCATENATE(Prequal[[#This Row],[CITY]], ", ",Prequal[[#This Row],[STATE]])</f>
        <v>Chicago, IL</v>
      </c>
    </row>
    <row r="1244" spans="2:8" x14ac:dyDescent="0.2">
      <c r="B1244" s="27" t="s">
        <v>157</v>
      </c>
      <c r="C1244" s="28" t="s">
        <v>970</v>
      </c>
      <c r="D1244" s="29" t="s">
        <v>38</v>
      </c>
      <c r="E1244" s="30" t="s">
        <v>947</v>
      </c>
      <c r="F1244" s="28" t="s">
        <v>356</v>
      </c>
      <c r="G1244" s="30" t="s">
        <v>642</v>
      </c>
      <c r="H1244" t="str">
        <f>CONCATENATE(Prequal[[#This Row],[CITY]], ", ",Prequal[[#This Row],[STATE]])</f>
        <v>Chicago, IL</v>
      </c>
    </row>
    <row r="1245" spans="2:8" x14ac:dyDescent="0.2">
      <c r="B1245" s="27" t="s">
        <v>158</v>
      </c>
      <c r="C1245" s="28" t="s">
        <v>970</v>
      </c>
      <c r="D1245" s="29" t="s">
        <v>4</v>
      </c>
      <c r="E1245" s="30" t="s">
        <v>418</v>
      </c>
      <c r="F1245" s="28" t="s">
        <v>356</v>
      </c>
      <c r="G1245" s="30" t="s">
        <v>643</v>
      </c>
      <c r="H1245" t="str">
        <f>CONCATENATE(Prequal[[#This Row],[CITY]], ", ",Prequal[[#This Row],[STATE]])</f>
        <v>Downers Grove, IL</v>
      </c>
    </row>
    <row r="1246" spans="2:8" x14ac:dyDescent="0.2">
      <c r="B1246" s="27" t="s">
        <v>158</v>
      </c>
      <c r="C1246" s="28" t="s">
        <v>970</v>
      </c>
      <c r="D1246" s="29" t="s">
        <v>5</v>
      </c>
      <c r="E1246" s="30" t="s">
        <v>418</v>
      </c>
      <c r="F1246" s="28" t="s">
        <v>356</v>
      </c>
      <c r="G1246" s="30" t="s">
        <v>643</v>
      </c>
      <c r="H1246" t="str">
        <f>CONCATENATE(Prequal[[#This Row],[CITY]], ", ",Prequal[[#This Row],[STATE]])</f>
        <v>Downers Grove, IL</v>
      </c>
    </row>
    <row r="1247" spans="2:8" x14ac:dyDescent="0.2">
      <c r="B1247" s="27" t="s">
        <v>158</v>
      </c>
      <c r="C1247" s="28" t="s">
        <v>970</v>
      </c>
      <c r="D1247" s="29" t="s">
        <v>8</v>
      </c>
      <c r="E1247" s="30" t="s">
        <v>418</v>
      </c>
      <c r="F1247" s="28" t="s">
        <v>356</v>
      </c>
      <c r="G1247" s="30" t="s">
        <v>643</v>
      </c>
      <c r="H1247" t="str">
        <f>CONCATENATE(Prequal[[#This Row],[CITY]], ", ",Prequal[[#This Row],[STATE]])</f>
        <v>Downers Grove, IL</v>
      </c>
    </row>
    <row r="1248" spans="2:8" x14ac:dyDescent="0.2">
      <c r="B1248" s="27" t="s">
        <v>158</v>
      </c>
      <c r="C1248" s="28" t="s">
        <v>970</v>
      </c>
      <c r="D1248" s="29" t="s">
        <v>25</v>
      </c>
      <c r="E1248" s="30" t="s">
        <v>418</v>
      </c>
      <c r="F1248" s="28" t="s">
        <v>356</v>
      </c>
      <c r="G1248" s="30" t="s">
        <v>643</v>
      </c>
      <c r="H1248" t="str">
        <f>CONCATENATE(Prequal[[#This Row],[CITY]], ", ",Prequal[[#This Row],[STATE]])</f>
        <v>Downers Grove, IL</v>
      </c>
    </row>
    <row r="1249" spans="2:8" x14ac:dyDescent="0.2">
      <c r="B1249" s="27" t="s">
        <v>158</v>
      </c>
      <c r="C1249" s="28" t="s">
        <v>970</v>
      </c>
      <c r="D1249" s="29" t="s">
        <v>9</v>
      </c>
      <c r="E1249" s="30" t="s">
        <v>418</v>
      </c>
      <c r="F1249" s="28" t="s">
        <v>356</v>
      </c>
      <c r="G1249" s="30" t="s">
        <v>643</v>
      </c>
      <c r="H1249" t="str">
        <f>CONCATENATE(Prequal[[#This Row],[CITY]], ", ",Prequal[[#This Row],[STATE]])</f>
        <v>Downers Grove, IL</v>
      </c>
    </row>
    <row r="1250" spans="2:8" x14ac:dyDescent="0.2">
      <c r="B1250" s="27" t="s">
        <v>158</v>
      </c>
      <c r="C1250" s="28" t="s">
        <v>970</v>
      </c>
      <c r="D1250" s="29" t="s">
        <v>10</v>
      </c>
      <c r="E1250" s="30" t="s">
        <v>418</v>
      </c>
      <c r="F1250" s="28" t="s">
        <v>356</v>
      </c>
      <c r="G1250" s="30" t="s">
        <v>643</v>
      </c>
      <c r="H1250" t="str">
        <f>CONCATENATE(Prequal[[#This Row],[CITY]], ", ",Prequal[[#This Row],[STATE]])</f>
        <v>Downers Grove, IL</v>
      </c>
    </row>
    <row r="1251" spans="2:8" x14ac:dyDescent="0.2">
      <c r="B1251" s="27" t="s">
        <v>158</v>
      </c>
      <c r="C1251" s="28" t="s">
        <v>970</v>
      </c>
      <c r="D1251" s="29" t="s">
        <v>28</v>
      </c>
      <c r="E1251" s="30" t="s">
        <v>418</v>
      </c>
      <c r="F1251" s="28" t="s">
        <v>356</v>
      </c>
      <c r="G1251" s="30" t="s">
        <v>643</v>
      </c>
      <c r="H1251" t="str">
        <f>CONCATENATE(Prequal[[#This Row],[CITY]], ", ",Prequal[[#This Row],[STATE]])</f>
        <v>Downers Grove, IL</v>
      </c>
    </row>
    <row r="1252" spans="2:8" x14ac:dyDescent="0.2">
      <c r="B1252" s="27" t="s">
        <v>158</v>
      </c>
      <c r="C1252" s="28" t="s">
        <v>970</v>
      </c>
      <c r="D1252" s="29" t="s">
        <v>29</v>
      </c>
      <c r="E1252" s="30" t="s">
        <v>418</v>
      </c>
      <c r="F1252" s="28" t="s">
        <v>356</v>
      </c>
      <c r="G1252" s="30" t="s">
        <v>643</v>
      </c>
      <c r="H1252" t="str">
        <f>CONCATENATE(Prequal[[#This Row],[CITY]], ", ",Prequal[[#This Row],[STATE]])</f>
        <v>Downers Grove, IL</v>
      </c>
    </row>
    <row r="1253" spans="2:8" x14ac:dyDescent="0.2">
      <c r="B1253" s="27" t="s">
        <v>158</v>
      </c>
      <c r="C1253" s="28" t="s">
        <v>970</v>
      </c>
      <c r="D1253" s="29" t="s">
        <v>13</v>
      </c>
      <c r="E1253" s="30" t="s">
        <v>418</v>
      </c>
      <c r="F1253" s="28" t="s">
        <v>356</v>
      </c>
      <c r="G1253" s="30" t="s">
        <v>643</v>
      </c>
      <c r="H1253" t="str">
        <f>CONCATENATE(Prequal[[#This Row],[CITY]], ", ",Prequal[[#This Row],[STATE]])</f>
        <v>Downers Grove, IL</v>
      </c>
    </row>
    <row r="1254" spans="2:8" x14ac:dyDescent="0.2">
      <c r="B1254" s="27" t="s">
        <v>158</v>
      </c>
      <c r="C1254" s="28" t="s">
        <v>970</v>
      </c>
      <c r="D1254" s="29" t="s">
        <v>14</v>
      </c>
      <c r="E1254" s="30" t="s">
        <v>418</v>
      </c>
      <c r="F1254" s="28" t="s">
        <v>356</v>
      </c>
      <c r="G1254" s="30" t="s">
        <v>643</v>
      </c>
      <c r="H1254" t="str">
        <f>CONCATENATE(Prequal[[#This Row],[CITY]], ", ",Prequal[[#This Row],[STATE]])</f>
        <v>Downers Grove, IL</v>
      </c>
    </row>
    <row r="1255" spans="2:8" x14ac:dyDescent="0.2">
      <c r="B1255" s="27" t="s">
        <v>158</v>
      </c>
      <c r="C1255" s="28" t="s">
        <v>970</v>
      </c>
      <c r="D1255" s="29" t="s">
        <v>15</v>
      </c>
      <c r="E1255" s="30" t="s">
        <v>418</v>
      </c>
      <c r="F1255" s="28" t="s">
        <v>356</v>
      </c>
      <c r="G1255" s="30" t="s">
        <v>643</v>
      </c>
      <c r="H1255" t="str">
        <f>CONCATENATE(Prequal[[#This Row],[CITY]], ", ",Prequal[[#This Row],[STATE]])</f>
        <v>Downers Grove, IL</v>
      </c>
    </row>
    <row r="1256" spans="2:8" x14ac:dyDescent="0.2">
      <c r="B1256" s="27" t="s">
        <v>929</v>
      </c>
      <c r="C1256" s="28" t="s">
        <v>969</v>
      </c>
      <c r="D1256" s="29" t="s">
        <v>27</v>
      </c>
      <c r="E1256" s="30" t="s">
        <v>420</v>
      </c>
      <c r="F1256" s="28" t="s">
        <v>421</v>
      </c>
      <c r="G1256" s="30" t="s">
        <v>930</v>
      </c>
      <c r="H1256" t="str">
        <f>CONCATENATE(Prequal[[#This Row],[CITY]], ", ",Prequal[[#This Row],[STATE]])</f>
        <v>Lenexa, KS</v>
      </c>
    </row>
    <row r="1257" spans="2:8" x14ac:dyDescent="0.2">
      <c r="B1257" s="27" t="s">
        <v>929</v>
      </c>
      <c r="C1257" s="28" t="s">
        <v>969</v>
      </c>
      <c r="D1257" s="29" t="s">
        <v>14</v>
      </c>
      <c r="E1257" s="30" t="s">
        <v>420</v>
      </c>
      <c r="F1257" s="28" t="s">
        <v>421</v>
      </c>
      <c r="G1257" s="30" t="s">
        <v>930</v>
      </c>
      <c r="H1257" t="str">
        <f>CONCATENATE(Prequal[[#This Row],[CITY]], ", ",Prequal[[#This Row],[STATE]])</f>
        <v>Lenexa, KS</v>
      </c>
    </row>
    <row r="1258" spans="2:8" x14ac:dyDescent="0.2">
      <c r="B1258" s="27" t="s">
        <v>159</v>
      </c>
      <c r="C1258" s="28" t="s">
        <v>969</v>
      </c>
      <c r="D1258" s="29" t="s">
        <v>45</v>
      </c>
      <c r="E1258" s="30" t="s">
        <v>947</v>
      </c>
      <c r="F1258" s="28" t="s">
        <v>356</v>
      </c>
      <c r="G1258" s="30" t="s">
        <v>644</v>
      </c>
      <c r="H1258" t="str">
        <f>CONCATENATE(Prequal[[#This Row],[CITY]], ", ",Prequal[[#This Row],[STATE]])</f>
        <v>Chicago, IL</v>
      </c>
    </row>
    <row r="1259" spans="2:8" x14ac:dyDescent="0.2">
      <c r="B1259" s="27" t="s">
        <v>159</v>
      </c>
      <c r="C1259" s="28" t="s">
        <v>969</v>
      </c>
      <c r="D1259" s="29" t="s">
        <v>46</v>
      </c>
      <c r="E1259" s="30" t="s">
        <v>947</v>
      </c>
      <c r="F1259" s="28" t="s">
        <v>356</v>
      </c>
      <c r="G1259" s="30" t="s">
        <v>644</v>
      </c>
      <c r="H1259" t="str">
        <f>CONCATENATE(Prequal[[#This Row],[CITY]], ", ",Prequal[[#This Row],[STATE]])</f>
        <v>Chicago, IL</v>
      </c>
    </row>
    <row r="1260" spans="2:8" x14ac:dyDescent="0.2">
      <c r="B1260" s="27" t="s">
        <v>159</v>
      </c>
      <c r="C1260" s="28" t="s">
        <v>969</v>
      </c>
      <c r="D1260" s="29" t="s">
        <v>47</v>
      </c>
      <c r="E1260" s="30" t="s">
        <v>947</v>
      </c>
      <c r="F1260" s="28" t="s">
        <v>356</v>
      </c>
      <c r="G1260" s="30" t="s">
        <v>644</v>
      </c>
      <c r="H1260" t="str">
        <f>CONCATENATE(Prequal[[#This Row],[CITY]], ", ",Prequal[[#This Row],[STATE]])</f>
        <v>Chicago, IL</v>
      </c>
    </row>
    <row r="1261" spans="2:8" x14ac:dyDescent="0.2">
      <c r="B1261" s="27" t="s">
        <v>159</v>
      </c>
      <c r="C1261" s="28" t="s">
        <v>969</v>
      </c>
      <c r="D1261" s="29" t="s">
        <v>48</v>
      </c>
      <c r="E1261" s="30" t="s">
        <v>947</v>
      </c>
      <c r="F1261" s="28" t="s">
        <v>356</v>
      </c>
      <c r="G1261" s="30" t="s">
        <v>644</v>
      </c>
      <c r="H1261" t="str">
        <f>CONCATENATE(Prequal[[#This Row],[CITY]], ", ",Prequal[[#This Row],[STATE]])</f>
        <v>Chicago, IL</v>
      </c>
    </row>
    <row r="1262" spans="2:8" x14ac:dyDescent="0.2">
      <c r="B1262" s="27" t="s">
        <v>160</v>
      </c>
      <c r="C1262" s="28" t="s">
        <v>970</v>
      </c>
      <c r="D1262" s="29" t="s">
        <v>46</v>
      </c>
      <c r="E1262" s="30" t="s">
        <v>402</v>
      </c>
      <c r="F1262" s="28" t="s">
        <v>356</v>
      </c>
      <c r="G1262" s="30" t="s">
        <v>645</v>
      </c>
      <c r="H1262" t="str">
        <f>CONCATENATE(Prequal[[#This Row],[CITY]], ", ",Prequal[[#This Row],[STATE]])</f>
        <v>Naperville, IL</v>
      </c>
    </row>
    <row r="1263" spans="2:8" x14ac:dyDescent="0.2">
      <c r="B1263" s="27" t="s">
        <v>160</v>
      </c>
      <c r="C1263" s="28" t="s">
        <v>970</v>
      </c>
      <c r="D1263" s="29" t="s">
        <v>47</v>
      </c>
      <c r="E1263" s="30" t="s">
        <v>402</v>
      </c>
      <c r="F1263" s="28" t="s">
        <v>356</v>
      </c>
      <c r="G1263" s="30" t="s">
        <v>645</v>
      </c>
      <c r="H1263" t="str">
        <f>CONCATENATE(Prequal[[#This Row],[CITY]], ", ",Prequal[[#This Row],[STATE]])</f>
        <v>Naperville, IL</v>
      </c>
    </row>
    <row r="1264" spans="2:8" x14ac:dyDescent="0.2">
      <c r="B1264" s="27" t="s">
        <v>160</v>
      </c>
      <c r="C1264" s="28" t="s">
        <v>970</v>
      </c>
      <c r="D1264" s="29" t="s">
        <v>48</v>
      </c>
      <c r="E1264" s="30" t="s">
        <v>402</v>
      </c>
      <c r="F1264" s="28" t="s">
        <v>356</v>
      </c>
      <c r="G1264" s="30" t="s">
        <v>645</v>
      </c>
      <c r="H1264" t="str">
        <f>CONCATENATE(Prequal[[#This Row],[CITY]], ", ",Prequal[[#This Row],[STATE]])</f>
        <v>Naperville, IL</v>
      </c>
    </row>
    <row r="1265" spans="2:8" x14ac:dyDescent="0.2">
      <c r="B1265" s="27" t="s">
        <v>160</v>
      </c>
      <c r="C1265" s="28" t="s">
        <v>970</v>
      </c>
      <c r="D1265" s="29" t="s">
        <v>10</v>
      </c>
      <c r="E1265" s="30" t="s">
        <v>402</v>
      </c>
      <c r="F1265" s="28" t="s">
        <v>356</v>
      </c>
      <c r="G1265" s="30" t="s">
        <v>645</v>
      </c>
      <c r="H1265" t="str">
        <f>CONCATENATE(Prequal[[#This Row],[CITY]], ", ",Prequal[[#This Row],[STATE]])</f>
        <v>Naperville, IL</v>
      </c>
    </row>
    <row r="1266" spans="2:8" x14ac:dyDescent="0.2">
      <c r="B1266" s="27" t="s">
        <v>160</v>
      </c>
      <c r="C1266" s="28" t="s">
        <v>970</v>
      </c>
      <c r="D1266" s="29" t="s">
        <v>107</v>
      </c>
      <c r="E1266" s="30" t="s">
        <v>402</v>
      </c>
      <c r="F1266" s="28" t="s">
        <v>356</v>
      </c>
      <c r="G1266" s="30" t="s">
        <v>645</v>
      </c>
      <c r="H1266" t="str">
        <f>CONCATENATE(Prequal[[#This Row],[CITY]], ", ",Prequal[[#This Row],[STATE]])</f>
        <v>Naperville, IL</v>
      </c>
    </row>
    <row r="1267" spans="2:8" x14ac:dyDescent="0.2">
      <c r="B1267" s="27" t="s">
        <v>160</v>
      </c>
      <c r="C1267" s="28" t="s">
        <v>970</v>
      </c>
      <c r="D1267" s="29" t="s">
        <v>108</v>
      </c>
      <c r="E1267" s="30" t="s">
        <v>402</v>
      </c>
      <c r="F1267" s="28" t="s">
        <v>356</v>
      </c>
      <c r="G1267" s="30" t="s">
        <v>645</v>
      </c>
      <c r="H1267" t="str">
        <f>CONCATENATE(Prequal[[#This Row],[CITY]], ", ",Prequal[[#This Row],[STATE]])</f>
        <v>Naperville, IL</v>
      </c>
    </row>
    <row r="1268" spans="2:8" x14ac:dyDescent="0.2">
      <c r="B1268" s="27" t="s">
        <v>161</v>
      </c>
      <c r="C1268" s="28" t="s">
        <v>969</v>
      </c>
      <c r="D1268" s="29" t="s">
        <v>46</v>
      </c>
      <c r="E1268" s="30" t="s">
        <v>419</v>
      </c>
      <c r="F1268" s="28" t="s">
        <v>356</v>
      </c>
      <c r="G1268" s="30" t="s">
        <v>646</v>
      </c>
      <c r="H1268" t="str">
        <f>CONCATENATE(Prequal[[#This Row],[CITY]], ", ",Prequal[[#This Row],[STATE]])</f>
        <v>Frankfort, IL</v>
      </c>
    </row>
    <row r="1269" spans="2:8" x14ac:dyDescent="0.2">
      <c r="B1269" s="27" t="s">
        <v>161</v>
      </c>
      <c r="C1269" s="28" t="s">
        <v>969</v>
      </c>
      <c r="D1269" s="29" t="s">
        <v>47</v>
      </c>
      <c r="E1269" s="30" t="s">
        <v>419</v>
      </c>
      <c r="F1269" s="28" t="s">
        <v>356</v>
      </c>
      <c r="G1269" s="30" t="s">
        <v>646</v>
      </c>
      <c r="H1269" t="str">
        <f>CONCATENATE(Prequal[[#This Row],[CITY]], ", ",Prequal[[#This Row],[STATE]])</f>
        <v>Frankfort, IL</v>
      </c>
    </row>
    <row r="1270" spans="2:8" x14ac:dyDescent="0.2">
      <c r="B1270" s="27" t="s">
        <v>161</v>
      </c>
      <c r="C1270" s="28" t="s">
        <v>969</v>
      </c>
      <c r="D1270" s="29" t="s">
        <v>48</v>
      </c>
      <c r="E1270" s="30" t="s">
        <v>419</v>
      </c>
      <c r="F1270" s="28" t="s">
        <v>356</v>
      </c>
      <c r="G1270" s="30" t="s">
        <v>646</v>
      </c>
      <c r="H1270" t="str">
        <f>CONCATENATE(Prequal[[#This Row],[CITY]], ", ",Prequal[[#This Row],[STATE]])</f>
        <v>Frankfort, IL</v>
      </c>
    </row>
    <row r="1271" spans="2:8" x14ac:dyDescent="0.2">
      <c r="B1271" s="27" t="s">
        <v>161</v>
      </c>
      <c r="C1271" s="28" t="s">
        <v>969</v>
      </c>
      <c r="D1271" s="29" t="s">
        <v>107</v>
      </c>
      <c r="E1271" s="30" t="s">
        <v>419</v>
      </c>
      <c r="F1271" s="28" t="s">
        <v>356</v>
      </c>
      <c r="G1271" s="30" t="s">
        <v>646</v>
      </c>
      <c r="H1271" t="str">
        <f>CONCATENATE(Prequal[[#This Row],[CITY]], ", ",Prequal[[#This Row],[STATE]])</f>
        <v>Frankfort, IL</v>
      </c>
    </row>
    <row r="1272" spans="2:8" x14ac:dyDescent="0.2">
      <c r="B1272" s="27" t="s">
        <v>161</v>
      </c>
      <c r="C1272" s="28" t="s">
        <v>969</v>
      </c>
      <c r="D1272" s="29" t="s">
        <v>108</v>
      </c>
      <c r="E1272" s="30" t="s">
        <v>419</v>
      </c>
      <c r="F1272" s="28" t="s">
        <v>356</v>
      </c>
      <c r="G1272" s="30" t="s">
        <v>646</v>
      </c>
      <c r="H1272" t="str">
        <f>CONCATENATE(Prequal[[#This Row],[CITY]], ", ",Prequal[[#This Row],[STATE]])</f>
        <v>Frankfort, IL</v>
      </c>
    </row>
    <row r="1273" spans="2:8" x14ac:dyDescent="0.2">
      <c r="B1273" s="27" t="s">
        <v>162</v>
      </c>
      <c r="C1273" s="28" t="s">
        <v>969</v>
      </c>
      <c r="D1273" s="29" t="s">
        <v>4</v>
      </c>
      <c r="E1273" s="30" t="s">
        <v>420</v>
      </c>
      <c r="F1273" s="28" t="s">
        <v>421</v>
      </c>
      <c r="G1273" s="30" t="s">
        <v>647</v>
      </c>
      <c r="H1273" t="str">
        <f>CONCATENATE(Prequal[[#This Row],[CITY]], ", ",Prequal[[#This Row],[STATE]])</f>
        <v>Lenexa, KS</v>
      </c>
    </row>
    <row r="1274" spans="2:8" x14ac:dyDescent="0.2">
      <c r="B1274" s="27" t="s">
        <v>162</v>
      </c>
      <c r="C1274" s="28" t="s">
        <v>969</v>
      </c>
      <c r="D1274" s="29" t="s">
        <v>5</v>
      </c>
      <c r="E1274" s="30" t="s">
        <v>420</v>
      </c>
      <c r="F1274" s="28" t="s">
        <v>421</v>
      </c>
      <c r="G1274" s="30" t="s">
        <v>647</v>
      </c>
      <c r="H1274" t="str">
        <f>CONCATENATE(Prequal[[#This Row],[CITY]], ", ",Prequal[[#This Row],[STATE]])</f>
        <v>Lenexa, KS</v>
      </c>
    </row>
    <row r="1275" spans="2:8" x14ac:dyDescent="0.2">
      <c r="B1275" s="27" t="s">
        <v>162</v>
      </c>
      <c r="C1275" s="28" t="s">
        <v>969</v>
      </c>
      <c r="D1275" s="29" t="s">
        <v>8</v>
      </c>
      <c r="E1275" s="30" t="s">
        <v>420</v>
      </c>
      <c r="F1275" s="28" t="s">
        <v>421</v>
      </c>
      <c r="G1275" s="30" t="s">
        <v>647</v>
      </c>
      <c r="H1275" t="str">
        <f>CONCATENATE(Prequal[[#This Row],[CITY]], ", ",Prequal[[#This Row],[STATE]])</f>
        <v>Lenexa, KS</v>
      </c>
    </row>
    <row r="1276" spans="2:8" x14ac:dyDescent="0.2">
      <c r="B1276" s="27" t="s">
        <v>162</v>
      </c>
      <c r="C1276" s="28" t="s">
        <v>969</v>
      </c>
      <c r="D1276" s="29" t="s">
        <v>24</v>
      </c>
      <c r="E1276" s="30" t="s">
        <v>420</v>
      </c>
      <c r="F1276" s="28" t="s">
        <v>421</v>
      </c>
      <c r="G1276" s="30" t="s">
        <v>647</v>
      </c>
      <c r="H1276" t="str">
        <f>CONCATENATE(Prequal[[#This Row],[CITY]], ", ",Prequal[[#This Row],[STATE]])</f>
        <v>Lenexa, KS</v>
      </c>
    </row>
    <row r="1277" spans="2:8" x14ac:dyDescent="0.2">
      <c r="B1277" s="27" t="s">
        <v>162</v>
      </c>
      <c r="C1277" s="28" t="s">
        <v>969</v>
      </c>
      <c r="D1277" s="29" t="s">
        <v>25</v>
      </c>
      <c r="E1277" s="30" t="s">
        <v>420</v>
      </c>
      <c r="F1277" s="28" t="s">
        <v>421</v>
      </c>
      <c r="G1277" s="30" t="s">
        <v>647</v>
      </c>
      <c r="H1277" t="str">
        <f>CONCATENATE(Prequal[[#This Row],[CITY]], ", ",Prequal[[#This Row],[STATE]])</f>
        <v>Lenexa, KS</v>
      </c>
    </row>
    <row r="1278" spans="2:8" x14ac:dyDescent="0.2">
      <c r="B1278" s="27" t="s">
        <v>162</v>
      </c>
      <c r="C1278" s="28" t="s">
        <v>969</v>
      </c>
      <c r="D1278" s="29" t="s">
        <v>9</v>
      </c>
      <c r="E1278" s="30" t="s">
        <v>420</v>
      </c>
      <c r="F1278" s="28" t="s">
        <v>421</v>
      </c>
      <c r="G1278" s="30" t="s">
        <v>647</v>
      </c>
      <c r="H1278" t="str">
        <f>CONCATENATE(Prequal[[#This Row],[CITY]], ", ",Prequal[[#This Row],[STATE]])</f>
        <v>Lenexa, KS</v>
      </c>
    </row>
    <row r="1279" spans="2:8" x14ac:dyDescent="0.2">
      <c r="B1279" s="27" t="s">
        <v>162</v>
      </c>
      <c r="C1279" s="28" t="s">
        <v>969</v>
      </c>
      <c r="D1279" s="29" t="s">
        <v>27</v>
      </c>
      <c r="E1279" s="30" t="s">
        <v>420</v>
      </c>
      <c r="F1279" s="28" t="s">
        <v>421</v>
      </c>
      <c r="G1279" s="30" t="s">
        <v>647</v>
      </c>
      <c r="H1279" t="str">
        <f>CONCATENATE(Prequal[[#This Row],[CITY]], ", ",Prequal[[#This Row],[STATE]])</f>
        <v>Lenexa, KS</v>
      </c>
    </row>
    <row r="1280" spans="2:8" x14ac:dyDescent="0.2">
      <c r="B1280" s="27" t="s">
        <v>162</v>
      </c>
      <c r="C1280" s="28" t="s">
        <v>969</v>
      </c>
      <c r="D1280" s="29" t="s">
        <v>37</v>
      </c>
      <c r="E1280" s="30" t="s">
        <v>420</v>
      </c>
      <c r="F1280" s="28" t="s">
        <v>421</v>
      </c>
      <c r="G1280" s="30" t="s">
        <v>647</v>
      </c>
      <c r="H1280" t="str">
        <f>CONCATENATE(Prequal[[#This Row],[CITY]], ", ",Prequal[[#This Row],[STATE]])</f>
        <v>Lenexa, KS</v>
      </c>
    </row>
    <row r="1281" spans="2:8" x14ac:dyDescent="0.2">
      <c r="B1281" s="27" t="s">
        <v>162</v>
      </c>
      <c r="C1281" s="28" t="s">
        <v>969</v>
      </c>
      <c r="D1281" s="29" t="s">
        <v>13</v>
      </c>
      <c r="E1281" s="30" t="s">
        <v>420</v>
      </c>
      <c r="F1281" s="28" t="s">
        <v>421</v>
      </c>
      <c r="G1281" s="30" t="s">
        <v>647</v>
      </c>
      <c r="H1281" t="str">
        <f>CONCATENATE(Prequal[[#This Row],[CITY]], ", ",Prequal[[#This Row],[STATE]])</f>
        <v>Lenexa, KS</v>
      </c>
    </row>
    <row r="1282" spans="2:8" x14ac:dyDescent="0.2">
      <c r="B1282" s="27" t="s">
        <v>162</v>
      </c>
      <c r="C1282" s="28" t="s">
        <v>969</v>
      </c>
      <c r="D1282" s="29" t="s">
        <v>52</v>
      </c>
      <c r="E1282" s="30" t="s">
        <v>420</v>
      </c>
      <c r="F1282" s="28" t="s">
        <v>421</v>
      </c>
      <c r="G1282" s="30" t="s">
        <v>647</v>
      </c>
      <c r="H1282" t="str">
        <f>CONCATENATE(Prequal[[#This Row],[CITY]], ", ",Prequal[[#This Row],[STATE]])</f>
        <v>Lenexa, KS</v>
      </c>
    </row>
    <row r="1283" spans="2:8" x14ac:dyDescent="0.2">
      <c r="B1283" s="27" t="s">
        <v>162</v>
      </c>
      <c r="C1283" s="28" t="s">
        <v>969</v>
      </c>
      <c r="D1283" s="29" t="s">
        <v>14</v>
      </c>
      <c r="E1283" s="30" t="s">
        <v>420</v>
      </c>
      <c r="F1283" s="28" t="s">
        <v>421</v>
      </c>
      <c r="G1283" s="30" t="s">
        <v>647</v>
      </c>
      <c r="H1283" t="str">
        <f>CONCATENATE(Prequal[[#This Row],[CITY]], ", ",Prequal[[#This Row],[STATE]])</f>
        <v>Lenexa, KS</v>
      </c>
    </row>
    <row r="1284" spans="2:8" x14ac:dyDescent="0.2">
      <c r="B1284" s="27" t="s">
        <v>162</v>
      </c>
      <c r="C1284" s="28" t="s">
        <v>969</v>
      </c>
      <c r="D1284" s="29" t="s">
        <v>15</v>
      </c>
      <c r="E1284" s="30" t="s">
        <v>420</v>
      </c>
      <c r="F1284" s="28" t="s">
        <v>421</v>
      </c>
      <c r="G1284" s="30" t="s">
        <v>647</v>
      </c>
      <c r="H1284" t="str">
        <f>CONCATENATE(Prequal[[#This Row],[CITY]], ", ",Prequal[[#This Row],[STATE]])</f>
        <v>Lenexa, KS</v>
      </c>
    </row>
    <row r="1285" spans="2:8" x14ac:dyDescent="0.2">
      <c r="B1285" s="27" t="s">
        <v>162</v>
      </c>
      <c r="C1285" s="28" t="s">
        <v>969</v>
      </c>
      <c r="D1285" s="29" t="s">
        <v>30</v>
      </c>
      <c r="E1285" s="30" t="s">
        <v>420</v>
      </c>
      <c r="F1285" s="28" t="s">
        <v>421</v>
      </c>
      <c r="G1285" s="30" t="s">
        <v>647</v>
      </c>
      <c r="H1285" t="str">
        <f>CONCATENATE(Prequal[[#This Row],[CITY]], ", ",Prequal[[#This Row],[STATE]])</f>
        <v>Lenexa, KS</v>
      </c>
    </row>
    <row r="1286" spans="2:8" x14ac:dyDescent="0.2">
      <c r="B1286" s="27" t="s">
        <v>162</v>
      </c>
      <c r="C1286" s="28" t="s">
        <v>969</v>
      </c>
      <c r="D1286" s="29" t="s">
        <v>31</v>
      </c>
      <c r="E1286" s="30" t="s">
        <v>420</v>
      </c>
      <c r="F1286" s="28" t="s">
        <v>421</v>
      </c>
      <c r="G1286" s="30" t="s">
        <v>647</v>
      </c>
      <c r="H1286" t="str">
        <f>CONCATENATE(Prequal[[#This Row],[CITY]], ", ",Prequal[[#This Row],[STATE]])</f>
        <v>Lenexa, KS</v>
      </c>
    </row>
    <row r="1287" spans="2:8" x14ac:dyDescent="0.2">
      <c r="B1287" s="27" t="s">
        <v>162</v>
      </c>
      <c r="C1287" s="28" t="s">
        <v>969</v>
      </c>
      <c r="D1287" s="29" t="s">
        <v>32</v>
      </c>
      <c r="E1287" s="30" t="s">
        <v>420</v>
      </c>
      <c r="F1287" s="28" t="s">
        <v>421</v>
      </c>
      <c r="G1287" s="30" t="s">
        <v>647</v>
      </c>
      <c r="H1287" t="str">
        <f>CONCATENATE(Prequal[[#This Row],[CITY]], ", ",Prequal[[#This Row],[STATE]])</f>
        <v>Lenexa, KS</v>
      </c>
    </row>
    <row r="1288" spans="2:8" x14ac:dyDescent="0.2">
      <c r="B1288" s="27" t="s">
        <v>163</v>
      </c>
      <c r="C1288" s="28" t="s">
        <v>969</v>
      </c>
      <c r="D1288" s="29" t="s">
        <v>45</v>
      </c>
      <c r="E1288" s="30" t="s">
        <v>422</v>
      </c>
      <c r="F1288" s="28" t="s">
        <v>423</v>
      </c>
      <c r="G1288" s="30" t="s">
        <v>902</v>
      </c>
      <c r="H1288" t="str">
        <f>CONCATENATE(Prequal[[#This Row],[CITY]], ", ",Prequal[[#This Row],[STATE]])</f>
        <v>Boca Raton, FL</v>
      </c>
    </row>
    <row r="1289" spans="2:8" x14ac:dyDescent="0.2">
      <c r="B1289" s="27" t="s">
        <v>163</v>
      </c>
      <c r="C1289" s="28" t="s">
        <v>969</v>
      </c>
      <c r="D1289" s="29" t="s">
        <v>15</v>
      </c>
      <c r="E1289" s="30" t="s">
        <v>422</v>
      </c>
      <c r="F1289" s="28" t="s">
        <v>423</v>
      </c>
      <c r="G1289" s="30" t="s">
        <v>902</v>
      </c>
      <c r="H1289" t="str">
        <f>CONCATENATE(Prequal[[#This Row],[CITY]], ", ",Prequal[[#This Row],[STATE]])</f>
        <v>Boca Raton, FL</v>
      </c>
    </row>
    <row r="1290" spans="2:8" x14ac:dyDescent="0.2">
      <c r="B1290" s="27" t="s">
        <v>520</v>
      </c>
      <c r="C1290" s="28" t="s">
        <v>969</v>
      </c>
      <c r="D1290" s="29" t="s">
        <v>46</v>
      </c>
      <c r="E1290" s="30" t="s">
        <v>521</v>
      </c>
      <c r="F1290" s="28" t="s">
        <v>365</v>
      </c>
      <c r="G1290" s="30" t="s">
        <v>649</v>
      </c>
      <c r="H1290" t="str">
        <f>CONCATENATE(Prequal[[#This Row],[CITY]], ", ",Prequal[[#This Row],[STATE]])</f>
        <v>Fishers, IN</v>
      </c>
    </row>
    <row r="1291" spans="2:8" x14ac:dyDescent="0.2">
      <c r="B1291" s="27" t="s">
        <v>520</v>
      </c>
      <c r="C1291" s="28" t="s">
        <v>969</v>
      </c>
      <c r="D1291" s="29" t="s">
        <v>48</v>
      </c>
      <c r="E1291" s="30" t="s">
        <v>521</v>
      </c>
      <c r="F1291" s="28" t="s">
        <v>365</v>
      </c>
      <c r="G1291" s="30" t="s">
        <v>649</v>
      </c>
      <c r="H1291" t="str">
        <f>CONCATENATE(Prequal[[#This Row],[CITY]], ", ",Prequal[[#This Row],[STATE]])</f>
        <v>Fishers, IN</v>
      </c>
    </row>
    <row r="1292" spans="2:8" x14ac:dyDescent="0.2">
      <c r="B1292" s="27" t="s">
        <v>1083</v>
      </c>
      <c r="C1292" s="28" t="s">
        <v>970</v>
      </c>
      <c r="D1292" s="29" t="s">
        <v>46</v>
      </c>
      <c r="E1292" s="30" t="s">
        <v>385</v>
      </c>
      <c r="F1292" s="28" t="s">
        <v>378</v>
      </c>
      <c r="G1292" s="30" t="s">
        <v>1084</v>
      </c>
      <c r="H1292" t="str">
        <f>CONCATENATE(Prequal[[#This Row],[CITY]], ", ",Prequal[[#This Row],[STATE]])</f>
        <v>Milwaukee, WI</v>
      </c>
    </row>
    <row r="1293" spans="2:8" x14ac:dyDescent="0.2">
      <c r="B1293" s="27" t="s">
        <v>1083</v>
      </c>
      <c r="C1293" s="28" t="s">
        <v>970</v>
      </c>
      <c r="D1293" s="29" t="s">
        <v>47</v>
      </c>
      <c r="E1293" s="30" t="s">
        <v>385</v>
      </c>
      <c r="F1293" s="28" t="s">
        <v>378</v>
      </c>
      <c r="G1293" s="30" t="s">
        <v>1084</v>
      </c>
      <c r="H1293" t="str">
        <f>CONCATENATE(Prequal[[#This Row],[CITY]], ", ",Prequal[[#This Row],[STATE]])</f>
        <v>Milwaukee, WI</v>
      </c>
    </row>
    <row r="1294" spans="2:8" x14ac:dyDescent="0.2">
      <c r="B1294" s="27" t="s">
        <v>164</v>
      </c>
      <c r="C1294" s="28" t="s">
        <v>969</v>
      </c>
      <c r="D1294" s="29" t="s">
        <v>5</v>
      </c>
      <c r="E1294" s="30" t="s">
        <v>425</v>
      </c>
      <c r="F1294" s="28" t="s">
        <v>356</v>
      </c>
      <c r="G1294" s="30" t="s">
        <v>650</v>
      </c>
      <c r="H1294" t="str">
        <f>CONCATENATE(Prequal[[#This Row],[CITY]], ", ",Prequal[[#This Row],[STATE]])</f>
        <v>Vernon Hills, IL</v>
      </c>
    </row>
    <row r="1295" spans="2:8" x14ac:dyDescent="0.2">
      <c r="B1295" s="27" t="s">
        <v>164</v>
      </c>
      <c r="C1295" s="28" t="s">
        <v>969</v>
      </c>
      <c r="D1295" s="29" t="s">
        <v>6</v>
      </c>
      <c r="E1295" s="30" t="s">
        <v>425</v>
      </c>
      <c r="F1295" s="28" t="s">
        <v>356</v>
      </c>
      <c r="G1295" s="30" t="s">
        <v>650</v>
      </c>
      <c r="H1295" t="str">
        <f>CONCATENATE(Prequal[[#This Row],[CITY]], ", ",Prequal[[#This Row],[STATE]])</f>
        <v>Vernon Hills, IL</v>
      </c>
    </row>
    <row r="1296" spans="2:8" x14ac:dyDescent="0.2">
      <c r="B1296" s="27" t="s">
        <v>164</v>
      </c>
      <c r="C1296" s="28" t="s">
        <v>969</v>
      </c>
      <c r="D1296" s="29" t="s">
        <v>7</v>
      </c>
      <c r="E1296" s="30" t="s">
        <v>425</v>
      </c>
      <c r="F1296" s="28" t="s">
        <v>356</v>
      </c>
      <c r="G1296" s="30" t="s">
        <v>650</v>
      </c>
      <c r="H1296" t="str">
        <f>CONCATENATE(Prequal[[#This Row],[CITY]], ", ",Prequal[[#This Row],[STATE]])</f>
        <v>Vernon Hills, IL</v>
      </c>
    </row>
    <row r="1297" spans="2:8" x14ac:dyDescent="0.2">
      <c r="B1297" s="27" t="s">
        <v>164</v>
      </c>
      <c r="C1297" s="28" t="s">
        <v>969</v>
      </c>
      <c r="D1297" s="29" t="s">
        <v>8</v>
      </c>
      <c r="E1297" s="30" t="s">
        <v>425</v>
      </c>
      <c r="F1297" s="28" t="s">
        <v>356</v>
      </c>
      <c r="G1297" s="30" t="s">
        <v>650</v>
      </c>
      <c r="H1297" t="str">
        <f>CONCATENATE(Prequal[[#This Row],[CITY]], ", ",Prequal[[#This Row],[STATE]])</f>
        <v>Vernon Hills, IL</v>
      </c>
    </row>
    <row r="1298" spans="2:8" x14ac:dyDescent="0.2">
      <c r="B1298" s="27" t="s">
        <v>164</v>
      </c>
      <c r="C1298" s="28" t="s">
        <v>969</v>
      </c>
      <c r="D1298" s="29" t="s">
        <v>24</v>
      </c>
      <c r="E1298" s="30" t="s">
        <v>425</v>
      </c>
      <c r="F1298" s="28" t="s">
        <v>356</v>
      </c>
      <c r="G1298" s="30" t="s">
        <v>650</v>
      </c>
      <c r="H1298" t="str">
        <f>CONCATENATE(Prequal[[#This Row],[CITY]], ", ",Prequal[[#This Row],[STATE]])</f>
        <v>Vernon Hills, IL</v>
      </c>
    </row>
    <row r="1299" spans="2:8" x14ac:dyDescent="0.2">
      <c r="B1299" s="27" t="s">
        <v>164</v>
      </c>
      <c r="C1299" s="28" t="s">
        <v>969</v>
      </c>
      <c r="D1299" s="29" t="s">
        <v>25</v>
      </c>
      <c r="E1299" s="30" t="s">
        <v>425</v>
      </c>
      <c r="F1299" s="28" t="s">
        <v>356</v>
      </c>
      <c r="G1299" s="30" t="s">
        <v>650</v>
      </c>
      <c r="H1299" t="str">
        <f>CONCATENATE(Prequal[[#This Row],[CITY]], ", ",Prequal[[#This Row],[STATE]])</f>
        <v>Vernon Hills, IL</v>
      </c>
    </row>
    <row r="1300" spans="2:8" x14ac:dyDescent="0.2">
      <c r="B1300" s="27" t="s">
        <v>164</v>
      </c>
      <c r="C1300" s="28" t="s">
        <v>969</v>
      </c>
      <c r="D1300" s="29" t="s">
        <v>9</v>
      </c>
      <c r="E1300" s="30" t="s">
        <v>425</v>
      </c>
      <c r="F1300" s="28" t="s">
        <v>356</v>
      </c>
      <c r="G1300" s="30" t="s">
        <v>650</v>
      </c>
      <c r="H1300" t="str">
        <f>CONCATENATE(Prequal[[#This Row],[CITY]], ", ",Prequal[[#This Row],[STATE]])</f>
        <v>Vernon Hills, IL</v>
      </c>
    </row>
    <row r="1301" spans="2:8" x14ac:dyDescent="0.2">
      <c r="B1301" s="27" t="s">
        <v>164</v>
      </c>
      <c r="C1301" s="28" t="s">
        <v>969</v>
      </c>
      <c r="D1301" s="29" t="s">
        <v>27</v>
      </c>
      <c r="E1301" s="30" t="s">
        <v>425</v>
      </c>
      <c r="F1301" s="28" t="s">
        <v>356</v>
      </c>
      <c r="G1301" s="30" t="s">
        <v>650</v>
      </c>
      <c r="H1301" t="str">
        <f>CONCATENATE(Prequal[[#This Row],[CITY]], ", ",Prequal[[#This Row],[STATE]])</f>
        <v>Vernon Hills, IL</v>
      </c>
    </row>
    <row r="1302" spans="2:8" x14ac:dyDescent="0.2">
      <c r="B1302" s="27" t="s">
        <v>164</v>
      </c>
      <c r="C1302" s="28" t="s">
        <v>969</v>
      </c>
      <c r="D1302" s="29" t="s">
        <v>81</v>
      </c>
      <c r="E1302" s="30" t="s">
        <v>425</v>
      </c>
      <c r="F1302" s="28" t="s">
        <v>356</v>
      </c>
      <c r="G1302" s="30" t="s">
        <v>650</v>
      </c>
      <c r="H1302" t="str">
        <f>CONCATENATE(Prequal[[#This Row],[CITY]], ", ",Prequal[[#This Row],[STATE]])</f>
        <v>Vernon Hills, IL</v>
      </c>
    </row>
    <row r="1303" spans="2:8" x14ac:dyDescent="0.2">
      <c r="B1303" s="27" t="s">
        <v>164</v>
      </c>
      <c r="C1303" s="28" t="s">
        <v>969</v>
      </c>
      <c r="D1303" s="29" t="s">
        <v>10</v>
      </c>
      <c r="E1303" s="30" t="s">
        <v>425</v>
      </c>
      <c r="F1303" s="28" t="s">
        <v>356</v>
      </c>
      <c r="G1303" s="30" t="s">
        <v>650</v>
      </c>
      <c r="H1303" t="str">
        <f>CONCATENATE(Prequal[[#This Row],[CITY]], ", ",Prequal[[#This Row],[STATE]])</f>
        <v>Vernon Hills, IL</v>
      </c>
    </row>
    <row r="1304" spans="2:8" x14ac:dyDescent="0.2">
      <c r="B1304" s="27" t="s">
        <v>164</v>
      </c>
      <c r="C1304" s="28" t="s">
        <v>969</v>
      </c>
      <c r="D1304" s="29" t="s">
        <v>12</v>
      </c>
      <c r="E1304" s="30" t="s">
        <v>425</v>
      </c>
      <c r="F1304" s="28" t="s">
        <v>356</v>
      </c>
      <c r="G1304" s="30" t="s">
        <v>650</v>
      </c>
      <c r="H1304" t="str">
        <f>CONCATENATE(Prequal[[#This Row],[CITY]], ", ",Prequal[[#This Row],[STATE]])</f>
        <v>Vernon Hills, IL</v>
      </c>
    </row>
    <row r="1305" spans="2:8" x14ac:dyDescent="0.2">
      <c r="B1305" s="27" t="s">
        <v>164</v>
      </c>
      <c r="C1305" s="28" t="s">
        <v>969</v>
      </c>
      <c r="D1305" s="29" t="s">
        <v>29</v>
      </c>
      <c r="E1305" s="30" t="s">
        <v>425</v>
      </c>
      <c r="F1305" s="28" t="s">
        <v>356</v>
      </c>
      <c r="G1305" s="30" t="s">
        <v>650</v>
      </c>
      <c r="H1305" t="str">
        <f>CONCATENATE(Prequal[[#This Row],[CITY]], ", ",Prequal[[#This Row],[STATE]])</f>
        <v>Vernon Hills, IL</v>
      </c>
    </row>
    <row r="1306" spans="2:8" x14ac:dyDescent="0.2">
      <c r="B1306" s="27" t="s">
        <v>164</v>
      </c>
      <c r="C1306" s="28" t="s">
        <v>969</v>
      </c>
      <c r="D1306" s="29" t="s">
        <v>13</v>
      </c>
      <c r="E1306" s="30" t="s">
        <v>425</v>
      </c>
      <c r="F1306" s="28" t="s">
        <v>356</v>
      </c>
      <c r="G1306" s="30" t="s">
        <v>650</v>
      </c>
      <c r="H1306" t="str">
        <f>CONCATENATE(Prequal[[#This Row],[CITY]], ", ",Prequal[[#This Row],[STATE]])</f>
        <v>Vernon Hills, IL</v>
      </c>
    </row>
    <row r="1307" spans="2:8" x14ac:dyDescent="0.2">
      <c r="B1307" s="27" t="s">
        <v>164</v>
      </c>
      <c r="C1307" s="28" t="s">
        <v>969</v>
      </c>
      <c r="D1307" s="29" t="s">
        <v>52</v>
      </c>
      <c r="E1307" s="30" t="s">
        <v>425</v>
      </c>
      <c r="F1307" s="28" t="s">
        <v>356</v>
      </c>
      <c r="G1307" s="30" t="s">
        <v>650</v>
      </c>
      <c r="H1307" t="str">
        <f>CONCATENATE(Prequal[[#This Row],[CITY]], ", ",Prequal[[#This Row],[STATE]])</f>
        <v>Vernon Hills, IL</v>
      </c>
    </row>
    <row r="1308" spans="2:8" x14ac:dyDescent="0.2">
      <c r="B1308" s="27" t="s">
        <v>164</v>
      </c>
      <c r="C1308" s="28" t="s">
        <v>969</v>
      </c>
      <c r="D1308" s="29" t="s">
        <v>14</v>
      </c>
      <c r="E1308" s="30" t="s">
        <v>425</v>
      </c>
      <c r="F1308" s="28" t="s">
        <v>356</v>
      </c>
      <c r="G1308" s="30" t="s">
        <v>650</v>
      </c>
      <c r="H1308" t="str">
        <f>CONCATENATE(Prequal[[#This Row],[CITY]], ", ",Prequal[[#This Row],[STATE]])</f>
        <v>Vernon Hills, IL</v>
      </c>
    </row>
    <row r="1309" spans="2:8" x14ac:dyDescent="0.2">
      <c r="B1309" s="27" t="s">
        <v>164</v>
      </c>
      <c r="C1309" s="28" t="s">
        <v>969</v>
      </c>
      <c r="D1309" s="29" t="s">
        <v>15</v>
      </c>
      <c r="E1309" s="30" t="s">
        <v>425</v>
      </c>
      <c r="F1309" s="28" t="s">
        <v>356</v>
      </c>
      <c r="G1309" s="30" t="s">
        <v>650</v>
      </c>
      <c r="H1309" t="str">
        <f>CONCATENATE(Prequal[[#This Row],[CITY]], ", ",Prequal[[#This Row],[STATE]])</f>
        <v>Vernon Hills, IL</v>
      </c>
    </row>
    <row r="1310" spans="2:8" x14ac:dyDescent="0.2">
      <c r="B1310" s="27" t="s">
        <v>1116</v>
      </c>
      <c r="C1310" s="28" t="s">
        <v>969</v>
      </c>
      <c r="D1310" s="29" t="s">
        <v>44</v>
      </c>
      <c r="E1310" s="30" t="s">
        <v>947</v>
      </c>
      <c r="F1310" s="28" t="s">
        <v>356</v>
      </c>
      <c r="G1310" s="30" t="s">
        <v>1049</v>
      </c>
      <c r="H1310" t="str">
        <f>CONCATENATE(Prequal[[#This Row],[CITY]], ", ",Prequal[[#This Row],[STATE]])</f>
        <v>Chicago, IL</v>
      </c>
    </row>
    <row r="1311" spans="2:8" x14ac:dyDescent="0.2">
      <c r="B1311" s="27" t="s">
        <v>1116</v>
      </c>
      <c r="C1311" s="28" t="s">
        <v>969</v>
      </c>
      <c r="D1311" s="29" t="s">
        <v>46</v>
      </c>
      <c r="E1311" s="30" t="s">
        <v>947</v>
      </c>
      <c r="F1311" s="28" t="s">
        <v>356</v>
      </c>
      <c r="G1311" s="30" t="s">
        <v>1049</v>
      </c>
      <c r="H1311" t="str">
        <f>CONCATENATE(Prequal[[#This Row],[CITY]], ", ",Prequal[[#This Row],[STATE]])</f>
        <v>Chicago, IL</v>
      </c>
    </row>
    <row r="1312" spans="2:8" x14ac:dyDescent="0.2">
      <c r="B1312" s="27" t="s">
        <v>1116</v>
      </c>
      <c r="C1312" s="28" t="s">
        <v>969</v>
      </c>
      <c r="D1312" s="29" t="s">
        <v>47</v>
      </c>
      <c r="E1312" s="30" t="s">
        <v>947</v>
      </c>
      <c r="F1312" s="28" t="s">
        <v>356</v>
      </c>
      <c r="G1312" s="30" t="s">
        <v>1049</v>
      </c>
      <c r="H1312" t="str">
        <f>CONCATENATE(Prequal[[#This Row],[CITY]], ", ",Prequal[[#This Row],[STATE]])</f>
        <v>Chicago, IL</v>
      </c>
    </row>
    <row r="1313" spans="2:8" x14ac:dyDescent="0.2">
      <c r="B1313" s="27" t="s">
        <v>1116</v>
      </c>
      <c r="C1313" s="28" t="s">
        <v>969</v>
      </c>
      <c r="D1313" s="29" t="s">
        <v>4</v>
      </c>
      <c r="E1313" s="30" t="s">
        <v>947</v>
      </c>
      <c r="F1313" s="28" t="s">
        <v>356</v>
      </c>
      <c r="G1313" s="30" t="s">
        <v>1049</v>
      </c>
      <c r="H1313" t="str">
        <f>CONCATENATE(Prequal[[#This Row],[CITY]], ", ",Prequal[[#This Row],[STATE]])</f>
        <v>Chicago, IL</v>
      </c>
    </row>
    <row r="1314" spans="2:8" x14ac:dyDescent="0.2">
      <c r="B1314" s="27" t="s">
        <v>1116</v>
      </c>
      <c r="C1314" s="28" t="s">
        <v>969</v>
      </c>
      <c r="D1314" s="29" t="s">
        <v>5</v>
      </c>
      <c r="E1314" s="30" t="s">
        <v>947</v>
      </c>
      <c r="F1314" s="28" t="s">
        <v>356</v>
      </c>
      <c r="G1314" s="30" t="s">
        <v>1049</v>
      </c>
      <c r="H1314" t="str">
        <f>CONCATENATE(Prequal[[#This Row],[CITY]], ", ",Prequal[[#This Row],[STATE]])</f>
        <v>Chicago, IL</v>
      </c>
    </row>
    <row r="1315" spans="2:8" x14ac:dyDescent="0.2">
      <c r="B1315" s="27" t="s">
        <v>1116</v>
      </c>
      <c r="C1315" s="28" t="s">
        <v>969</v>
      </c>
      <c r="D1315" s="29" t="s">
        <v>7</v>
      </c>
      <c r="E1315" s="30" t="s">
        <v>947</v>
      </c>
      <c r="F1315" s="28" t="s">
        <v>356</v>
      </c>
      <c r="G1315" s="30" t="s">
        <v>1049</v>
      </c>
      <c r="H1315" t="str">
        <f>CONCATENATE(Prequal[[#This Row],[CITY]], ", ",Prequal[[#This Row],[STATE]])</f>
        <v>Chicago, IL</v>
      </c>
    </row>
    <row r="1316" spans="2:8" x14ac:dyDescent="0.2">
      <c r="B1316" s="27" t="s">
        <v>1116</v>
      </c>
      <c r="C1316" s="28" t="s">
        <v>969</v>
      </c>
      <c r="D1316" s="29" t="s">
        <v>8</v>
      </c>
      <c r="E1316" s="30" t="s">
        <v>947</v>
      </c>
      <c r="F1316" s="28" t="s">
        <v>356</v>
      </c>
      <c r="G1316" s="30" t="s">
        <v>1049</v>
      </c>
      <c r="H1316" t="str">
        <f>CONCATENATE(Prequal[[#This Row],[CITY]], ", ",Prequal[[#This Row],[STATE]])</f>
        <v>Chicago, IL</v>
      </c>
    </row>
    <row r="1317" spans="2:8" x14ac:dyDescent="0.2">
      <c r="B1317" s="27" t="s">
        <v>1116</v>
      </c>
      <c r="C1317" s="28" t="s">
        <v>969</v>
      </c>
      <c r="D1317" s="29" t="s">
        <v>24</v>
      </c>
      <c r="E1317" s="30" t="s">
        <v>947</v>
      </c>
      <c r="F1317" s="28" t="s">
        <v>356</v>
      </c>
      <c r="G1317" s="30" t="s">
        <v>1049</v>
      </c>
      <c r="H1317" t="str">
        <f>CONCATENATE(Prequal[[#This Row],[CITY]], ", ",Prequal[[#This Row],[STATE]])</f>
        <v>Chicago, IL</v>
      </c>
    </row>
    <row r="1318" spans="2:8" x14ac:dyDescent="0.2">
      <c r="B1318" s="27" t="s">
        <v>1116</v>
      </c>
      <c r="C1318" s="28" t="s">
        <v>969</v>
      </c>
      <c r="D1318" s="29" t="s">
        <v>25</v>
      </c>
      <c r="E1318" s="30" t="s">
        <v>947</v>
      </c>
      <c r="F1318" s="28" t="s">
        <v>356</v>
      </c>
      <c r="G1318" s="30" t="s">
        <v>1049</v>
      </c>
      <c r="H1318" t="str">
        <f>CONCATENATE(Prequal[[#This Row],[CITY]], ", ",Prequal[[#This Row],[STATE]])</f>
        <v>Chicago, IL</v>
      </c>
    </row>
    <row r="1319" spans="2:8" x14ac:dyDescent="0.2">
      <c r="B1319" s="27" t="s">
        <v>1116</v>
      </c>
      <c r="C1319" s="28" t="s">
        <v>969</v>
      </c>
      <c r="D1319" s="29" t="s">
        <v>9</v>
      </c>
      <c r="E1319" s="30" t="s">
        <v>947</v>
      </c>
      <c r="F1319" s="28" t="s">
        <v>356</v>
      </c>
      <c r="G1319" s="30" t="s">
        <v>1049</v>
      </c>
      <c r="H1319" t="str">
        <f>CONCATENATE(Prequal[[#This Row],[CITY]], ", ",Prequal[[#This Row],[STATE]])</f>
        <v>Chicago, IL</v>
      </c>
    </row>
    <row r="1320" spans="2:8" x14ac:dyDescent="0.2">
      <c r="B1320" s="27" t="s">
        <v>1116</v>
      </c>
      <c r="C1320" s="28" t="s">
        <v>969</v>
      </c>
      <c r="D1320" s="29" t="s">
        <v>27</v>
      </c>
      <c r="E1320" s="30" t="s">
        <v>947</v>
      </c>
      <c r="F1320" s="28" t="s">
        <v>356</v>
      </c>
      <c r="G1320" s="30" t="s">
        <v>1049</v>
      </c>
      <c r="H1320" t="str">
        <f>CONCATENATE(Prequal[[#This Row],[CITY]], ", ",Prequal[[#This Row],[STATE]])</f>
        <v>Chicago, IL</v>
      </c>
    </row>
    <row r="1321" spans="2:8" x14ac:dyDescent="0.2">
      <c r="B1321" s="27" t="s">
        <v>1116</v>
      </c>
      <c r="C1321" s="28" t="s">
        <v>969</v>
      </c>
      <c r="D1321" s="29" t="s">
        <v>10</v>
      </c>
      <c r="E1321" s="30" t="s">
        <v>947</v>
      </c>
      <c r="F1321" s="28" t="s">
        <v>356</v>
      </c>
      <c r="G1321" s="30" t="s">
        <v>1049</v>
      </c>
      <c r="H1321" t="str">
        <f>CONCATENATE(Prequal[[#This Row],[CITY]], ", ",Prequal[[#This Row],[STATE]])</f>
        <v>Chicago, IL</v>
      </c>
    </row>
    <row r="1322" spans="2:8" x14ac:dyDescent="0.2">
      <c r="B1322" s="27" t="s">
        <v>1116</v>
      </c>
      <c r="C1322" s="28" t="s">
        <v>969</v>
      </c>
      <c r="D1322" s="29" t="s">
        <v>39</v>
      </c>
      <c r="E1322" s="30" t="s">
        <v>947</v>
      </c>
      <c r="F1322" s="28" t="s">
        <v>356</v>
      </c>
      <c r="G1322" s="30" t="s">
        <v>1049</v>
      </c>
      <c r="H1322" t="str">
        <f>CONCATENATE(Prequal[[#This Row],[CITY]], ", ",Prequal[[#This Row],[STATE]])</f>
        <v>Chicago, IL</v>
      </c>
    </row>
    <row r="1323" spans="2:8" x14ac:dyDescent="0.2">
      <c r="B1323" s="27" t="s">
        <v>1116</v>
      </c>
      <c r="C1323" s="28" t="s">
        <v>969</v>
      </c>
      <c r="D1323" s="29" t="s">
        <v>37</v>
      </c>
      <c r="E1323" s="30" t="s">
        <v>947</v>
      </c>
      <c r="F1323" s="28" t="s">
        <v>356</v>
      </c>
      <c r="G1323" s="30" t="s">
        <v>1049</v>
      </c>
      <c r="H1323" t="str">
        <f>CONCATENATE(Prequal[[#This Row],[CITY]], ", ",Prequal[[#This Row],[STATE]])</f>
        <v>Chicago, IL</v>
      </c>
    </row>
    <row r="1324" spans="2:8" x14ac:dyDescent="0.2">
      <c r="B1324" s="27" t="s">
        <v>1116</v>
      </c>
      <c r="C1324" s="28" t="s">
        <v>969</v>
      </c>
      <c r="D1324" s="29" t="s">
        <v>13</v>
      </c>
      <c r="E1324" s="30" t="s">
        <v>947</v>
      </c>
      <c r="F1324" s="28" t="s">
        <v>356</v>
      </c>
      <c r="G1324" s="30" t="s">
        <v>1049</v>
      </c>
      <c r="H1324" t="str">
        <f>CONCATENATE(Prequal[[#This Row],[CITY]], ", ",Prequal[[#This Row],[STATE]])</f>
        <v>Chicago, IL</v>
      </c>
    </row>
    <row r="1325" spans="2:8" x14ac:dyDescent="0.2">
      <c r="B1325" s="27" t="s">
        <v>1116</v>
      </c>
      <c r="C1325" s="28" t="s">
        <v>969</v>
      </c>
      <c r="D1325" s="29" t="s">
        <v>14</v>
      </c>
      <c r="E1325" s="30" t="s">
        <v>947</v>
      </c>
      <c r="F1325" s="28" t="s">
        <v>356</v>
      </c>
      <c r="G1325" s="30" t="s">
        <v>1049</v>
      </c>
      <c r="H1325" t="str">
        <f>CONCATENATE(Prequal[[#This Row],[CITY]], ", ",Prequal[[#This Row],[STATE]])</f>
        <v>Chicago, IL</v>
      </c>
    </row>
    <row r="1326" spans="2:8" x14ac:dyDescent="0.2">
      <c r="B1326" s="27" t="s">
        <v>1116</v>
      </c>
      <c r="C1326" s="28" t="s">
        <v>969</v>
      </c>
      <c r="D1326" s="29" t="s">
        <v>15</v>
      </c>
      <c r="E1326" s="30" t="s">
        <v>947</v>
      </c>
      <c r="F1326" s="28" t="s">
        <v>356</v>
      </c>
      <c r="G1326" s="30" t="s">
        <v>1049</v>
      </c>
      <c r="H1326" t="str">
        <f>CONCATENATE(Prequal[[#This Row],[CITY]], ", ",Prequal[[#This Row],[STATE]])</f>
        <v>Chicago, IL</v>
      </c>
    </row>
    <row r="1327" spans="2:8" x14ac:dyDescent="0.2">
      <c r="B1327" s="27" t="s">
        <v>1116</v>
      </c>
      <c r="C1327" s="28" t="s">
        <v>969</v>
      </c>
      <c r="D1327" s="29" t="s">
        <v>30</v>
      </c>
      <c r="E1327" s="30" t="s">
        <v>947</v>
      </c>
      <c r="F1327" s="28" t="s">
        <v>356</v>
      </c>
      <c r="G1327" s="30" t="s">
        <v>1049</v>
      </c>
      <c r="H1327" t="str">
        <f>CONCATENATE(Prequal[[#This Row],[CITY]], ", ",Prequal[[#This Row],[STATE]])</f>
        <v>Chicago, IL</v>
      </c>
    </row>
    <row r="1328" spans="2:8" x14ac:dyDescent="0.2">
      <c r="B1328" s="27" t="s">
        <v>1116</v>
      </c>
      <c r="C1328" s="28" t="s">
        <v>969</v>
      </c>
      <c r="D1328" s="29" t="s">
        <v>53</v>
      </c>
      <c r="E1328" s="30" t="s">
        <v>947</v>
      </c>
      <c r="F1328" s="28" t="s">
        <v>356</v>
      </c>
      <c r="G1328" s="30" t="s">
        <v>1049</v>
      </c>
      <c r="H1328" t="str">
        <f>CONCATENATE(Prequal[[#This Row],[CITY]], ", ",Prequal[[#This Row],[STATE]])</f>
        <v>Chicago, IL</v>
      </c>
    </row>
    <row r="1329" spans="2:8" x14ac:dyDescent="0.2">
      <c r="B1329" s="27" t="s">
        <v>1116</v>
      </c>
      <c r="C1329" s="28" t="s">
        <v>969</v>
      </c>
      <c r="D1329" s="29" t="s">
        <v>31</v>
      </c>
      <c r="E1329" s="30" t="s">
        <v>947</v>
      </c>
      <c r="F1329" s="28" t="s">
        <v>356</v>
      </c>
      <c r="G1329" s="30" t="s">
        <v>1049</v>
      </c>
      <c r="H1329" t="str">
        <f>CONCATENATE(Prequal[[#This Row],[CITY]], ", ",Prequal[[#This Row],[STATE]])</f>
        <v>Chicago, IL</v>
      </c>
    </row>
    <row r="1330" spans="2:8" x14ac:dyDescent="0.2">
      <c r="B1330" s="27" t="s">
        <v>1116</v>
      </c>
      <c r="C1330" s="28" t="s">
        <v>969</v>
      </c>
      <c r="D1330" s="29" t="s">
        <v>32</v>
      </c>
      <c r="E1330" s="30" t="s">
        <v>947</v>
      </c>
      <c r="F1330" s="28" t="s">
        <v>356</v>
      </c>
      <c r="G1330" s="30" t="s">
        <v>1049</v>
      </c>
      <c r="H1330" t="str">
        <f>CONCATENATE(Prequal[[#This Row],[CITY]], ", ",Prequal[[#This Row],[STATE]])</f>
        <v>Chicago, IL</v>
      </c>
    </row>
    <row r="1331" spans="2:8" x14ac:dyDescent="0.2">
      <c r="B1331" s="27" t="s">
        <v>1116</v>
      </c>
      <c r="C1331" s="28" t="s">
        <v>969</v>
      </c>
      <c r="D1331" s="29" t="s">
        <v>38</v>
      </c>
      <c r="E1331" s="30" t="s">
        <v>947</v>
      </c>
      <c r="F1331" s="28" t="s">
        <v>356</v>
      </c>
      <c r="G1331" s="30" t="s">
        <v>1049</v>
      </c>
      <c r="H1331" t="str">
        <f>CONCATENATE(Prequal[[#This Row],[CITY]], ", ",Prequal[[#This Row],[STATE]])</f>
        <v>Chicago, IL</v>
      </c>
    </row>
    <row r="1332" spans="2:8" x14ac:dyDescent="0.2">
      <c r="B1332" s="27" t="s">
        <v>1116</v>
      </c>
      <c r="C1332" s="28" t="s">
        <v>969</v>
      </c>
      <c r="D1332" s="29" t="s">
        <v>56</v>
      </c>
      <c r="E1332" s="30" t="s">
        <v>947</v>
      </c>
      <c r="F1332" s="28" t="s">
        <v>356</v>
      </c>
      <c r="G1332" s="30" t="s">
        <v>1049</v>
      </c>
      <c r="H1332" t="str">
        <f>CONCATENATE(Prequal[[#This Row],[CITY]], ", ",Prequal[[#This Row],[STATE]])</f>
        <v>Chicago, IL</v>
      </c>
    </row>
    <row r="1333" spans="2:8" x14ac:dyDescent="0.2">
      <c r="B1333" s="27" t="s">
        <v>1116</v>
      </c>
      <c r="C1333" s="28" t="s">
        <v>969</v>
      </c>
      <c r="D1333" s="29" t="s">
        <v>33</v>
      </c>
      <c r="E1333" s="30" t="s">
        <v>947</v>
      </c>
      <c r="F1333" s="28" t="s">
        <v>356</v>
      </c>
      <c r="G1333" s="30" t="s">
        <v>1049</v>
      </c>
      <c r="H1333" t="str">
        <f>CONCATENATE(Prequal[[#This Row],[CITY]], ", ",Prequal[[#This Row],[STATE]])</f>
        <v>Chicago, IL</v>
      </c>
    </row>
    <row r="1334" spans="2:8" x14ac:dyDescent="0.2">
      <c r="B1334" s="27" t="s">
        <v>165</v>
      </c>
      <c r="C1334" s="28" t="s">
        <v>969</v>
      </c>
      <c r="D1334" s="29" t="s">
        <v>5</v>
      </c>
      <c r="E1334" s="30" t="s">
        <v>947</v>
      </c>
      <c r="F1334" s="28" t="s">
        <v>356</v>
      </c>
      <c r="G1334" s="30" t="s">
        <v>651</v>
      </c>
      <c r="H1334" t="str">
        <f>CONCATENATE(Prequal[[#This Row],[CITY]], ", ",Prequal[[#This Row],[STATE]])</f>
        <v>Chicago, IL</v>
      </c>
    </row>
    <row r="1335" spans="2:8" x14ac:dyDescent="0.2">
      <c r="B1335" s="27" t="s">
        <v>165</v>
      </c>
      <c r="C1335" s="28" t="s">
        <v>969</v>
      </c>
      <c r="D1335" s="29" t="s">
        <v>25</v>
      </c>
      <c r="E1335" s="30" t="s">
        <v>947</v>
      </c>
      <c r="F1335" s="28" t="s">
        <v>356</v>
      </c>
      <c r="G1335" s="30" t="s">
        <v>651</v>
      </c>
      <c r="H1335" t="str">
        <f>CONCATENATE(Prequal[[#This Row],[CITY]], ", ",Prequal[[#This Row],[STATE]])</f>
        <v>Chicago, IL</v>
      </c>
    </row>
    <row r="1336" spans="2:8" x14ac:dyDescent="0.2">
      <c r="B1336" s="27" t="s">
        <v>165</v>
      </c>
      <c r="C1336" s="28" t="s">
        <v>969</v>
      </c>
      <c r="D1336" s="29" t="s">
        <v>9</v>
      </c>
      <c r="E1336" s="30" t="s">
        <v>947</v>
      </c>
      <c r="F1336" s="28" t="s">
        <v>356</v>
      </c>
      <c r="G1336" s="30" t="s">
        <v>651</v>
      </c>
      <c r="H1336" t="str">
        <f>CONCATENATE(Prequal[[#This Row],[CITY]], ", ",Prequal[[#This Row],[STATE]])</f>
        <v>Chicago, IL</v>
      </c>
    </row>
    <row r="1337" spans="2:8" x14ac:dyDescent="0.2">
      <c r="B1337" s="27" t="s">
        <v>165</v>
      </c>
      <c r="C1337" s="28" t="s">
        <v>969</v>
      </c>
      <c r="D1337" s="29" t="s">
        <v>20</v>
      </c>
      <c r="E1337" s="30" t="s">
        <v>947</v>
      </c>
      <c r="F1337" s="28" t="s">
        <v>356</v>
      </c>
      <c r="G1337" s="30" t="s">
        <v>651</v>
      </c>
      <c r="H1337" t="str">
        <f>CONCATENATE(Prequal[[#This Row],[CITY]], ", ",Prequal[[#This Row],[STATE]])</f>
        <v>Chicago, IL</v>
      </c>
    </row>
    <row r="1338" spans="2:8" x14ac:dyDescent="0.2">
      <c r="B1338" s="27" t="s">
        <v>165</v>
      </c>
      <c r="C1338" s="28" t="s">
        <v>969</v>
      </c>
      <c r="D1338" s="29" t="s">
        <v>49</v>
      </c>
      <c r="E1338" s="30" t="s">
        <v>947</v>
      </c>
      <c r="F1338" s="28" t="s">
        <v>356</v>
      </c>
      <c r="G1338" s="30" t="s">
        <v>651</v>
      </c>
      <c r="H1338" t="str">
        <f>CONCATENATE(Prequal[[#This Row],[CITY]], ", ",Prequal[[#This Row],[STATE]])</f>
        <v>Chicago, IL</v>
      </c>
    </row>
    <row r="1339" spans="2:8" x14ac:dyDescent="0.2">
      <c r="B1339" s="27" t="s">
        <v>165</v>
      </c>
      <c r="C1339" s="28" t="s">
        <v>969</v>
      </c>
      <c r="D1339" s="29" t="s">
        <v>27</v>
      </c>
      <c r="E1339" s="30" t="s">
        <v>947</v>
      </c>
      <c r="F1339" s="28" t="s">
        <v>356</v>
      </c>
      <c r="G1339" s="30" t="s">
        <v>651</v>
      </c>
      <c r="H1339" t="str">
        <f>CONCATENATE(Prequal[[#This Row],[CITY]], ", ",Prequal[[#This Row],[STATE]])</f>
        <v>Chicago, IL</v>
      </c>
    </row>
    <row r="1340" spans="2:8" x14ac:dyDescent="0.2">
      <c r="B1340" s="27" t="s">
        <v>165</v>
      </c>
      <c r="C1340" s="28" t="s">
        <v>969</v>
      </c>
      <c r="D1340" s="29" t="s">
        <v>59</v>
      </c>
      <c r="E1340" s="30" t="s">
        <v>947</v>
      </c>
      <c r="F1340" s="28" t="s">
        <v>356</v>
      </c>
      <c r="G1340" s="30" t="s">
        <v>651</v>
      </c>
      <c r="H1340" t="str">
        <f>CONCATENATE(Prequal[[#This Row],[CITY]], ", ",Prequal[[#This Row],[STATE]])</f>
        <v>Chicago, IL</v>
      </c>
    </row>
    <row r="1341" spans="2:8" x14ac:dyDescent="0.2">
      <c r="B1341" s="27" t="s">
        <v>165</v>
      </c>
      <c r="C1341" s="28" t="s">
        <v>969</v>
      </c>
      <c r="D1341" s="29" t="s">
        <v>10</v>
      </c>
      <c r="E1341" s="30" t="s">
        <v>947</v>
      </c>
      <c r="F1341" s="28" t="s">
        <v>356</v>
      </c>
      <c r="G1341" s="30" t="s">
        <v>651</v>
      </c>
      <c r="H1341" t="str">
        <f>CONCATENATE(Prequal[[#This Row],[CITY]], ", ",Prequal[[#This Row],[STATE]])</f>
        <v>Chicago, IL</v>
      </c>
    </row>
    <row r="1342" spans="2:8" x14ac:dyDescent="0.2">
      <c r="B1342" s="27" t="s">
        <v>165</v>
      </c>
      <c r="C1342" s="28" t="s">
        <v>969</v>
      </c>
      <c r="D1342" s="29" t="s">
        <v>22</v>
      </c>
      <c r="E1342" s="30" t="s">
        <v>947</v>
      </c>
      <c r="F1342" s="28" t="s">
        <v>356</v>
      </c>
      <c r="G1342" s="30" t="s">
        <v>651</v>
      </c>
      <c r="H1342" t="str">
        <f>CONCATENATE(Prequal[[#This Row],[CITY]], ", ",Prequal[[#This Row],[STATE]])</f>
        <v>Chicago, IL</v>
      </c>
    </row>
    <row r="1343" spans="2:8" x14ac:dyDescent="0.2">
      <c r="B1343" s="27" t="s">
        <v>165</v>
      </c>
      <c r="C1343" s="28" t="s">
        <v>969</v>
      </c>
      <c r="D1343" s="29" t="s">
        <v>37</v>
      </c>
      <c r="E1343" s="30" t="s">
        <v>947</v>
      </c>
      <c r="F1343" s="28" t="s">
        <v>356</v>
      </c>
      <c r="G1343" s="30" t="s">
        <v>651</v>
      </c>
      <c r="H1343" t="str">
        <f>CONCATENATE(Prequal[[#This Row],[CITY]], ", ",Prequal[[#This Row],[STATE]])</f>
        <v>Chicago, IL</v>
      </c>
    </row>
    <row r="1344" spans="2:8" x14ac:dyDescent="0.2">
      <c r="B1344" s="27" t="s">
        <v>165</v>
      </c>
      <c r="C1344" s="28" t="s">
        <v>969</v>
      </c>
      <c r="D1344" s="29" t="s">
        <v>13</v>
      </c>
      <c r="E1344" s="30" t="s">
        <v>947</v>
      </c>
      <c r="F1344" s="28" t="s">
        <v>356</v>
      </c>
      <c r="G1344" s="30" t="s">
        <v>651</v>
      </c>
      <c r="H1344" t="str">
        <f>CONCATENATE(Prequal[[#This Row],[CITY]], ", ",Prequal[[#This Row],[STATE]])</f>
        <v>Chicago, IL</v>
      </c>
    </row>
    <row r="1345" spans="2:8" x14ac:dyDescent="0.2">
      <c r="B1345" s="27" t="s">
        <v>165</v>
      </c>
      <c r="C1345" s="28" t="s">
        <v>969</v>
      </c>
      <c r="D1345" s="29" t="s">
        <v>14</v>
      </c>
      <c r="E1345" s="30" t="s">
        <v>947</v>
      </c>
      <c r="F1345" s="28" t="s">
        <v>356</v>
      </c>
      <c r="G1345" s="30" t="s">
        <v>651</v>
      </c>
      <c r="H1345" t="str">
        <f>CONCATENATE(Prequal[[#This Row],[CITY]], ", ",Prequal[[#This Row],[STATE]])</f>
        <v>Chicago, IL</v>
      </c>
    </row>
    <row r="1346" spans="2:8" x14ac:dyDescent="0.2">
      <c r="B1346" s="27" t="s">
        <v>165</v>
      </c>
      <c r="C1346" s="28" t="s">
        <v>969</v>
      </c>
      <c r="D1346" s="29" t="s">
        <v>15</v>
      </c>
      <c r="E1346" s="30" t="s">
        <v>947</v>
      </c>
      <c r="F1346" s="28" t="s">
        <v>356</v>
      </c>
      <c r="G1346" s="30" t="s">
        <v>651</v>
      </c>
      <c r="H1346" t="str">
        <f>CONCATENATE(Prequal[[#This Row],[CITY]], ", ",Prequal[[#This Row],[STATE]])</f>
        <v>Chicago, IL</v>
      </c>
    </row>
    <row r="1347" spans="2:8" x14ac:dyDescent="0.2">
      <c r="B1347" s="27" t="s">
        <v>165</v>
      </c>
      <c r="C1347" s="28" t="s">
        <v>969</v>
      </c>
      <c r="D1347" s="29" t="s">
        <v>31</v>
      </c>
      <c r="E1347" s="30" t="s">
        <v>947</v>
      </c>
      <c r="F1347" s="28" t="s">
        <v>356</v>
      </c>
      <c r="G1347" s="30" t="s">
        <v>651</v>
      </c>
      <c r="H1347" t="str">
        <f>CONCATENATE(Prequal[[#This Row],[CITY]], ", ",Prequal[[#This Row],[STATE]])</f>
        <v>Chicago, IL</v>
      </c>
    </row>
    <row r="1348" spans="2:8" x14ac:dyDescent="0.2">
      <c r="B1348" s="27" t="s">
        <v>940</v>
      </c>
      <c r="C1348" s="28" t="s">
        <v>970</v>
      </c>
      <c r="D1348" s="29" t="s">
        <v>5</v>
      </c>
      <c r="E1348" s="30" t="s">
        <v>394</v>
      </c>
      <c r="F1348" s="28" t="s">
        <v>361</v>
      </c>
      <c r="G1348" s="30" t="s">
        <v>941</v>
      </c>
      <c r="H1348" t="str">
        <f>CONCATENATE(Prequal[[#This Row],[CITY]], ", ",Prequal[[#This Row],[STATE]])</f>
        <v>St. Louis, MO</v>
      </c>
    </row>
    <row r="1349" spans="2:8" x14ac:dyDescent="0.2">
      <c r="B1349" s="27" t="s">
        <v>940</v>
      </c>
      <c r="C1349" s="28" t="s">
        <v>970</v>
      </c>
      <c r="D1349" s="29" t="s">
        <v>25</v>
      </c>
      <c r="E1349" s="30" t="s">
        <v>394</v>
      </c>
      <c r="F1349" s="28" t="s">
        <v>361</v>
      </c>
      <c r="G1349" s="30" t="s">
        <v>941</v>
      </c>
      <c r="H1349" t="str">
        <f>CONCATENATE(Prequal[[#This Row],[CITY]], ", ",Prequal[[#This Row],[STATE]])</f>
        <v>St. Louis, MO</v>
      </c>
    </row>
    <row r="1350" spans="2:8" x14ac:dyDescent="0.2">
      <c r="B1350" s="27" t="s">
        <v>940</v>
      </c>
      <c r="C1350" s="28" t="s">
        <v>970</v>
      </c>
      <c r="D1350" s="29" t="s">
        <v>9</v>
      </c>
      <c r="E1350" s="30" t="s">
        <v>394</v>
      </c>
      <c r="F1350" s="28" t="s">
        <v>361</v>
      </c>
      <c r="G1350" s="30" t="s">
        <v>941</v>
      </c>
      <c r="H1350" t="str">
        <f>CONCATENATE(Prequal[[#This Row],[CITY]], ", ",Prequal[[#This Row],[STATE]])</f>
        <v>St. Louis, MO</v>
      </c>
    </row>
    <row r="1351" spans="2:8" x14ac:dyDescent="0.2">
      <c r="B1351" s="27" t="s">
        <v>940</v>
      </c>
      <c r="C1351" s="28" t="s">
        <v>970</v>
      </c>
      <c r="D1351" s="29" t="s">
        <v>39</v>
      </c>
      <c r="E1351" s="30" t="s">
        <v>394</v>
      </c>
      <c r="F1351" s="28" t="s">
        <v>361</v>
      </c>
      <c r="G1351" s="30" t="s">
        <v>941</v>
      </c>
      <c r="H1351" t="str">
        <f>CONCATENATE(Prequal[[#This Row],[CITY]], ", ",Prequal[[#This Row],[STATE]])</f>
        <v>St. Louis, MO</v>
      </c>
    </row>
    <row r="1352" spans="2:8" x14ac:dyDescent="0.2">
      <c r="B1352" s="27" t="s">
        <v>166</v>
      </c>
      <c r="C1352" s="28" t="s">
        <v>969</v>
      </c>
      <c r="D1352" s="29" t="s">
        <v>46</v>
      </c>
      <c r="E1352" s="30" t="s">
        <v>387</v>
      </c>
      <c r="F1352" s="28" t="s">
        <v>356</v>
      </c>
      <c r="G1352" s="30" t="s">
        <v>871</v>
      </c>
      <c r="H1352" t="str">
        <f>CONCATENATE(Prequal[[#This Row],[CITY]], ", ",Prequal[[#This Row],[STATE]])</f>
        <v>Belleville, IL</v>
      </c>
    </row>
    <row r="1353" spans="2:8" x14ac:dyDescent="0.2">
      <c r="B1353" s="27" t="s">
        <v>166</v>
      </c>
      <c r="C1353" s="28" t="s">
        <v>969</v>
      </c>
      <c r="D1353" s="29" t="s">
        <v>47</v>
      </c>
      <c r="E1353" s="30" t="s">
        <v>387</v>
      </c>
      <c r="F1353" s="28" t="s">
        <v>356</v>
      </c>
      <c r="G1353" s="30" t="s">
        <v>871</v>
      </c>
      <c r="H1353" t="str">
        <f>CONCATENATE(Prequal[[#This Row],[CITY]], ", ",Prequal[[#This Row],[STATE]])</f>
        <v>Belleville, IL</v>
      </c>
    </row>
    <row r="1354" spans="2:8" x14ac:dyDescent="0.2">
      <c r="B1354" s="27" t="s">
        <v>166</v>
      </c>
      <c r="C1354" s="28" t="s">
        <v>969</v>
      </c>
      <c r="D1354" s="29" t="s">
        <v>4</v>
      </c>
      <c r="E1354" s="30" t="s">
        <v>387</v>
      </c>
      <c r="F1354" s="28" t="s">
        <v>356</v>
      </c>
      <c r="G1354" s="30" t="s">
        <v>871</v>
      </c>
      <c r="H1354" t="str">
        <f>CONCATENATE(Prequal[[#This Row],[CITY]], ", ",Prequal[[#This Row],[STATE]])</f>
        <v>Belleville, IL</v>
      </c>
    </row>
    <row r="1355" spans="2:8" x14ac:dyDescent="0.2">
      <c r="B1355" s="27" t="s">
        <v>166</v>
      </c>
      <c r="C1355" s="28" t="s">
        <v>969</v>
      </c>
      <c r="D1355" s="29" t="s">
        <v>5</v>
      </c>
      <c r="E1355" s="30" t="s">
        <v>387</v>
      </c>
      <c r="F1355" s="28" t="s">
        <v>356</v>
      </c>
      <c r="G1355" s="30" t="s">
        <v>871</v>
      </c>
      <c r="H1355" t="str">
        <f>CONCATENATE(Prequal[[#This Row],[CITY]], ", ",Prequal[[#This Row],[STATE]])</f>
        <v>Belleville, IL</v>
      </c>
    </row>
    <row r="1356" spans="2:8" x14ac:dyDescent="0.2">
      <c r="B1356" s="27" t="s">
        <v>166</v>
      </c>
      <c r="C1356" s="28" t="s">
        <v>969</v>
      </c>
      <c r="D1356" s="29" t="s">
        <v>6</v>
      </c>
      <c r="E1356" s="30" t="s">
        <v>387</v>
      </c>
      <c r="F1356" s="28" t="s">
        <v>356</v>
      </c>
      <c r="G1356" s="30" t="s">
        <v>871</v>
      </c>
      <c r="H1356" t="str">
        <f>CONCATENATE(Prequal[[#This Row],[CITY]], ", ",Prequal[[#This Row],[STATE]])</f>
        <v>Belleville, IL</v>
      </c>
    </row>
    <row r="1357" spans="2:8" x14ac:dyDescent="0.2">
      <c r="B1357" s="27" t="s">
        <v>166</v>
      </c>
      <c r="C1357" s="28" t="s">
        <v>969</v>
      </c>
      <c r="D1357" s="29" t="s">
        <v>7</v>
      </c>
      <c r="E1357" s="30" t="s">
        <v>387</v>
      </c>
      <c r="F1357" s="28" t="s">
        <v>356</v>
      </c>
      <c r="G1357" s="30" t="s">
        <v>871</v>
      </c>
      <c r="H1357" t="str">
        <f>CONCATENATE(Prequal[[#This Row],[CITY]], ", ",Prequal[[#This Row],[STATE]])</f>
        <v>Belleville, IL</v>
      </c>
    </row>
    <row r="1358" spans="2:8" x14ac:dyDescent="0.2">
      <c r="B1358" s="27" t="s">
        <v>166</v>
      </c>
      <c r="C1358" s="28" t="s">
        <v>969</v>
      </c>
      <c r="D1358" s="29" t="s">
        <v>8</v>
      </c>
      <c r="E1358" s="30" t="s">
        <v>387</v>
      </c>
      <c r="F1358" s="28" t="s">
        <v>356</v>
      </c>
      <c r="G1358" s="30" t="s">
        <v>871</v>
      </c>
      <c r="H1358" t="str">
        <f>CONCATENATE(Prequal[[#This Row],[CITY]], ", ",Prequal[[#This Row],[STATE]])</f>
        <v>Belleville, IL</v>
      </c>
    </row>
    <row r="1359" spans="2:8" x14ac:dyDescent="0.2">
      <c r="B1359" s="27" t="s">
        <v>166</v>
      </c>
      <c r="C1359" s="28" t="s">
        <v>969</v>
      </c>
      <c r="D1359" s="29" t="s">
        <v>25</v>
      </c>
      <c r="E1359" s="30" t="s">
        <v>387</v>
      </c>
      <c r="F1359" s="28" t="s">
        <v>356</v>
      </c>
      <c r="G1359" s="30" t="s">
        <v>871</v>
      </c>
      <c r="H1359" t="str">
        <f>CONCATENATE(Prequal[[#This Row],[CITY]], ", ",Prequal[[#This Row],[STATE]])</f>
        <v>Belleville, IL</v>
      </c>
    </row>
    <row r="1360" spans="2:8" x14ac:dyDescent="0.2">
      <c r="B1360" s="27" t="s">
        <v>166</v>
      </c>
      <c r="C1360" s="28" t="s">
        <v>969</v>
      </c>
      <c r="D1360" s="29" t="s">
        <v>9</v>
      </c>
      <c r="E1360" s="30" t="s">
        <v>387</v>
      </c>
      <c r="F1360" s="28" t="s">
        <v>356</v>
      </c>
      <c r="G1360" s="30" t="s">
        <v>871</v>
      </c>
      <c r="H1360" t="str">
        <f>CONCATENATE(Prequal[[#This Row],[CITY]], ", ",Prequal[[#This Row],[STATE]])</f>
        <v>Belleville, IL</v>
      </c>
    </row>
    <row r="1361" spans="2:8" x14ac:dyDescent="0.2">
      <c r="B1361" s="27" t="s">
        <v>166</v>
      </c>
      <c r="C1361" s="28" t="s">
        <v>969</v>
      </c>
      <c r="D1361" s="29" t="s">
        <v>20</v>
      </c>
      <c r="E1361" s="30" t="s">
        <v>387</v>
      </c>
      <c r="F1361" s="28" t="s">
        <v>356</v>
      </c>
      <c r="G1361" s="30" t="s">
        <v>871</v>
      </c>
      <c r="H1361" t="str">
        <f>CONCATENATE(Prequal[[#This Row],[CITY]], ", ",Prequal[[#This Row],[STATE]])</f>
        <v>Belleville, IL</v>
      </c>
    </row>
    <row r="1362" spans="2:8" x14ac:dyDescent="0.2">
      <c r="B1362" s="27" t="s">
        <v>166</v>
      </c>
      <c r="C1362" s="28" t="s">
        <v>969</v>
      </c>
      <c r="D1362" s="29" t="s">
        <v>27</v>
      </c>
      <c r="E1362" s="30" t="s">
        <v>387</v>
      </c>
      <c r="F1362" s="28" t="s">
        <v>356</v>
      </c>
      <c r="G1362" s="30" t="s">
        <v>871</v>
      </c>
      <c r="H1362" t="str">
        <f>CONCATENATE(Prequal[[#This Row],[CITY]], ", ",Prequal[[#This Row],[STATE]])</f>
        <v>Belleville, IL</v>
      </c>
    </row>
    <row r="1363" spans="2:8" x14ac:dyDescent="0.2">
      <c r="B1363" s="27" t="s">
        <v>166</v>
      </c>
      <c r="C1363" s="28" t="s">
        <v>969</v>
      </c>
      <c r="D1363" s="29" t="s">
        <v>10</v>
      </c>
      <c r="E1363" s="30" t="s">
        <v>387</v>
      </c>
      <c r="F1363" s="28" t="s">
        <v>356</v>
      </c>
      <c r="G1363" s="30" t="s">
        <v>871</v>
      </c>
      <c r="H1363" t="str">
        <f>CONCATENATE(Prequal[[#This Row],[CITY]], ", ",Prequal[[#This Row],[STATE]])</f>
        <v>Belleville, IL</v>
      </c>
    </row>
    <row r="1364" spans="2:8" x14ac:dyDescent="0.2">
      <c r="B1364" s="27" t="s">
        <v>166</v>
      </c>
      <c r="C1364" s="28" t="s">
        <v>969</v>
      </c>
      <c r="D1364" s="29" t="s">
        <v>51</v>
      </c>
      <c r="E1364" s="30" t="s">
        <v>387</v>
      </c>
      <c r="F1364" s="28" t="s">
        <v>356</v>
      </c>
      <c r="G1364" s="30" t="s">
        <v>871</v>
      </c>
      <c r="H1364" t="str">
        <f>CONCATENATE(Prequal[[#This Row],[CITY]], ", ",Prequal[[#This Row],[STATE]])</f>
        <v>Belleville, IL</v>
      </c>
    </row>
    <row r="1365" spans="2:8" x14ac:dyDescent="0.2">
      <c r="B1365" s="27" t="s">
        <v>166</v>
      </c>
      <c r="C1365" s="28" t="s">
        <v>969</v>
      </c>
      <c r="D1365" s="29" t="s">
        <v>12</v>
      </c>
      <c r="E1365" s="30" t="s">
        <v>387</v>
      </c>
      <c r="F1365" s="28" t="s">
        <v>356</v>
      </c>
      <c r="G1365" s="30" t="s">
        <v>871</v>
      </c>
      <c r="H1365" t="str">
        <f>CONCATENATE(Prequal[[#This Row],[CITY]], ", ",Prequal[[#This Row],[STATE]])</f>
        <v>Belleville, IL</v>
      </c>
    </row>
    <row r="1366" spans="2:8" x14ac:dyDescent="0.2">
      <c r="B1366" s="27" t="s">
        <v>166</v>
      </c>
      <c r="C1366" s="28" t="s">
        <v>969</v>
      </c>
      <c r="D1366" s="29" t="s">
        <v>29</v>
      </c>
      <c r="E1366" s="30" t="s">
        <v>387</v>
      </c>
      <c r="F1366" s="28" t="s">
        <v>356</v>
      </c>
      <c r="G1366" s="30" t="s">
        <v>871</v>
      </c>
      <c r="H1366" t="str">
        <f>CONCATENATE(Prequal[[#This Row],[CITY]], ", ",Prequal[[#This Row],[STATE]])</f>
        <v>Belleville, IL</v>
      </c>
    </row>
    <row r="1367" spans="2:8" x14ac:dyDescent="0.2">
      <c r="B1367" s="27" t="s">
        <v>166</v>
      </c>
      <c r="C1367" s="28" t="s">
        <v>969</v>
      </c>
      <c r="D1367" s="29" t="s">
        <v>37</v>
      </c>
      <c r="E1367" s="30" t="s">
        <v>387</v>
      </c>
      <c r="F1367" s="28" t="s">
        <v>356</v>
      </c>
      <c r="G1367" s="30" t="s">
        <v>871</v>
      </c>
      <c r="H1367" t="str">
        <f>CONCATENATE(Prequal[[#This Row],[CITY]], ", ",Prequal[[#This Row],[STATE]])</f>
        <v>Belleville, IL</v>
      </c>
    </row>
    <row r="1368" spans="2:8" x14ac:dyDescent="0.2">
      <c r="B1368" s="27" t="s">
        <v>166</v>
      </c>
      <c r="C1368" s="28" t="s">
        <v>969</v>
      </c>
      <c r="D1368" s="29" t="s">
        <v>13</v>
      </c>
      <c r="E1368" s="30" t="s">
        <v>387</v>
      </c>
      <c r="F1368" s="28" t="s">
        <v>356</v>
      </c>
      <c r="G1368" s="30" t="s">
        <v>871</v>
      </c>
      <c r="H1368" t="str">
        <f>CONCATENATE(Prequal[[#This Row],[CITY]], ", ",Prequal[[#This Row],[STATE]])</f>
        <v>Belleville, IL</v>
      </c>
    </row>
    <row r="1369" spans="2:8" x14ac:dyDescent="0.2">
      <c r="B1369" s="27" t="s">
        <v>166</v>
      </c>
      <c r="C1369" s="28" t="s">
        <v>969</v>
      </c>
      <c r="D1369" s="29" t="s">
        <v>14</v>
      </c>
      <c r="E1369" s="30" t="s">
        <v>387</v>
      </c>
      <c r="F1369" s="28" t="s">
        <v>356</v>
      </c>
      <c r="G1369" s="30" t="s">
        <v>871</v>
      </c>
      <c r="H1369" t="str">
        <f>CONCATENATE(Prequal[[#This Row],[CITY]], ", ",Prequal[[#This Row],[STATE]])</f>
        <v>Belleville, IL</v>
      </c>
    </row>
    <row r="1370" spans="2:8" x14ac:dyDescent="0.2">
      <c r="B1370" s="27" t="s">
        <v>166</v>
      </c>
      <c r="C1370" s="28" t="s">
        <v>969</v>
      </c>
      <c r="D1370" s="29" t="s">
        <v>15</v>
      </c>
      <c r="E1370" s="30" t="s">
        <v>387</v>
      </c>
      <c r="F1370" s="28" t="s">
        <v>356</v>
      </c>
      <c r="G1370" s="30" t="s">
        <v>871</v>
      </c>
      <c r="H1370" t="str">
        <f>CONCATENATE(Prequal[[#This Row],[CITY]], ", ",Prequal[[#This Row],[STATE]])</f>
        <v>Belleville, IL</v>
      </c>
    </row>
    <row r="1371" spans="2:8" x14ac:dyDescent="0.2">
      <c r="B1371" s="27" t="s">
        <v>166</v>
      </c>
      <c r="C1371" s="28" t="s">
        <v>969</v>
      </c>
      <c r="D1371" s="29" t="s">
        <v>31</v>
      </c>
      <c r="E1371" s="30" t="s">
        <v>387</v>
      </c>
      <c r="F1371" s="28" t="s">
        <v>356</v>
      </c>
      <c r="G1371" s="30" t="s">
        <v>871</v>
      </c>
      <c r="H1371" t="str">
        <f>CONCATENATE(Prequal[[#This Row],[CITY]], ", ",Prequal[[#This Row],[STATE]])</f>
        <v>Belleville, IL</v>
      </c>
    </row>
    <row r="1372" spans="2:8" x14ac:dyDescent="0.2">
      <c r="B1372" s="27" t="s">
        <v>166</v>
      </c>
      <c r="C1372" s="28" t="s">
        <v>969</v>
      </c>
      <c r="D1372" s="29" t="s">
        <v>32</v>
      </c>
      <c r="E1372" s="30" t="s">
        <v>387</v>
      </c>
      <c r="F1372" s="28" t="s">
        <v>356</v>
      </c>
      <c r="G1372" s="30" t="s">
        <v>871</v>
      </c>
      <c r="H1372" t="str">
        <f>CONCATENATE(Prequal[[#This Row],[CITY]], ", ",Prequal[[#This Row],[STATE]])</f>
        <v>Belleville, IL</v>
      </c>
    </row>
    <row r="1373" spans="2:8" x14ac:dyDescent="0.2">
      <c r="B1373" s="27" t="s">
        <v>167</v>
      </c>
      <c r="C1373" s="28" t="s">
        <v>969</v>
      </c>
      <c r="D1373" s="29" t="s">
        <v>4</v>
      </c>
      <c r="E1373" s="30" t="s">
        <v>947</v>
      </c>
      <c r="F1373" s="28" t="s">
        <v>356</v>
      </c>
      <c r="G1373" s="30" t="s">
        <v>652</v>
      </c>
      <c r="H1373" t="str">
        <f>CONCATENATE(Prequal[[#This Row],[CITY]], ", ",Prequal[[#This Row],[STATE]])</f>
        <v>Chicago, IL</v>
      </c>
    </row>
    <row r="1374" spans="2:8" x14ac:dyDescent="0.2">
      <c r="B1374" s="27" t="s">
        <v>167</v>
      </c>
      <c r="C1374" s="28" t="s">
        <v>969</v>
      </c>
      <c r="D1374" s="29" t="s">
        <v>5</v>
      </c>
      <c r="E1374" s="30" t="s">
        <v>947</v>
      </c>
      <c r="F1374" s="28" t="s">
        <v>356</v>
      </c>
      <c r="G1374" s="30" t="s">
        <v>652</v>
      </c>
      <c r="H1374" t="str">
        <f>CONCATENATE(Prequal[[#This Row],[CITY]], ", ",Prequal[[#This Row],[STATE]])</f>
        <v>Chicago, IL</v>
      </c>
    </row>
    <row r="1375" spans="2:8" x14ac:dyDescent="0.2">
      <c r="B1375" s="27" t="s">
        <v>167</v>
      </c>
      <c r="C1375" s="28" t="s">
        <v>969</v>
      </c>
      <c r="D1375" s="29" t="s">
        <v>7</v>
      </c>
      <c r="E1375" s="30" t="s">
        <v>947</v>
      </c>
      <c r="F1375" s="28" t="s">
        <v>356</v>
      </c>
      <c r="G1375" s="30" t="s">
        <v>652</v>
      </c>
      <c r="H1375" t="str">
        <f>CONCATENATE(Prequal[[#This Row],[CITY]], ", ",Prequal[[#This Row],[STATE]])</f>
        <v>Chicago, IL</v>
      </c>
    </row>
    <row r="1376" spans="2:8" x14ac:dyDescent="0.2">
      <c r="B1376" s="27" t="s">
        <v>167</v>
      </c>
      <c r="C1376" s="28" t="s">
        <v>969</v>
      </c>
      <c r="D1376" s="29" t="s">
        <v>8</v>
      </c>
      <c r="E1376" s="30" t="s">
        <v>947</v>
      </c>
      <c r="F1376" s="28" t="s">
        <v>356</v>
      </c>
      <c r="G1376" s="30" t="s">
        <v>652</v>
      </c>
      <c r="H1376" t="str">
        <f>CONCATENATE(Prequal[[#This Row],[CITY]], ", ",Prequal[[#This Row],[STATE]])</f>
        <v>Chicago, IL</v>
      </c>
    </row>
    <row r="1377" spans="2:8" x14ac:dyDescent="0.2">
      <c r="B1377" s="27" t="s">
        <v>167</v>
      </c>
      <c r="C1377" s="28" t="s">
        <v>969</v>
      </c>
      <c r="D1377" s="29" t="s">
        <v>24</v>
      </c>
      <c r="E1377" s="30" t="s">
        <v>947</v>
      </c>
      <c r="F1377" s="28" t="s">
        <v>356</v>
      </c>
      <c r="G1377" s="30" t="s">
        <v>652</v>
      </c>
      <c r="H1377" t="str">
        <f>CONCATENATE(Prequal[[#This Row],[CITY]], ", ",Prequal[[#This Row],[STATE]])</f>
        <v>Chicago, IL</v>
      </c>
    </row>
    <row r="1378" spans="2:8" x14ac:dyDescent="0.2">
      <c r="B1378" s="27" t="s">
        <v>167</v>
      </c>
      <c r="C1378" s="28" t="s">
        <v>969</v>
      </c>
      <c r="D1378" s="29" t="s">
        <v>25</v>
      </c>
      <c r="E1378" s="30" t="s">
        <v>947</v>
      </c>
      <c r="F1378" s="28" t="s">
        <v>356</v>
      </c>
      <c r="G1378" s="30" t="s">
        <v>652</v>
      </c>
      <c r="H1378" t="str">
        <f>CONCATENATE(Prequal[[#This Row],[CITY]], ", ",Prequal[[#This Row],[STATE]])</f>
        <v>Chicago, IL</v>
      </c>
    </row>
    <row r="1379" spans="2:8" x14ac:dyDescent="0.2">
      <c r="B1379" s="27" t="s">
        <v>167</v>
      </c>
      <c r="C1379" s="28" t="s">
        <v>969</v>
      </c>
      <c r="D1379" s="29" t="s">
        <v>9</v>
      </c>
      <c r="E1379" s="30" t="s">
        <v>947</v>
      </c>
      <c r="F1379" s="28" t="s">
        <v>356</v>
      </c>
      <c r="G1379" s="30" t="s">
        <v>652</v>
      </c>
      <c r="H1379" t="str">
        <f>CONCATENATE(Prequal[[#This Row],[CITY]], ", ",Prequal[[#This Row],[STATE]])</f>
        <v>Chicago, IL</v>
      </c>
    </row>
    <row r="1380" spans="2:8" x14ac:dyDescent="0.2">
      <c r="B1380" s="27" t="s">
        <v>167</v>
      </c>
      <c r="C1380" s="28" t="s">
        <v>969</v>
      </c>
      <c r="D1380" s="29" t="s">
        <v>20</v>
      </c>
      <c r="E1380" s="30" t="s">
        <v>947</v>
      </c>
      <c r="F1380" s="28" t="s">
        <v>356</v>
      </c>
      <c r="G1380" s="30" t="s">
        <v>652</v>
      </c>
      <c r="H1380" t="str">
        <f>CONCATENATE(Prequal[[#This Row],[CITY]], ", ",Prequal[[#This Row],[STATE]])</f>
        <v>Chicago, IL</v>
      </c>
    </row>
    <row r="1381" spans="2:8" x14ac:dyDescent="0.2">
      <c r="B1381" s="27" t="s">
        <v>167</v>
      </c>
      <c r="C1381" s="28" t="s">
        <v>969</v>
      </c>
      <c r="D1381" s="29" t="s">
        <v>27</v>
      </c>
      <c r="E1381" s="30" t="s">
        <v>947</v>
      </c>
      <c r="F1381" s="28" t="s">
        <v>356</v>
      </c>
      <c r="G1381" s="30" t="s">
        <v>652</v>
      </c>
      <c r="H1381" t="str">
        <f>CONCATENATE(Prequal[[#This Row],[CITY]], ", ",Prequal[[#This Row],[STATE]])</f>
        <v>Chicago, IL</v>
      </c>
    </row>
    <row r="1382" spans="2:8" x14ac:dyDescent="0.2">
      <c r="B1382" s="27" t="s">
        <v>167</v>
      </c>
      <c r="C1382" s="28" t="s">
        <v>969</v>
      </c>
      <c r="D1382" s="29" t="s">
        <v>10</v>
      </c>
      <c r="E1382" s="30" t="s">
        <v>947</v>
      </c>
      <c r="F1382" s="28" t="s">
        <v>356</v>
      </c>
      <c r="G1382" s="30" t="s">
        <v>652</v>
      </c>
      <c r="H1382" t="str">
        <f>CONCATENATE(Prequal[[#This Row],[CITY]], ", ",Prequal[[#This Row],[STATE]])</f>
        <v>Chicago, IL</v>
      </c>
    </row>
    <row r="1383" spans="2:8" x14ac:dyDescent="0.2">
      <c r="B1383" s="27" t="s">
        <v>167</v>
      </c>
      <c r="C1383" s="28" t="s">
        <v>969</v>
      </c>
      <c r="D1383" s="29" t="s">
        <v>21</v>
      </c>
      <c r="E1383" s="30" t="s">
        <v>947</v>
      </c>
      <c r="F1383" s="28" t="s">
        <v>356</v>
      </c>
      <c r="G1383" s="30" t="s">
        <v>652</v>
      </c>
      <c r="H1383" t="str">
        <f>CONCATENATE(Prequal[[#This Row],[CITY]], ", ",Prequal[[#This Row],[STATE]])</f>
        <v>Chicago, IL</v>
      </c>
    </row>
    <row r="1384" spans="2:8" x14ac:dyDescent="0.2">
      <c r="B1384" s="27" t="s">
        <v>167</v>
      </c>
      <c r="C1384" s="28" t="s">
        <v>969</v>
      </c>
      <c r="D1384" s="29" t="s">
        <v>11</v>
      </c>
      <c r="E1384" s="30" t="s">
        <v>947</v>
      </c>
      <c r="F1384" s="28" t="s">
        <v>356</v>
      </c>
      <c r="G1384" s="30" t="s">
        <v>652</v>
      </c>
      <c r="H1384" t="str">
        <f>CONCATENATE(Prequal[[#This Row],[CITY]], ", ",Prequal[[#This Row],[STATE]])</f>
        <v>Chicago, IL</v>
      </c>
    </row>
    <row r="1385" spans="2:8" x14ac:dyDescent="0.2">
      <c r="B1385" s="27" t="s">
        <v>167</v>
      </c>
      <c r="C1385" s="28" t="s">
        <v>969</v>
      </c>
      <c r="D1385" s="29" t="s">
        <v>39</v>
      </c>
      <c r="E1385" s="30" t="s">
        <v>947</v>
      </c>
      <c r="F1385" s="28" t="s">
        <v>356</v>
      </c>
      <c r="G1385" s="30" t="s">
        <v>652</v>
      </c>
      <c r="H1385" t="str">
        <f>CONCATENATE(Prequal[[#This Row],[CITY]], ", ",Prequal[[#This Row],[STATE]])</f>
        <v>Chicago, IL</v>
      </c>
    </row>
    <row r="1386" spans="2:8" x14ac:dyDescent="0.2">
      <c r="B1386" s="27" t="s">
        <v>167</v>
      </c>
      <c r="C1386" s="28" t="s">
        <v>969</v>
      </c>
      <c r="D1386" s="29" t="s">
        <v>12</v>
      </c>
      <c r="E1386" s="30" t="s">
        <v>947</v>
      </c>
      <c r="F1386" s="28" t="s">
        <v>356</v>
      </c>
      <c r="G1386" s="30" t="s">
        <v>652</v>
      </c>
      <c r="H1386" t="str">
        <f>CONCATENATE(Prequal[[#This Row],[CITY]], ", ",Prequal[[#This Row],[STATE]])</f>
        <v>Chicago, IL</v>
      </c>
    </row>
    <row r="1387" spans="2:8" x14ac:dyDescent="0.2">
      <c r="B1387" s="27" t="s">
        <v>167</v>
      </c>
      <c r="C1387" s="28" t="s">
        <v>969</v>
      </c>
      <c r="D1387" s="29" t="s">
        <v>29</v>
      </c>
      <c r="E1387" s="30" t="s">
        <v>947</v>
      </c>
      <c r="F1387" s="28" t="s">
        <v>356</v>
      </c>
      <c r="G1387" s="30" t="s">
        <v>652</v>
      </c>
      <c r="H1387" t="str">
        <f>CONCATENATE(Prequal[[#This Row],[CITY]], ", ",Prequal[[#This Row],[STATE]])</f>
        <v>Chicago, IL</v>
      </c>
    </row>
    <row r="1388" spans="2:8" x14ac:dyDescent="0.2">
      <c r="B1388" s="27" t="s">
        <v>167</v>
      </c>
      <c r="C1388" s="28" t="s">
        <v>969</v>
      </c>
      <c r="D1388" s="29" t="s">
        <v>37</v>
      </c>
      <c r="E1388" s="30" t="s">
        <v>947</v>
      </c>
      <c r="F1388" s="28" t="s">
        <v>356</v>
      </c>
      <c r="G1388" s="30" t="s">
        <v>652</v>
      </c>
      <c r="H1388" t="str">
        <f>CONCATENATE(Prequal[[#This Row],[CITY]], ", ",Prequal[[#This Row],[STATE]])</f>
        <v>Chicago, IL</v>
      </c>
    </row>
    <row r="1389" spans="2:8" x14ac:dyDescent="0.2">
      <c r="B1389" s="27" t="s">
        <v>167</v>
      </c>
      <c r="C1389" s="28" t="s">
        <v>969</v>
      </c>
      <c r="D1389" s="29" t="s">
        <v>13</v>
      </c>
      <c r="E1389" s="30" t="s">
        <v>947</v>
      </c>
      <c r="F1389" s="28" t="s">
        <v>356</v>
      </c>
      <c r="G1389" s="30" t="s">
        <v>652</v>
      </c>
      <c r="H1389" t="str">
        <f>CONCATENATE(Prequal[[#This Row],[CITY]], ", ",Prequal[[#This Row],[STATE]])</f>
        <v>Chicago, IL</v>
      </c>
    </row>
    <row r="1390" spans="2:8" x14ac:dyDescent="0.2">
      <c r="B1390" s="27" t="s">
        <v>167</v>
      </c>
      <c r="C1390" s="28" t="s">
        <v>969</v>
      </c>
      <c r="D1390" s="29" t="s">
        <v>14</v>
      </c>
      <c r="E1390" s="30" t="s">
        <v>947</v>
      </c>
      <c r="F1390" s="28" t="s">
        <v>356</v>
      </c>
      <c r="G1390" s="30" t="s">
        <v>652</v>
      </c>
      <c r="H1390" t="str">
        <f>CONCATENATE(Prequal[[#This Row],[CITY]], ", ",Prequal[[#This Row],[STATE]])</f>
        <v>Chicago, IL</v>
      </c>
    </row>
    <row r="1391" spans="2:8" x14ac:dyDescent="0.2">
      <c r="B1391" s="27" t="s">
        <v>167</v>
      </c>
      <c r="C1391" s="28" t="s">
        <v>969</v>
      </c>
      <c r="D1391" s="29" t="s">
        <v>15</v>
      </c>
      <c r="E1391" s="30" t="s">
        <v>947</v>
      </c>
      <c r="F1391" s="28" t="s">
        <v>356</v>
      </c>
      <c r="G1391" s="30" t="s">
        <v>652</v>
      </c>
      <c r="H1391" t="str">
        <f>CONCATENATE(Prequal[[#This Row],[CITY]], ", ",Prequal[[#This Row],[STATE]])</f>
        <v>Chicago, IL</v>
      </c>
    </row>
    <row r="1392" spans="2:8" x14ac:dyDescent="0.2">
      <c r="B1392" s="27" t="s">
        <v>167</v>
      </c>
      <c r="C1392" s="28" t="s">
        <v>969</v>
      </c>
      <c r="D1392" s="29" t="s">
        <v>30</v>
      </c>
      <c r="E1392" s="30" t="s">
        <v>947</v>
      </c>
      <c r="F1392" s="28" t="s">
        <v>356</v>
      </c>
      <c r="G1392" s="30" t="s">
        <v>652</v>
      </c>
      <c r="H1392" t="str">
        <f>CONCATENATE(Prequal[[#This Row],[CITY]], ", ",Prequal[[#This Row],[STATE]])</f>
        <v>Chicago, IL</v>
      </c>
    </row>
    <row r="1393" spans="2:8" x14ac:dyDescent="0.2">
      <c r="B1393" s="27" t="s">
        <v>167</v>
      </c>
      <c r="C1393" s="28" t="s">
        <v>969</v>
      </c>
      <c r="D1393" s="29" t="s">
        <v>31</v>
      </c>
      <c r="E1393" s="30" t="s">
        <v>947</v>
      </c>
      <c r="F1393" s="28" t="s">
        <v>356</v>
      </c>
      <c r="G1393" s="30" t="s">
        <v>652</v>
      </c>
      <c r="H1393" t="str">
        <f>CONCATENATE(Prequal[[#This Row],[CITY]], ", ",Prequal[[#This Row],[STATE]])</f>
        <v>Chicago, IL</v>
      </c>
    </row>
    <row r="1394" spans="2:8" x14ac:dyDescent="0.2">
      <c r="B1394" s="27" t="s">
        <v>167</v>
      </c>
      <c r="C1394" s="28" t="s">
        <v>969</v>
      </c>
      <c r="D1394" s="29" t="s">
        <v>32</v>
      </c>
      <c r="E1394" s="30" t="s">
        <v>947</v>
      </c>
      <c r="F1394" s="28" t="s">
        <v>356</v>
      </c>
      <c r="G1394" s="30" t="s">
        <v>652</v>
      </c>
      <c r="H1394" t="str">
        <f>CONCATENATE(Prequal[[#This Row],[CITY]], ", ",Prequal[[#This Row],[STATE]])</f>
        <v>Chicago, IL</v>
      </c>
    </row>
    <row r="1395" spans="2:8" x14ac:dyDescent="0.2">
      <c r="B1395" s="27" t="s">
        <v>167</v>
      </c>
      <c r="C1395" s="28" t="s">
        <v>969</v>
      </c>
      <c r="D1395" s="29" t="s">
        <v>38</v>
      </c>
      <c r="E1395" s="30" t="s">
        <v>947</v>
      </c>
      <c r="F1395" s="28" t="s">
        <v>356</v>
      </c>
      <c r="G1395" s="30" t="s">
        <v>652</v>
      </c>
      <c r="H1395" t="str">
        <f>CONCATENATE(Prequal[[#This Row],[CITY]], ", ",Prequal[[#This Row],[STATE]])</f>
        <v>Chicago, IL</v>
      </c>
    </row>
    <row r="1396" spans="2:8" x14ac:dyDescent="0.2">
      <c r="B1396" s="27" t="s">
        <v>168</v>
      </c>
      <c r="C1396" s="28" t="s">
        <v>970</v>
      </c>
      <c r="D1396" s="29" t="s">
        <v>5</v>
      </c>
      <c r="E1396" s="30" t="s">
        <v>367</v>
      </c>
      <c r="F1396" s="28" t="s">
        <v>356</v>
      </c>
      <c r="G1396" s="30" t="s">
        <v>653</v>
      </c>
      <c r="H1396" t="str">
        <f>CONCATENATE(Prequal[[#This Row],[CITY]], ", ",Prequal[[#This Row],[STATE]])</f>
        <v>Springfield, IL</v>
      </c>
    </row>
    <row r="1397" spans="2:8" x14ac:dyDescent="0.2">
      <c r="B1397" s="27" t="s">
        <v>168</v>
      </c>
      <c r="C1397" s="28" t="s">
        <v>970</v>
      </c>
      <c r="D1397" s="29" t="s">
        <v>8</v>
      </c>
      <c r="E1397" s="30" t="s">
        <v>367</v>
      </c>
      <c r="F1397" s="28" t="s">
        <v>356</v>
      </c>
      <c r="G1397" s="30" t="s">
        <v>653</v>
      </c>
      <c r="H1397" t="str">
        <f>CONCATENATE(Prequal[[#This Row],[CITY]], ", ",Prequal[[#This Row],[STATE]])</f>
        <v>Springfield, IL</v>
      </c>
    </row>
    <row r="1398" spans="2:8" x14ac:dyDescent="0.2">
      <c r="B1398" s="27" t="s">
        <v>168</v>
      </c>
      <c r="C1398" s="28" t="s">
        <v>970</v>
      </c>
      <c r="D1398" s="29" t="s">
        <v>25</v>
      </c>
      <c r="E1398" s="30" t="s">
        <v>367</v>
      </c>
      <c r="F1398" s="28" t="s">
        <v>356</v>
      </c>
      <c r="G1398" s="30" t="s">
        <v>653</v>
      </c>
      <c r="H1398" t="str">
        <f>CONCATENATE(Prequal[[#This Row],[CITY]], ", ",Prequal[[#This Row],[STATE]])</f>
        <v>Springfield, IL</v>
      </c>
    </row>
    <row r="1399" spans="2:8" x14ac:dyDescent="0.2">
      <c r="B1399" s="27" t="s">
        <v>168</v>
      </c>
      <c r="C1399" s="28" t="s">
        <v>970</v>
      </c>
      <c r="D1399" s="29" t="s">
        <v>9</v>
      </c>
      <c r="E1399" s="30" t="s">
        <v>367</v>
      </c>
      <c r="F1399" s="28" t="s">
        <v>356</v>
      </c>
      <c r="G1399" s="30" t="s">
        <v>653</v>
      </c>
      <c r="H1399" t="str">
        <f>CONCATENATE(Prequal[[#This Row],[CITY]], ", ",Prequal[[#This Row],[STATE]])</f>
        <v>Springfield, IL</v>
      </c>
    </row>
    <row r="1400" spans="2:8" x14ac:dyDescent="0.2">
      <c r="B1400" s="27" t="s">
        <v>168</v>
      </c>
      <c r="C1400" s="28" t="s">
        <v>970</v>
      </c>
      <c r="D1400" s="29" t="s">
        <v>10</v>
      </c>
      <c r="E1400" s="30" t="s">
        <v>367</v>
      </c>
      <c r="F1400" s="28" t="s">
        <v>356</v>
      </c>
      <c r="G1400" s="30" t="s">
        <v>653</v>
      </c>
      <c r="H1400" t="str">
        <f>CONCATENATE(Prequal[[#This Row],[CITY]], ", ",Prequal[[#This Row],[STATE]])</f>
        <v>Springfield, IL</v>
      </c>
    </row>
    <row r="1401" spans="2:8" x14ac:dyDescent="0.2">
      <c r="B1401" s="27" t="s">
        <v>168</v>
      </c>
      <c r="C1401" s="28" t="s">
        <v>970</v>
      </c>
      <c r="D1401" s="29" t="s">
        <v>12</v>
      </c>
      <c r="E1401" s="30" t="s">
        <v>367</v>
      </c>
      <c r="F1401" s="28" t="s">
        <v>356</v>
      </c>
      <c r="G1401" s="30" t="s">
        <v>653</v>
      </c>
      <c r="H1401" t="str">
        <f>CONCATENATE(Prequal[[#This Row],[CITY]], ", ",Prequal[[#This Row],[STATE]])</f>
        <v>Springfield, IL</v>
      </c>
    </row>
    <row r="1402" spans="2:8" x14ac:dyDescent="0.2">
      <c r="B1402" s="27" t="s">
        <v>168</v>
      </c>
      <c r="C1402" s="28" t="s">
        <v>970</v>
      </c>
      <c r="D1402" s="29" t="s">
        <v>29</v>
      </c>
      <c r="E1402" s="30" t="s">
        <v>367</v>
      </c>
      <c r="F1402" s="28" t="s">
        <v>356</v>
      </c>
      <c r="G1402" s="30" t="s">
        <v>653</v>
      </c>
      <c r="H1402" t="str">
        <f>CONCATENATE(Prequal[[#This Row],[CITY]], ", ",Prequal[[#This Row],[STATE]])</f>
        <v>Springfield, IL</v>
      </c>
    </row>
    <row r="1403" spans="2:8" x14ac:dyDescent="0.2">
      <c r="B1403" s="27" t="s">
        <v>168</v>
      </c>
      <c r="C1403" s="28" t="s">
        <v>970</v>
      </c>
      <c r="D1403" s="29" t="s">
        <v>14</v>
      </c>
      <c r="E1403" s="30" t="s">
        <v>367</v>
      </c>
      <c r="F1403" s="28" t="s">
        <v>356</v>
      </c>
      <c r="G1403" s="30" t="s">
        <v>653</v>
      </c>
      <c r="H1403" t="str">
        <f>CONCATENATE(Prequal[[#This Row],[CITY]], ", ",Prequal[[#This Row],[STATE]])</f>
        <v>Springfield, IL</v>
      </c>
    </row>
    <row r="1404" spans="2:8" x14ac:dyDescent="0.2">
      <c r="B1404" s="27" t="s">
        <v>168</v>
      </c>
      <c r="C1404" s="28" t="s">
        <v>970</v>
      </c>
      <c r="D1404" s="29" t="s">
        <v>15</v>
      </c>
      <c r="E1404" s="30" t="s">
        <v>367</v>
      </c>
      <c r="F1404" s="28" t="s">
        <v>356</v>
      </c>
      <c r="G1404" s="30" t="s">
        <v>653</v>
      </c>
      <c r="H1404" t="str">
        <f>CONCATENATE(Prequal[[#This Row],[CITY]], ", ",Prequal[[#This Row],[STATE]])</f>
        <v>Springfield, IL</v>
      </c>
    </row>
    <row r="1405" spans="2:8" x14ac:dyDescent="0.2">
      <c r="B1405" s="27" t="s">
        <v>168</v>
      </c>
      <c r="C1405" s="28" t="s">
        <v>970</v>
      </c>
      <c r="D1405" s="29" t="s">
        <v>31</v>
      </c>
      <c r="E1405" s="30" t="s">
        <v>367</v>
      </c>
      <c r="F1405" s="28" t="s">
        <v>356</v>
      </c>
      <c r="G1405" s="30" t="s">
        <v>653</v>
      </c>
      <c r="H1405" t="str">
        <f>CONCATENATE(Prequal[[#This Row],[CITY]], ", ",Prequal[[#This Row],[STATE]])</f>
        <v>Springfield, IL</v>
      </c>
    </row>
    <row r="1406" spans="2:8" x14ac:dyDescent="0.2">
      <c r="B1406" s="27" t="s">
        <v>168</v>
      </c>
      <c r="C1406" s="28" t="s">
        <v>970</v>
      </c>
      <c r="D1406" s="29" t="s">
        <v>32</v>
      </c>
      <c r="E1406" s="30" t="s">
        <v>367</v>
      </c>
      <c r="F1406" s="28" t="s">
        <v>356</v>
      </c>
      <c r="G1406" s="30" t="s">
        <v>653</v>
      </c>
      <c r="H1406" t="str">
        <f>CONCATENATE(Prequal[[#This Row],[CITY]], ", ",Prequal[[#This Row],[STATE]])</f>
        <v>Springfield, IL</v>
      </c>
    </row>
    <row r="1407" spans="2:8" x14ac:dyDescent="0.2">
      <c r="B1407" s="27" t="s">
        <v>1066</v>
      </c>
      <c r="C1407" s="28" t="s">
        <v>969</v>
      </c>
      <c r="D1407" s="29" t="s">
        <v>27</v>
      </c>
      <c r="E1407" s="30" t="s">
        <v>1067</v>
      </c>
      <c r="F1407" s="28" t="s">
        <v>426</v>
      </c>
      <c r="G1407" s="30" t="s">
        <v>1068</v>
      </c>
      <c r="H1407" t="str">
        <f>CONCATENATE(Prequal[[#This Row],[CITY]], ", ",Prequal[[#This Row],[STATE]])</f>
        <v>Babylon, NY</v>
      </c>
    </row>
    <row r="1408" spans="2:8" x14ac:dyDescent="0.2">
      <c r="B1408" s="27" t="s">
        <v>1066</v>
      </c>
      <c r="C1408" s="28" t="s">
        <v>969</v>
      </c>
      <c r="D1408" s="29" t="s">
        <v>14</v>
      </c>
      <c r="E1408" s="30" t="s">
        <v>1067</v>
      </c>
      <c r="F1408" s="28" t="s">
        <v>426</v>
      </c>
      <c r="G1408" s="30" t="s">
        <v>1068</v>
      </c>
      <c r="H1408" t="str">
        <f>CONCATENATE(Prequal[[#This Row],[CITY]], ", ",Prequal[[#This Row],[STATE]])</f>
        <v>Babylon, NY</v>
      </c>
    </row>
    <row r="1409" spans="2:8" x14ac:dyDescent="0.2">
      <c r="B1409" s="27" t="s">
        <v>907</v>
      </c>
      <c r="C1409" s="28" t="s">
        <v>970</v>
      </c>
      <c r="D1409" s="29" t="s">
        <v>45</v>
      </c>
      <c r="E1409" s="30" t="s">
        <v>376</v>
      </c>
      <c r="F1409" s="28" t="s">
        <v>356</v>
      </c>
      <c r="G1409" s="30" t="s">
        <v>908</v>
      </c>
      <c r="H1409" t="str">
        <f>CONCATENATE(Prequal[[#This Row],[CITY]], ", ",Prequal[[#This Row],[STATE]])</f>
        <v>Northbrook, IL</v>
      </c>
    </row>
    <row r="1410" spans="2:8" x14ac:dyDescent="0.2">
      <c r="B1410" s="27" t="s">
        <v>907</v>
      </c>
      <c r="C1410" s="28" t="s">
        <v>970</v>
      </c>
      <c r="D1410" s="29" t="s">
        <v>46</v>
      </c>
      <c r="E1410" s="30" t="s">
        <v>376</v>
      </c>
      <c r="F1410" s="28" t="s">
        <v>356</v>
      </c>
      <c r="G1410" s="30" t="s">
        <v>908</v>
      </c>
      <c r="H1410" t="str">
        <f>CONCATENATE(Prequal[[#This Row],[CITY]], ", ",Prequal[[#This Row],[STATE]])</f>
        <v>Northbrook, IL</v>
      </c>
    </row>
    <row r="1411" spans="2:8" x14ac:dyDescent="0.2">
      <c r="B1411" s="27" t="s">
        <v>907</v>
      </c>
      <c r="C1411" s="28" t="s">
        <v>970</v>
      </c>
      <c r="D1411" s="29" t="s">
        <v>47</v>
      </c>
      <c r="E1411" s="30" t="s">
        <v>376</v>
      </c>
      <c r="F1411" s="28" t="s">
        <v>356</v>
      </c>
      <c r="G1411" s="30" t="s">
        <v>908</v>
      </c>
      <c r="H1411" t="str">
        <f>CONCATENATE(Prequal[[#This Row],[CITY]], ", ",Prequal[[#This Row],[STATE]])</f>
        <v>Northbrook, IL</v>
      </c>
    </row>
    <row r="1412" spans="2:8" x14ac:dyDescent="0.2">
      <c r="B1412" s="27" t="s">
        <v>169</v>
      </c>
      <c r="C1412" s="28" t="s">
        <v>970</v>
      </c>
      <c r="D1412" s="29" t="s">
        <v>45</v>
      </c>
      <c r="E1412" s="30" t="s">
        <v>370</v>
      </c>
      <c r="F1412" s="28" t="s">
        <v>356</v>
      </c>
      <c r="G1412" s="30" t="s">
        <v>654</v>
      </c>
      <c r="H1412" t="str">
        <f>CONCATENATE(Prequal[[#This Row],[CITY]], ", ",Prequal[[#This Row],[STATE]])</f>
        <v>Schaumburg, IL</v>
      </c>
    </row>
    <row r="1413" spans="2:8" x14ac:dyDescent="0.2">
      <c r="B1413" s="27" t="s">
        <v>169</v>
      </c>
      <c r="C1413" s="28" t="s">
        <v>970</v>
      </c>
      <c r="D1413" s="29" t="s">
        <v>46</v>
      </c>
      <c r="E1413" s="30" t="s">
        <v>370</v>
      </c>
      <c r="F1413" s="28" t="s">
        <v>356</v>
      </c>
      <c r="G1413" s="30" t="s">
        <v>654</v>
      </c>
      <c r="H1413" t="str">
        <f>CONCATENATE(Prequal[[#This Row],[CITY]], ", ",Prequal[[#This Row],[STATE]])</f>
        <v>Schaumburg, IL</v>
      </c>
    </row>
    <row r="1414" spans="2:8" x14ac:dyDescent="0.2">
      <c r="B1414" s="27" t="s">
        <v>169</v>
      </c>
      <c r="C1414" s="28" t="s">
        <v>970</v>
      </c>
      <c r="D1414" s="29" t="s">
        <v>47</v>
      </c>
      <c r="E1414" s="30" t="s">
        <v>370</v>
      </c>
      <c r="F1414" s="28" t="s">
        <v>356</v>
      </c>
      <c r="G1414" s="30" t="s">
        <v>654</v>
      </c>
      <c r="H1414" t="str">
        <f>CONCATENATE(Prequal[[#This Row],[CITY]], ", ",Prequal[[#This Row],[STATE]])</f>
        <v>Schaumburg, IL</v>
      </c>
    </row>
    <row r="1415" spans="2:8" x14ac:dyDescent="0.2">
      <c r="B1415" s="27" t="s">
        <v>169</v>
      </c>
      <c r="C1415" s="28" t="s">
        <v>970</v>
      </c>
      <c r="D1415" s="29" t="s">
        <v>48</v>
      </c>
      <c r="E1415" s="30" t="s">
        <v>370</v>
      </c>
      <c r="F1415" s="28" t="s">
        <v>356</v>
      </c>
      <c r="G1415" s="30" t="s">
        <v>654</v>
      </c>
      <c r="H1415" t="str">
        <f>CONCATENATE(Prequal[[#This Row],[CITY]], ", ",Prequal[[#This Row],[STATE]])</f>
        <v>Schaumburg, IL</v>
      </c>
    </row>
    <row r="1416" spans="2:8" x14ac:dyDescent="0.2">
      <c r="B1416" s="27" t="s">
        <v>169</v>
      </c>
      <c r="C1416" s="28" t="s">
        <v>970</v>
      </c>
      <c r="D1416" s="29" t="s">
        <v>4</v>
      </c>
      <c r="E1416" s="30" t="s">
        <v>370</v>
      </c>
      <c r="F1416" s="28" t="s">
        <v>356</v>
      </c>
      <c r="G1416" s="30" t="s">
        <v>654</v>
      </c>
      <c r="H1416" t="str">
        <f>CONCATENATE(Prequal[[#This Row],[CITY]], ", ",Prequal[[#This Row],[STATE]])</f>
        <v>Schaumburg, IL</v>
      </c>
    </row>
    <row r="1417" spans="2:8" x14ac:dyDescent="0.2">
      <c r="B1417" s="27" t="s">
        <v>169</v>
      </c>
      <c r="C1417" s="28" t="s">
        <v>970</v>
      </c>
      <c r="D1417" s="29" t="s">
        <v>5</v>
      </c>
      <c r="E1417" s="30" t="s">
        <v>370</v>
      </c>
      <c r="F1417" s="28" t="s">
        <v>356</v>
      </c>
      <c r="G1417" s="30" t="s">
        <v>654</v>
      </c>
      <c r="H1417" t="str">
        <f>CONCATENATE(Prequal[[#This Row],[CITY]], ", ",Prequal[[#This Row],[STATE]])</f>
        <v>Schaumburg, IL</v>
      </c>
    </row>
    <row r="1418" spans="2:8" x14ac:dyDescent="0.2">
      <c r="B1418" s="27" t="s">
        <v>169</v>
      </c>
      <c r="C1418" s="28" t="s">
        <v>970</v>
      </c>
      <c r="D1418" s="29" t="s">
        <v>7</v>
      </c>
      <c r="E1418" s="30" t="s">
        <v>370</v>
      </c>
      <c r="F1418" s="28" t="s">
        <v>356</v>
      </c>
      <c r="G1418" s="30" t="s">
        <v>654</v>
      </c>
      <c r="H1418" t="str">
        <f>CONCATENATE(Prequal[[#This Row],[CITY]], ", ",Prequal[[#This Row],[STATE]])</f>
        <v>Schaumburg, IL</v>
      </c>
    </row>
    <row r="1419" spans="2:8" x14ac:dyDescent="0.2">
      <c r="B1419" s="27" t="s">
        <v>169</v>
      </c>
      <c r="C1419" s="28" t="s">
        <v>970</v>
      </c>
      <c r="D1419" s="29" t="s">
        <v>8</v>
      </c>
      <c r="E1419" s="30" t="s">
        <v>370</v>
      </c>
      <c r="F1419" s="28" t="s">
        <v>356</v>
      </c>
      <c r="G1419" s="30" t="s">
        <v>654</v>
      </c>
      <c r="H1419" t="str">
        <f>CONCATENATE(Prequal[[#This Row],[CITY]], ", ",Prequal[[#This Row],[STATE]])</f>
        <v>Schaumburg, IL</v>
      </c>
    </row>
    <row r="1420" spans="2:8" x14ac:dyDescent="0.2">
      <c r="B1420" s="27" t="s">
        <v>169</v>
      </c>
      <c r="C1420" s="28" t="s">
        <v>970</v>
      </c>
      <c r="D1420" s="29" t="s">
        <v>25</v>
      </c>
      <c r="E1420" s="30" t="s">
        <v>370</v>
      </c>
      <c r="F1420" s="28" t="s">
        <v>356</v>
      </c>
      <c r="G1420" s="30" t="s">
        <v>654</v>
      </c>
      <c r="H1420" t="str">
        <f>CONCATENATE(Prequal[[#This Row],[CITY]], ", ",Prequal[[#This Row],[STATE]])</f>
        <v>Schaumburg, IL</v>
      </c>
    </row>
    <row r="1421" spans="2:8" x14ac:dyDescent="0.2">
      <c r="B1421" s="27" t="s">
        <v>169</v>
      </c>
      <c r="C1421" s="28" t="s">
        <v>970</v>
      </c>
      <c r="D1421" s="29" t="s">
        <v>9</v>
      </c>
      <c r="E1421" s="30" t="s">
        <v>370</v>
      </c>
      <c r="F1421" s="28" t="s">
        <v>356</v>
      </c>
      <c r="G1421" s="30" t="s">
        <v>654</v>
      </c>
      <c r="H1421" t="str">
        <f>CONCATENATE(Prequal[[#This Row],[CITY]], ", ",Prequal[[#This Row],[STATE]])</f>
        <v>Schaumburg, IL</v>
      </c>
    </row>
    <row r="1422" spans="2:8" x14ac:dyDescent="0.2">
      <c r="B1422" s="27" t="s">
        <v>169</v>
      </c>
      <c r="C1422" s="28" t="s">
        <v>970</v>
      </c>
      <c r="D1422" s="29" t="s">
        <v>81</v>
      </c>
      <c r="E1422" s="30" t="s">
        <v>370</v>
      </c>
      <c r="F1422" s="28" t="s">
        <v>356</v>
      </c>
      <c r="G1422" s="30" t="s">
        <v>654</v>
      </c>
      <c r="H1422" t="str">
        <f>CONCATENATE(Prequal[[#This Row],[CITY]], ", ",Prequal[[#This Row],[STATE]])</f>
        <v>Schaumburg, IL</v>
      </c>
    </row>
    <row r="1423" spans="2:8" x14ac:dyDescent="0.2">
      <c r="B1423" s="27" t="s">
        <v>169</v>
      </c>
      <c r="C1423" s="28" t="s">
        <v>970</v>
      </c>
      <c r="D1423" s="29" t="s">
        <v>75</v>
      </c>
      <c r="E1423" s="30" t="s">
        <v>370</v>
      </c>
      <c r="F1423" s="28" t="s">
        <v>356</v>
      </c>
      <c r="G1423" s="30" t="s">
        <v>654</v>
      </c>
      <c r="H1423" t="str">
        <f>CONCATENATE(Prequal[[#This Row],[CITY]], ", ",Prequal[[#This Row],[STATE]])</f>
        <v>Schaumburg, IL</v>
      </c>
    </row>
    <row r="1424" spans="2:8" x14ac:dyDescent="0.2">
      <c r="B1424" s="27" t="s">
        <v>169</v>
      </c>
      <c r="C1424" s="28" t="s">
        <v>970</v>
      </c>
      <c r="D1424" s="29" t="s">
        <v>10</v>
      </c>
      <c r="E1424" s="30" t="s">
        <v>370</v>
      </c>
      <c r="F1424" s="28" t="s">
        <v>356</v>
      </c>
      <c r="G1424" s="30" t="s">
        <v>654</v>
      </c>
      <c r="H1424" t="str">
        <f>CONCATENATE(Prequal[[#This Row],[CITY]], ", ",Prequal[[#This Row],[STATE]])</f>
        <v>Schaumburg, IL</v>
      </c>
    </row>
    <row r="1425" spans="2:8" x14ac:dyDescent="0.2">
      <c r="B1425" s="27" t="s">
        <v>169</v>
      </c>
      <c r="C1425" s="28" t="s">
        <v>970</v>
      </c>
      <c r="D1425" s="29" t="s">
        <v>18</v>
      </c>
      <c r="E1425" s="30" t="s">
        <v>370</v>
      </c>
      <c r="F1425" s="28" t="s">
        <v>356</v>
      </c>
      <c r="G1425" s="30" t="s">
        <v>654</v>
      </c>
      <c r="H1425" t="str">
        <f>CONCATENATE(Prequal[[#This Row],[CITY]], ", ",Prequal[[#This Row],[STATE]])</f>
        <v>Schaumburg, IL</v>
      </c>
    </row>
    <row r="1426" spans="2:8" x14ac:dyDescent="0.2">
      <c r="B1426" s="27" t="s">
        <v>169</v>
      </c>
      <c r="C1426" s="28" t="s">
        <v>970</v>
      </c>
      <c r="D1426" s="29" t="s">
        <v>63</v>
      </c>
      <c r="E1426" s="30" t="s">
        <v>370</v>
      </c>
      <c r="F1426" s="28" t="s">
        <v>356</v>
      </c>
      <c r="G1426" s="30" t="s">
        <v>654</v>
      </c>
      <c r="H1426" t="str">
        <f>CONCATENATE(Prequal[[#This Row],[CITY]], ", ",Prequal[[#This Row],[STATE]])</f>
        <v>Schaumburg, IL</v>
      </c>
    </row>
    <row r="1427" spans="2:8" x14ac:dyDescent="0.2">
      <c r="B1427" s="27" t="s">
        <v>169</v>
      </c>
      <c r="C1427" s="28" t="s">
        <v>970</v>
      </c>
      <c r="D1427" s="29" t="s">
        <v>51</v>
      </c>
      <c r="E1427" s="30" t="s">
        <v>370</v>
      </c>
      <c r="F1427" s="28" t="s">
        <v>356</v>
      </c>
      <c r="G1427" s="30" t="s">
        <v>654</v>
      </c>
      <c r="H1427" t="str">
        <f>CONCATENATE(Prequal[[#This Row],[CITY]], ", ",Prequal[[#This Row],[STATE]])</f>
        <v>Schaumburg, IL</v>
      </c>
    </row>
    <row r="1428" spans="2:8" x14ac:dyDescent="0.2">
      <c r="B1428" s="27" t="s">
        <v>169</v>
      </c>
      <c r="C1428" s="28" t="s">
        <v>970</v>
      </c>
      <c r="D1428" s="29" t="s">
        <v>28</v>
      </c>
      <c r="E1428" s="30" t="s">
        <v>370</v>
      </c>
      <c r="F1428" s="28" t="s">
        <v>356</v>
      </c>
      <c r="G1428" s="30" t="s">
        <v>654</v>
      </c>
      <c r="H1428" t="str">
        <f>CONCATENATE(Prequal[[#This Row],[CITY]], ", ",Prequal[[#This Row],[STATE]])</f>
        <v>Schaumburg, IL</v>
      </c>
    </row>
    <row r="1429" spans="2:8" x14ac:dyDescent="0.2">
      <c r="B1429" s="27" t="s">
        <v>169</v>
      </c>
      <c r="C1429" s="28" t="s">
        <v>970</v>
      </c>
      <c r="D1429" s="29" t="s">
        <v>29</v>
      </c>
      <c r="E1429" s="30" t="s">
        <v>370</v>
      </c>
      <c r="F1429" s="28" t="s">
        <v>356</v>
      </c>
      <c r="G1429" s="30" t="s">
        <v>654</v>
      </c>
      <c r="H1429" t="str">
        <f>CONCATENATE(Prequal[[#This Row],[CITY]], ", ",Prequal[[#This Row],[STATE]])</f>
        <v>Schaumburg, IL</v>
      </c>
    </row>
    <row r="1430" spans="2:8" x14ac:dyDescent="0.2">
      <c r="B1430" s="27" t="s">
        <v>169</v>
      </c>
      <c r="C1430" s="28" t="s">
        <v>970</v>
      </c>
      <c r="D1430" s="29" t="s">
        <v>15</v>
      </c>
      <c r="E1430" s="30" t="s">
        <v>370</v>
      </c>
      <c r="F1430" s="28" t="s">
        <v>356</v>
      </c>
      <c r="G1430" s="30" t="s">
        <v>654</v>
      </c>
      <c r="H1430" t="str">
        <f>CONCATENATE(Prequal[[#This Row],[CITY]], ", ",Prequal[[#This Row],[STATE]])</f>
        <v>Schaumburg, IL</v>
      </c>
    </row>
    <row r="1431" spans="2:8" x14ac:dyDescent="0.2">
      <c r="B1431" s="27" t="s">
        <v>169</v>
      </c>
      <c r="C1431" s="28" t="s">
        <v>970</v>
      </c>
      <c r="D1431" s="29" t="s">
        <v>31</v>
      </c>
      <c r="E1431" s="30" t="s">
        <v>370</v>
      </c>
      <c r="F1431" s="28" t="s">
        <v>356</v>
      </c>
      <c r="G1431" s="30" t="s">
        <v>654</v>
      </c>
      <c r="H1431" t="str">
        <f>CONCATENATE(Prequal[[#This Row],[CITY]], ", ",Prequal[[#This Row],[STATE]])</f>
        <v>Schaumburg, IL</v>
      </c>
    </row>
    <row r="1432" spans="2:8" x14ac:dyDescent="0.2">
      <c r="B1432" s="27" t="s">
        <v>169</v>
      </c>
      <c r="C1432" s="28" t="s">
        <v>970</v>
      </c>
      <c r="D1432" s="29" t="s">
        <v>32</v>
      </c>
      <c r="E1432" s="30" t="s">
        <v>370</v>
      </c>
      <c r="F1432" s="28" t="s">
        <v>356</v>
      </c>
      <c r="G1432" s="30" t="s">
        <v>654</v>
      </c>
      <c r="H1432" t="str">
        <f>CONCATENATE(Prequal[[#This Row],[CITY]], ", ",Prequal[[#This Row],[STATE]])</f>
        <v>Schaumburg, IL</v>
      </c>
    </row>
    <row r="1433" spans="2:8" x14ac:dyDescent="0.2">
      <c r="B1433" s="27" t="s">
        <v>169</v>
      </c>
      <c r="C1433" s="28" t="s">
        <v>970</v>
      </c>
      <c r="D1433" s="29" t="s">
        <v>33</v>
      </c>
      <c r="E1433" s="30" t="s">
        <v>370</v>
      </c>
      <c r="F1433" s="28" t="s">
        <v>356</v>
      </c>
      <c r="G1433" s="30" t="s">
        <v>654</v>
      </c>
      <c r="H1433" t="str">
        <f>CONCATENATE(Prequal[[#This Row],[CITY]], ", ",Prequal[[#This Row],[STATE]])</f>
        <v>Schaumburg, IL</v>
      </c>
    </row>
    <row r="1434" spans="2:8" x14ac:dyDescent="0.2">
      <c r="B1434" s="27" t="s">
        <v>857</v>
      </c>
      <c r="C1434" s="28" t="s">
        <v>969</v>
      </c>
      <c r="D1434" s="29" t="s">
        <v>70</v>
      </c>
      <c r="E1434" s="30" t="s">
        <v>947</v>
      </c>
      <c r="F1434" s="28" t="s">
        <v>356</v>
      </c>
      <c r="G1434" s="30" t="s">
        <v>858</v>
      </c>
      <c r="H1434" t="str">
        <f>CONCATENATE(Prequal[[#This Row],[CITY]], ", ",Prequal[[#This Row],[STATE]])</f>
        <v>Chicago, IL</v>
      </c>
    </row>
    <row r="1435" spans="2:8" x14ac:dyDescent="0.2">
      <c r="B1435" s="27" t="s">
        <v>170</v>
      </c>
      <c r="C1435" s="28" t="s">
        <v>970</v>
      </c>
      <c r="D1435" s="29" t="s">
        <v>10</v>
      </c>
      <c r="E1435" s="30" t="s">
        <v>427</v>
      </c>
      <c r="F1435" s="28" t="s">
        <v>356</v>
      </c>
      <c r="G1435" s="30" t="s">
        <v>655</v>
      </c>
      <c r="H1435" t="str">
        <f>CONCATENATE(Prequal[[#This Row],[CITY]], ", ",Prequal[[#This Row],[STATE]])</f>
        <v>Elgin, IL</v>
      </c>
    </row>
    <row r="1436" spans="2:8" x14ac:dyDescent="0.2">
      <c r="B1436" s="27" t="s">
        <v>830</v>
      </c>
      <c r="C1436" s="28" t="s">
        <v>970</v>
      </c>
      <c r="D1436" s="29" t="s">
        <v>10</v>
      </c>
      <c r="E1436" s="30" t="s">
        <v>947</v>
      </c>
      <c r="F1436" s="28" t="s">
        <v>356</v>
      </c>
      <c r="G1436" s="30" t="s">
        <v>831</v>
      </c>
      <c r="H1436" t="str">
        <f>CONCATENATE(Prequal[[#This Row],[CITY]], ", ",Prequal[[#This Row],[STATE]])</f>
        <v>Chicago, IL</v>
      </c>
    </row>
    <row r="1437" spans="2:8" x14ac:dyDescent="0.2">
      <c r="B1437" s="27" t="s">
        <v>171</v>
      </c>
      <c r="C1437" s="28" t="s">
        <v>969</v>
      </c>
      <c r="D1437" s="29" t="s">
        <v>35</v>
      </c>
      <c r="E1437" s="30" t="s">
        <v>947</v>
      </c>
      <c r="F1437" s="28" t="s">
        <v>356</v>
      </c>
      <c r="G1437" s="30" t="s">
        <v>656</v>
      </c>
      <c r="H1437" t="str">
        <f>CONCATENATE(Prequal[[#This Row],[CITY]], ", ",Prequal[[#This Row],[STATE]])</f>
        <v>Chicago, IL</v>
      </c>
    </row>
    <row r="1438" spans="2:8" x14ac:dyDescent="0.2">
      <c r="B1438" s="31" t="s">
        <v>171</v>
      </c>
      <c r="C1438" s="32" t="s">
        <v>969</v>
      </c>
      <c r="D1438" s="33" t="s">
        <v>36</v>
      </c>
      <c r="E1438" s="30" t="s">
        <v>947</v>
      </c>
      <c r="F1438" s="32" t="s">
        <v>356</v>
      </c>
      <c r="G1438" s="30" t="s">
        <v>656</v>
      </c>
      <c r="H1438" t="str">
        <f>CONCATENATE(Prequal[[#This Row],[CITY]], ", ",Prequal[[#This Row],[STATE]])</f>
        <v>Chicago, IL</v>
      </c>
    </row>
    <row r="1439" spans="2:8" x14ac:dyDescent="0.2">
      <c r="B1439" s="31" t="s">
        <v>171</v>
      </c>
      <c r="C1439" s="32" t="s">
        <v>969</v>
      </c>
      <c r="D1439" s="33" t="s">
        <v>125</v>
      </c>
      <c r="E1439" s="30" t="s">
        <v>947</v>
      </c>
      <c r="F1439" s="32" t="s">
        <v>356</v>
      </c>
      <c r="G1439" s="30" t="s">
        <v>656</v>
      </c>
      <c r="H1439" t="str">
        <f>CONCATENATE(Prequal[[#This Row],[CITY]], ", ",Prequal[[#This Row],[STATE]])</f>
        <v>Chicago, IL</v>
      </c>
    </row>
    <row r="1440" spans="2:8" x14ac:dyDescent="0.2">
      <c r="B1440" s="31" t="s">
        <v>171</v>
      </c>
      <c r="C1440" s="32" t="s">
        <v>969</v>
      </c>
      <c r="D1440" s="33" t="s">
        <v>42</v>
      </c>
      <c r="E1440" s="30" t="s">
        <v>947</v>
      </c>
      <c r="F1440" s="32" t="s">
        <v>356</v>
      </c>
      <c r="G1440" s="30" t="s">
        <v>656</v>
      </c>
      <c r="H1440" t="str">
        <f>CONCATENATE(Prequal[[#This Row],[CITY]], ", ",Prequal[[#This Row],[STATE]])</f>
        <v>Chicago, IL</v>
      </c>
    </row>
    <row r="1441" spans="2:8" x14ac:dyDescent="0.2">
      <c r="B1441" s="27" t="s">
        <v>171</v>
      </c>
      <c r="C1441" s="28" t="s">
        <v>969</v>
      </c>
      <c r="D1441" s="29" t="s">
        <v>43</v>
      </c>
      <c r="E1441" s="30" t="s">
        <v>947</v>
      </c>
      <c r="F1441" s="28" t="s">
        <v>356</v>
      </c>
      <c r="G1441" s="30" t="s">
        <v>656</v>
      </c>
      <c r="H1441" t="str">
        <f>CONCATENATE(Prequal[[#This Row],[CITY]], ", ",Prequal[[#This Row],[STATE]])</f>
        <v>Chicago, IL</v>
      </c>
    </row>
    <row r="1442" spans="2:8" x14ac:dyDescent="0.2">
      <c r="B1442" s="31" t="s">
        <v>171</v>
      </c>
      <c r="C1442" s="32" t="s">
        <v>969</v>
      </c>
      <c r="D1442" s="33" t="s">
        <v>44</v>
      </c>
      <c r="E1442" s="30" t="s">
        <v>947</v>
      </c>
      <c r="F1442" s="32" t="s">
        <v>356</v>
      </c>
      <c r="G1442" s="30" t="s">
        <v>656</v>
      </c>
      <c r="H1442" t="str">
        <f>CONCATENATE(Prequal[[#This Row],[CITY]], ", ",Prequal[[#This Row],[STATE]])</f>
        <v>Chicago, IL</v>
      </c>
    </row>
    <row r="1443" spans="2:8" x14ac:dyDescent="0.2">
      <c r="B1443" s="31" t="s">
        <v>171</v>
      </c>
      <c r="C1443" s="32" t="s">
        <v>969</v>
      </c>
      <c r="D1443" s="33" t="s">
        <v>45</v>
      </c>
      <c r="E1443" s="30" t="s">
        <v>947</v>
      </c>
      <c r="F1443" s="32" t="s">
        <v>356</v>
      </c>
      <c r="G1443" s="30" t="s">
        <v>656</v>
      </c>
      <c r="H1443" t="str">
        <f>CONCATENATE(Prequal[[#This Row],[CITY]], ", ",Prequal[[#This Row],[STATE]])</f>
        <v>Chicago, IL</v>
      </c>
    </row>
    <row r="1444" spans="2:8" x14ac:dyDescent="0.2">
      <c r="B1444" s="31" t="s">
        <v>171</v>
      </c>
      <c r="C1444" s="32" t="s">
        <v>969</v>
      </c>
      <c r="D1444" s="33" t="s">
        <v>46</v>
      </c>
      <c r="E1444" s="30" t="s">
        <v>947</v>
      </c>
      <c r="F1444" s="32" t="s">
        <v>356</v>
      </c>
      <c r="G1444" s="30" t="s">
        <v>656</v>
      </c>
      <c r="H1444" t="str">
        <f>CONCATENATE(Prequal[[#This Row],[CITY]], ", ",Prequal[[#This Row],[STATE]])</f>
        <v>Chicago, IL</v>
      </c>
    </row>
    <row r="1445" spans="2:8" x14ac:dyDescent="0.2">
      <c r="B1445" s="31" t="s">
        <v>171</v>
      </c>
      <c r="C1445" s="32" t="s">
        <v>969</v>
      </c>
      <c r="D1445" s="33" t="s">
        <v>47</v>
      </c>
      <c r="E1445" s="30" t="s">
        <v>947</v>
      </c>
      <c r="F1445" s="32" t="s">
        <v>356</v>
      </c>
      <c r="G1445" s="30" t="s">
        <v>656</v>
      </c>
      <c r="H1445" t="str">
        <f>CONCATENATE(Prequal[[#This Row],[CITY]], ", ",Prequal[[#This Row],[STATE]])</f>
        <v>Chicago, IL</v>
      </c>
    </row>
    <row r="1446" spans="2:8" x14ac:dyDescent="0.2">
      <c r="B1446" s="31" t="s">
        <v>171</v>
      </c>
      <c r="C1446" s="32" t="s">
        <v>969</v>
      </c>
      <c r="D1446" s="33" t="s">
        <v>48</v>
      </c>
      <c r="E1446" s="30" t="s">
        <v>947</v>
      </c>
      <c r="F1446" s="32" t="s">
        <v>356</v>
      </c>
      <c r="G1446" s="30" t="s">
        <v>656</v>
      </c>
      <c r="H1446" t="str">
        <f>CONCATENATE(Prequal[[#This Row],[CITY]], ", ",Prequal[[#This Row],[STATE]])</f>
        <v>Chicago, IL</v>
      </c>
    </row>
    <row r="1447" spans="2:8" x14ac:dyDescent="0.2">
      <c r="B1447" s="31" t="s">
        <v>171</v>
      </c>
      <c r="C1447" s="32" t="s">
        <v>969</v>
      </c>
      <c r="D1447" s="33" t="s">
        <v>4</v>
      </c>
      <c r="E1447" s="30" t="s">
        <v>947</v>
      </c>
      <c r="F1447" s="32" t="s">
        <v>356</v>
      </c>
      <c r="G1447" s="30" t="s">
        <v>656</v>
      </c>
      <c r="H1447" t="str">
        <f>CONCATENATE(Prequal[[#This Row],[CITY]], ", ",Prequal[[#This Row],[STATE]])</f>
        <v>Chicago, IL</v>
      </c>
    </row>
    <row r="1448" spans="2:8" x14ac:dyDescent="0.2">
      <c r="B1448" s="31" t="s">
        <v>171</v>
      </c>
      <c r="C1448" s="32" t="s">
        <v>969</v>
      </c>
      <c r="D1448" s="33" t="s">
        <v>5</v>
      </c>
      <c r="E1448" s="30" t="s">
        <v>947</v>
      </c>
      <c r="F1448" s="32" t="s">
        <v>356</v>
      </c>
      <c r="G1448" s="30" t="s">
        <v>656</v>
      </c>
      <c r="H1448" t="str">
        <f>CONCATENATE(Prequal[[#This Row],[CITY]], ", ",Prequal[[#This Row],[STATE]])</f>
        <v>Chicago, IL</v>
      </c>
    </row>
    <row r="1449" spans="2:8" x14ac:dyDescent="0.2">
      <c r="B1449" s="31" t="s">
        <v>171</v>
      </c>
      <c r="C1449" s="32" t="s">
        <v>969</v>
      </c>
      <c r="D1449" s="33" t="s">
        <v>6</v>
      </c>
      <c r="E1449" s="30" t="s">
        <v>947</v>
      </c>
      <c r="F1449" s="32" t="s">
        <v>356</v>
      </c>
      <c r="G1449" s="30" t="s">
        <v>656</v>
      </c>
      <c r="H1449" t="str">
        <f>CONCATENATE(Prequal[[#This Row],[CITY]], ", ",Prequal[[#This Row],[STATE]])</f>
        <v>Chicago, IL</v>
      </c>
    </row>
    <row r="1450" spans="2:8" x14ac:dyDescent="0.2">
      <c r="B1450" s="31" t="s">
        <v>171</v>
      </c>
      <c r="C1450" s="32" t="s">
        <v>969</v>
      </c>
      <c r="D1450" s="33" t="s">
        <v>7</v>
      </c>
      <c r="E1450" s="30" t="s">
        <v>947</v>
      </c>
      <c r="F1450" s="32" t="s">
        <v>356</v>
      </c>
      <c r="G1450" s="30" t="s">
        <v>656</v>
      </c>
      <c r="H1450" t="str">
        <f>CONCATENATE(Prequal[[#This Row],[CITY]], ", ",Prequal[[#This Row],[STATE]])</f>
        <v>Chicago, IL</v>
      </c>
    </row>
    <row r="1451" spans="2:8" x14ac:dyDescent="0.2">
      <c r="B1451" s="31" t="s">
        <v>171</v>
      </c>
      <c r="C1451" s="32" t="s">
        <v>969</v>
      </c>
      <c r="D1451" s="33" t="s">
        <v>8</v>
      </c>
      <c r="E1451" s="30" t="s">
        <v>947</v>
      </c>
      <c r="F1451" s="32" t="s">
        <v>356</v>
      </c>
      <c r="G1451" s="30" t="s">
        <v>656</v>
      </c>
      <c r="H1451" t="str">
        <f>CONCATENATE(Prequal[[#This Row],[CITY]], ", ",Prequal[[#This Row],[STATE]])</f>
        <v>Chicago, IL</v>
      </c>
    </row>
    <row r="1452" spans="2:8" x14ac:dyDescent="0.2">
      <c r="B1452" s="31" t="s">
        <v>171</v>
      </c>
      <c r="C1452" s="32" t="s">
        <v>969</v>
      </c>
      <c r="D1452" s="33" t="s">
        <v>24</v>
      </c>
      <c r="E1452" s="30" t="s">
        <v>947</v>
      </c>
      <c r="F1452" s="32" t="s">
        <v>356</v>
      </c>
      <c r="G1452" s="30" t="s">
        <v>656</v>
      </c>
      <c r="H1452" t="str">
        <f>CONCATENATE(Prequal[[#This Row],[CITY]], ", ",Prequal[[#This Row],[STATE]])</f>
        <v>Chicago, IL</v>
      </c>
    </row>
    <row r="1453" spans="2:8" x14ac:dyDescent="0.2">
      <c r="B1453" s="31" t="s">
        <v>171</v>
      </c>
      <c r="C1453" s="32" t="s">
        <v>969</v>
      </c>
      <c r="D1453" s="33" t="s">
        <v>25</v>
      </c>
      <c r="E1453" s="30" t="s">
        <v>947</v>
      </c>
      <c r="F1453" s="32" t="s">
        <v>356</v>
      </c>
      <c r="G1453" s="30" t="s">
        <v>656</v>
      </c>
      <c r="H1453" t="str">
        <f>CONCATENATE(Prequal[[#This Row],[CITY]], ", ",Prequal[[#This Row],[STATE]])</f>
        <v>Chicago, IL</v>
      </c>
    </row>
    <row r="1454" spans="2:8" x14ac:dyDescent="0.2">
      <c r="B1454" s="31" t="s">
        <v>171</v>
      </c>
      <c r="C1454" s="32" t="s">
        <v>969</v>
      </c>
      <c r="D1454" s="33" t="s">
        <v>9</v>
      </c>
      <c r="E1454" s="30" t="s">
        <v>947</v>
      </c>
      <c r="F1454" s="32" t="s">
        <v>356</v>
      </c>
      <c r="G1454" s="30" t="s">
        <v>656</v>
      </c>
      <c r="H1454" t="str">
        <f>CONCATENATE(Prequal[[#This Row],[CITY]], ", ",Prequal[[#This Row],[STATE]])</f>
        <v>Chicago, IL</v>
      </c>
    </row>
    <row r="1455" spans="2:8" x14ac:dyDescent="0.2">
      <c r="B1455" s="31" t="s">
        <v>171</v>
      </c>
      <c r="C1455" s="32" t="s">
        <v>969</v>
      </c>
      <c r="D1455" s="33" t="s">
        <v>26</v>
      </c>
      <c r="E1455" s="30" t="s">
        <v>947</v>
      </c>
      <c r="F1455" s="32" t="s">
        <v>356</v>
      </c>
      <c r="G1455" s="30" t="s">
        <v>656</v>
      </c>
      <c r="H1455" t="str">
        <f>CONCATENATE(Prequal[[#This Row],[CITY]], ", ",Prequal[[#This Row],[STATE]])</f>
        <v>Chicago, IL</v>
      </c>
    </row>
    <row r="1456" spans="2:8" x14ac:dyDescent="0.2">
      <c r="B1456" s="31" t="s">
        <v>171</v>
      </c>
      <c r="C1456" s="32" t="s">
        <v>969</v>
      </c>
      <c r="D1456" s="33" t="s">
        <v>20</v>
      </c>
      <c r="E1456" s="30" t="s">
        <v>947</v>
      </c>
      <c r="F1456" s="32" t="s">
        <v>356</v>
      </c>
      <c r="G1456" s="30" t="s">
        <v>656</v>
      </c>
      <c r="H1456" t="str">
        <f>CONCATENATE(Prequal[[#This Row],[CITY]], ", ",Prequal[[#This Row],[STATE]])</f>
        <v>Chicago, IL</v>
      </c>
    </row>
    <row r="1457" spans="2:8" x14ac:dyDescent="0.2">
      <c r="B1457" s="31" t="s">
        <v>171</v>
      </c>
      <c r="C1457" s="32" t="s">
        <v>969</v>
      </c>
      <c r="D1457" s="33" t="s">
        <v>49</v>
      </c>
      <c r="E1457" s="30" t="s">
        <v>947</v>
      </c>
      <c r="F1457" s="32" t="s">
        <v>356</v>
      </c>
      <c r="G1457" s="30" t="s">
        <v>656</v>
      </c>
      <c r="H1457" t="str">
        <f>CONCATENATE(Prequal[[#This Row],[CITY]], ", ",Prequal[[#This Row],[STATE]])</f>
        <v>Chicago, IL</v>
      </c>
    </row>
    <row r="1458" spans="2:8" x14ac:dyDescent="0.2">
      <c r="B1458" s="31" t="s">
        <v>171</v>
      </c>
      <c r="C1458" s="32" t="s">
        <v>969</v>
      </c>
      <c r="D1458" s="33" t="s">
        <v>27</v>
      </c>
      <c r="E1458" s="30" t="s">
        <v>947</v>
      </c>
      <c r="F1458" s="32" t="s">
        <v>356</v>
      </c>
      <c r="G1458" s="30" t="s">
        <v>656</v>
      </c>
      <c r="H1458" t="str">
        <f>CONCATENATE(Prequal[[#This Row],[CITY]], ", ",Prequal[[#This Row],[STATE]])</f>
        <v>Chicago, IL</v>
      </c>
    </row>
    <row r="1459" spans="2:8" x14ac:dyDescent="0.2">
      <c r="B1459" s="31" t="s">
        <v>171</v>
      </c>
      <c r="C1459" s="32" t="s">
        <v>969</v>
      </c>
      <c r="D1459" s="33" t="s">
        <v>10</v>
      </c>
      <c r="E1459" s="30" t="s">
        <v>947</v>
      </c>
      <c r="F1459" s="32" t="s">
        <v>356</v>
      </c>
      <c r="G1459" s="30" t="s">
        <v>656</v>
      </c>
      <c r="H1459" t="str">
        <f>CONCATENATE(Prequal[[#This Row],[CITY]], ", ",Prequal[[#This Row],[STATE]])</f>
        <v>Chicago, IL</v>
      </c>
    </row>
    <row r="1460" spans="2:8" x14ac:dyDescent="0.2">
      <c r="B1460" s="31" t="s">
        <v>171</v>
      </c>
      <c r="C1460" s="32" t="s">
        <v>969</v>
      </c>
      <c r="D1460" s="33" t="s">
        <v>21</v>
      </c>
      <c r="E1460" s="30" t="s">
        <v>947</v>
      </c>
      <c r="F1460" s="32" t="s">
        <v>356</v>
      </c>
      <c r="G1460" s="30" t="s">
        <v>656</v>
      </c>
      <c r="H1460" t="str">
        <f>CONCATENATE(Prequal[[#This Row],[CITY]], ", ",Prequal[[#This Row],[STATE]])</f>
        <v>Chicago, IL</v>
      </c>
    </row>
    <row r="1461" spans="2:8" x14ac:dyDescent="0.2">
      <c r="B1461" s="31" t="s">
        <v>171</v>
      </c>
      <c r="C1461" s="32" t="s">
        <v>969</v>
      </c>
      <c r="D1461" s="33" t="s">
        <v>11</v>
      </c>
      <c r="E1461" s="30" t="s">
        <v>947</v>
      </c>
      <c r="F1461" s="32" t="s">
        <v>356</v>
      </c>
      <c r="G1461" s="30" t="s">
        <v>656</v>
      </c>
      <c r="H1461" t="str">
        <f>CONCATENATE(Prequal[[#This Row],[CITY]], ", ",Prequal[[#This Row],[STATE]])</f>
        <v>Chicago, IL</v>
      </c>
    </row>
    <row r="1462" spans="2:8" x14ac:dyDescent="0.2">
      <c r="B1462" s="31" t="s">
        <v>171</v>
      </c>
      <c r="C1462" s="32" t="s">
        <v>969</v>
      </c>
      <c r="D1462" s="33" t="s">
        <v>22</v>
      </c>
      <c r="E1462" s="30" t="s">
        <v>947</v>
      </c>
      <c r="F1462" s="32" t="s">
        <v>356</v>
      </c>
      <c r="G1462" s="30" t="s">
        <v>656</v>
      </c>
      <c r="H1462" t="str">
        <f>CONCATENATE(Prequal[[#This Row],[CITY]], ", ",Prequal[[#This Row],[STATE]])</f>
        <v>Chicago, IL</v>
      </c>
    </row>
    <row r="1463" spans="2:8" x14ac:dyDescent="0.2">
      <c r="B1463" s="31" t="s">
        <v>171</v>
      </c>
      <c r="C1463" s="32" t="s">
        <v>969</v>
      </c>
      <c r="D1463" s="33" t="s">
        <v>51</v>
      </c>
      <c r="E1463" s="30" t="s">
        <v>947</v>
      </c>
      <c r="F1463" s="32" t="s">
        <v>356</v>
      </c>
      <c r="G1463" s="30" t="s">
        <v>656</v>
      </c>
      <c r="H1463" t="str">
        <f>CONCATENATE(Prequal[[#This Row],[CITY]], ", ",Prequal[[#This Row],[STATE]])</f>
        <v>Chicago, IL</v>
      </c>
    </row>
    <row r="1464" spans="2:8" x14ac:dyDescent="0.2">
      <c r="B1464" s="31" t="s">
        <v>171</v>
      </c>
      <c r="C1464" s="32" t="s">
        <v>969</v>
      </c>
      <c r="D1464" s="33" t="s">
        <v>39</v>
      </c>
      <c r="E1464" s="30" t="s">
        <v>947</v>
      </c>
      <c r="F1464" s="32" t="s">
        <v>356</v>
      </c>
      <c r="G1464" s="30" t="s">
        <v>656</v>
      </c>
      <c r="H1464" t="str">
        <f>CONCATENATE(Prequal[[#This Row],[CITY]], ", ",Prequal[[#This Row],[STATE]])</f>
        <v>Chicago, IL</v>
      </c>
    </row>
    <row r="1465" spans="2:8" x14ac:dyDescent="0.2">
      <c r="B1465" s="31" t="s">
        <v>171</v>
      </c>
      <c r="C1465" s="32" t="s">
        <v>969</v>
      </c>
      <c r="D1465" s="33" t="s">
        <v>12</v>
      </c>
      <c r="E1465" s="30" t="s">
        <v>947</v>
      </c>
      <c r="F1465" s="32" t="s">
        <v>356</v>
      </c>
      <c r="G1465" s="30" t="s">
        <v>656</v>
      </c>
      <c r="H1465" t="str">
        <f>CONCATENATE(Prequal[[#This Row],[CITY]], ", ",Prequal[[#This Row],[STATE]])</f>
        <v>Chicago, IL</v>
      </c>
    </row>
    <row r="1466" spans="2:8" x14ac:dyDescent="0.2">
      <c r="B1466" s="31" t="s">
        <v>171</v>
      </c>
      <c r="C1466" s="32" t="s">
        <v>969</v>
      </c>
      <c r="D1466" s="33" t="s">
        <v>37</v>
      </c>
      <c r="E1466" s="30" t="s">
        <v>947</v>
      </c>
      <c r="F1466" s="32" t="s">
        <v>356</v>
      </c>
      <c r="G1466" s="30" t="s">
        <v>656</v>
      </c>
      <c r="H1466" t="str">
        <f>CONCATENATE(Prequal[[#This Row],[CITY]], ", ",Prequal[[#This Row],[STATE]])</f>
        <v>Chicago, IL</v>
      </c>
    </row>
    <row r="1467" spans="2:8" x14ac:dyDescent="0.2">
      <c r="B1467" s="31" t="s">
        <v>171</v>
      </c>
      <c r="C1467" s="32" t="s">
        <v>969</v>
      </c>
      <c r="D1467" s="33" t="s">
        <v>13</v>
      </c>
      <c r="E1467" s="30" t="s">
        <v>947</v>
      </c>
      <c r="F1467" s="32" t="s">
        <v>356</v>
      </c>
      <c r="G1467" s="30" t="s">
        <v>656</v>
      </c>
      <c r="H1467" t="str">
        <f>CONCATENATE(Prequal[[#This Row],[CITY]], ", ",Prequal[[#This Row],[STATE]])</f>
        <v>Chicago, IL</v>
      </c>
    </row>
    <row r="1468" spans="2:8" x14ac:dyDescent="0.2">
      <c r="B1468" s="27" t="s">
        <v>171</v>
      </c>
      <c r="C1468" s="28" t="s">
        <v>969</v>
      </c>
      <c r="D1468" s="29" t="s">
        <v>14</v>
      </c>
      <c r="E1468" s="30" t="s">
        <v>947</v>
      </c>
      <c r="F1468" s="28" t="s">
        <v>356</v>
      </c>
      <c r="G1468" s="30" t="s">
        <v>656</v>
      </c>
      <c r="H1468" t="str">
        <f>CONCATENATE(Prequal[[#This Row],[CITY]], ", ",Prequal[[#This Row],[STATE]])</f>
        <v>Chicago, IL</v>
      </c>
    </row>
    <row r="1469" spans="2:8" x14ac:dyDescent="0.2">
      <c r="B1469" s="27" t="s">
        <v>171</v>
      </c>
      <c r="C1469" s="28" t="s">
        <v>969</v>
      </c>
      <c r="D1469" s="29" t="s">
        <v>15</v>
      </c>
      <c r="E1469" s="30" t="s">
        <v>947</v>
      </c>
      <c r="F1469" s="28" t="s">
        <v>356</v>
      </c>
      <c r="G1469" s="30" t="s">
        <v>656</v>
      </c>
      <c r="H1469" t="str">
        <f>CONCATENATE(Prequal[[#This Row],[CITY]], ", ",Prequal[[#This Row],[STATE]])</f>
        <v>Chicago, IL</v>
      </c>
    </row>
    <row r="1470" spans="2:8" x14ac:dyDescent="0.2">
      <c r="B1470" s="27" t="s">
        <v>171</v>
      </c>
      <c r="C1470" s="28" t="s">
        <v>969</v>
      </c>
      <c r="D1470" s="29" t="s">
        <v>30</v>
      </c>
      <c r="E1470" s="30" t="s">
        <v>947</v>
      </c>
      <c r="F1470" s="28" t="s">
        <v>356</v>
      </c>
      <c r="G1470" s="30" t="s">
        <v>656</v>
      </c>
      <c r="H1470" t="str">
        <f>CONCATENATE(Prequal[[#This Row],[CITY]], ", ",Prequal[[#This Row],[STATE]])</f>
        <v>Chicago, IL</v>
      </c>
    </row>
    <row r="1471" spans="2:8" x14ac:dyDescent="0.2">
      <c r="B1471" s="27" t="s">
        <v>171</v>
      </c>
      <c r="C1471" s="28" t="s">
        <v>969</v>
      </c>
      <c r="D1471" s="29" t="s">
        <v>53</v>
      </c>
      <c r="E1471" s="30" t="s">
        <v>947</v>
      </c>
      <c r="F1471" s="28" t="s">
        <v>356</v>
      </c>
      <c r="G1471" s="30" t="s">
        <v>656</v>
      </c>
      <c r="H1471" t="str">
        <f>CONCATENATE(Prequal[[#This Row],[CITY]], ", ",Prequal[[#This Row],[STATE]])</f>
        <v>Chicago, IL</v>
      </c>
    </row>
    <row r="1472" spans="2:8" x14ac:dyDescent="0.2">
      <c r="B1472" s="27" t="s">
        <v>171</v>
      </c>
      <c r="C1472" s="28" t="s">
        <v>969</v>
      </c>
      <c r="D1472" s="29" t="s">
        <v>31</v>
      </c>
      <c r="E1472" s="30" t="s">
        <v>947</v>
      </c>
      <c r="F1472" s="28" t="s">
        <v>356</v>
      </c>
      <c r="G1472" s="30" t="s">
        <v>656</v>
      </c>
      <c r="H1472" t="str">
        <f>CONCATENATE(Prequal[[#This Row],[CITY]], ", ",Prequal[[#This Row],[STATE]])</f>
        <v>Chicago, IL</v>
      </c>
    </row>
    <row r="1473" spans="2:8" x14ac:dyDescent="0.2">
      <c r="B1473" s="27" t="s">
        <v>171</v>
      </c>
      <c r="C1473" s="28" t="s">
        <v>969</v>
      </c>
      <c r="D1473" s="29" t="s">
        <v>32</v>
      </c>
      <c r="E1473" s="30" t="s">
        <v>947</v>
      </c>
      <c r="F1473" s="28" t="s">
        <v>356</v>
      </c>
      <c r="G1473" s="30" t="s">
        <v>656</v>
      </c>
      <c r="H1473" t="str">
        <f>CONCATENATE(Prequal[[#This Row],[CITY]], ", ",Prequal[[#This Row],[STATE]])</f>
        <v>Chicago, IL</v>
      </c>
    </row>
    <row r="1474" spans="2:8" x14ac:dyDescent="0.2">
      <c r="B1474" s="27" t="s">
        <v>171</v>
      </c>
      <c r="C1474" s="28" t="s">
        <v>969</v>
      </c>
      <c r="D1474" s="29" t="s">
        <v>54</v>
      </c>
      <c r="E1474" s="30" t="s">
        <v>947</v>
      </c>
      <c r="F1474" s="28" t="s">
        <v>356</v>
      </c>
      <c r="G1474" s="30" t="s">
        <v>656</v>
      </c>
      <c r="H1474" t="str">
        <f>CONCATENATE(Prequal[[#This Row],[CITY]], ", ",Prequal[[#This Row],[STATE]])</f>
        <v>Chicago, IL</v>
      </c>
    </row>
    <row r="1475" spans="2:8" x14ac:dyDescent="0.2">
      <c r="B1475" s="27" t="s">
        <v>171</v>
      </c>
      <c r="C1475" s="28" t="s">
        <v>969</v>
      </c>
      <c r="D1475" s="29" t="s">
        <v>38</v>
      </c>
      <c r="E1475" s="30" t="s">
        <v>947</v>
      </c>
      <c r="F1475" s="28" t="s">
        <v>356</v>
      </c>
      <c r="G1475" s="30" t="s">
        <v>656</v>
      </c>
      <c r="H1475" t="str">
        <f>CONCATENATE(Prequal[[#This Row],[CITY]], ", ",Prequal[[#This Row],[STATE]])</f>
        <v>Chicago, IL</v>
      </c>
    </row>
    <row r="1476" spans="2:8" x14ac:dyDescent="0.2">
      <c r="B1476" s="27" t="s">
        <v>171</v>
      </c>
      <c r="C1476" s="28" t="s">
        <v>969</v>
      </c>
      <c r="D1476" s="29" t="s">
        <v>55</v>
      </c>
      <c r="E1476" s="30" t="s">
        <v>947</v>
      </c>
      <c r="F1476" s="28" t="s">
        <v>356</v>
      </c>
      <c r="G1476" s="30" t="s">
        <v>656</v>
      </c>
      <c r="H1476" t="str">
        <f>CONCATENATE(Prequal[[#This Row],[CITY]], ", ",Prequal[[#This Row],[STATE]])</f>
        <v>Chicago, IL</v>
      </c>
    </row>
    <row r="1477" spans="2:8" x14ac:dyDescent="0.2">
      <c r="B1477" s="27" t="s">
        <v>171</v>
      </c>
      <c r="C1477" s="28" t="s">
        <v>969</v>
      </c>
      <c r="D1477" s="29" t="s">
        <v>56</v>
      </c>
      <c r="E1477" s="30" t="s">
        <v>947</v>
      </c>
      <c r="F1477" s="28" t="s">
        <v>356</v>
      </c>
      <c r="G1477" s="30" t="s">
        <v>656</v>
      </c>
      <c r="H1477" t="str">
        <f>CONCATENATE(Prequal[[#This Row],[CITY]], ", ",Prequal[[#This Row],[STATE]])</f>
        <v>Chicago, IL</v>
      </c>
    </row>
    <row r="1478" spans="2:8" x14ac:dyDescent="0.2">
      <c r="B1478" s="27" t="s">
        <v>171</v>
      </c>
      <c r="C1478" s="28" t="s">
        <v>969</v>
      </c>
      <c r="D1478" s="29" t="s">
        <v>33</v>
      </c>
      <c r="E1478" s="30" t="s">
        <v>947</v>
      </c>
      <c r="F1478" s="28" t="s">
        <v>356</v>
      </c>
      <c r="G1478" s="30" t="s">
        <v>656</v>
      </c>
      <c r="H1478" t="str">
        <f>CONCATENATE(Prequal[[#This Row],[CITY]], ", ",Prequal[[#This Row],[STATE]])</f>
        <v>Chicago, IL</v>
      </c>
    </row>
    <row r="1479" spans="2:8" x14ac:dyDescent="0.2">
      <c r="B1479" s="27" t="s">
        <v>171</v>
      </c>
      <c r="C1479" s="28" t="s">
        <v>969</v>
      </c>
      <c r="D1479" s="29" t="s">
        <v>57</v>
      </c>
      <c r="E1479" s="30" t="s">
        <v>947</v>
      </c>
      <c r="F1479" s="28" t="s">
        <v>356</v>
      </c>
      <c r="G1479" s="30" t="s">
        <v>656</v>
      </c>
      <c r="H1479" t="str">
        <f>CONCATENATE(Prequal[[#This Row],[CITY]], ", ",Prequal[[#This Row],[STATE]])</f>
        <v>Chicago, IL</v>
      </c>
    </row>
    <row r="1480" spans="2:8" x14ac:dyDescent="0.2">
      <c r="B1480" s="27" t="s">
        <v>172</v>
      </c>
      <c r="C1480" s="28" t="s">
        <v>969</v>
      </c>
      <c r="D1480" s="29" t="s">
        <v>35</v>
      </c>
      <c r="E1480" s="30" t="s">
        <v>427</v>
      </c>
      <c r="F1480" s="28" t="s">
        <v>356</v>
      </c>
      <c r="G1480" s="30" t="s">
        <v>657</v>
      </c>
      <c r="H1480" t="str">
        <f>CONCATENATE(Prequal[[#This Row],[CITY]], ", ",Prequal[[#This Row],[STATE]])</f>
        <v>Elgin, IL</v>
      </c>
    </row>
    <row r="1481" spans="2:8" x14ac:dyDescent="0.2">
      <c r="B1481" s="27" t="s">
        <v>172</v>
      </c>
      <c r="C1481" s="28" t="s">
        <v>969</v>
      </c>
      <c r="D1481" s="29" t="s">
        <v>43</v>
      </c>
      <c r="E1481" s="30" t="s">
        <v>427</v>
      </c>
      <c r="F1481" s="28" t="s">
        <v>356</v>
      </c>
      <c r="G1481" s="30" t="s">
        <v>657</v>
      </c>
      <c r="H1481" t="str">
        <f>CONCATENATE(Prequal[[#This Row],[CITY]], ", ",Prequal[[#This Row],[STATE]])</f>
        <v>Elgin, IL</v>
      </c>
    </row>
    <row r="1482" spans="2:8" x14ac:dyDescent="0.2">
      <c r="B1482" s="27" t="s">
        <v>172</v>
      </c>
      <c r="C1482" s="28" t="s">
        <v>969</v>
      </c>
      <c r="D1482" s="29" t="s">
        <v>4</v>
      </c>
      <c r="E1482" s="30" t="s">
        <v>427</v>
      </c>
      <c r="F1482" s="28" t="s">
        <v>356</v>
      </c>
      <c r="G1482" s="30" t="s">
        <v>657</v>
      </c>
      <c r="H1482" t="str">
        <f>CONCATENATE(Prequal[[#This Row],[CITY]], ", ",Prequal[[#This Row],[STATE]])</f>
        <v>Elgin, IL</v>
      </c>
    </row>
    <row r="1483" spans="2:8" x14ac:dyDescent="0.2">
      <c r="B1483" s="27" t="s">
        <v>172</v>
      </c>
      <c r="C1483" s="28" t="s">
        <v>969</v>
      </c>
      <c r="D1483" s="29" t="s">
        <v>5</v>
      </c>
      <c r="E1483" s="30" t="s">
        <v>427</v>
      </c>
      <c r="F1483" s="28" t="s">
        <v>356</v>
      </c>
      <c r="G1483" s="30" t="s">
        <v>657</v>
      </c>
      <c r="H1483" t="str">
        <f>CONCATENATE(Prequal[[#This Row],[CITY]], ", ",Prequal[[#This Row],[STATE]])</f>
        <v>Elgin, IL</v>
      </c>
    </row>
    <row r="1484" spans="2:8" x14ac:dyDescent="0.2">
      <c r="B1484" s="27" t="s">
        <v>172</v>
      </c>
      <c r="C1484" s="28" t="s">
        <v>969</v>
      </c>
      <c r="D1484" s="29" t="s">
        <v>6</v>
      </c>
      <c r="E1484" s="30" t="s">
        <v>427</v>
      </c>
      <c r="F1484" s="28" t="s">
        <v>356</v>
      </c>
      <c r="G1484" s="30" t="s">
        <v>657</v>
      </c>
      <c r="H1484" t="str">
        <f>CONCATENATE(Prequal[[#This Row],[CITY]], ", ",Prequal[[#This Row],[STATE]])</f>
        <v>Elgin, IL</v>
      </c>
    </row>
    <row r="1485" spans="2:8" x14ac:dyDescent="0.2">
      <c r="B1485" s="27" t="s">
        <v>172</v>
      </c>
      <c r="C1485" s="28" t="s">
        <v>969</v>
      </c>
      <c r="D1485" s="29" t="s">
        <v>7</v>
      </c>
      <c r="E1485" s="30" t="s">
        <v>427</v>
      </c>
      <c r="F1485" s="28" t="s">
        <v>356</v>
      </c>
      <c r="G1485" s="30" t="s">
        <v>657</v>
      </c>
      <c r="H1485" t="str">
        <f>CONCATENATE(Prequal[[#This Row],[CITY]], ", ",Prequal[[#This Row],[STATE]])</f>
        <v>Elgin, IL</v>
      </c>
    </row>
    <row r="1486" spans="2:8" x14ac:dyDescent="0.2">
      <c r="B1486" s="27" t="s">
        <v>172</v>
      </c>
      <c r="C1486" s="28" t="s">
        <v>969</v>
      </c>
      <c r="D1486" s="29" t="s">
        <v>8</v>
      </c>
      <c r="E1486" s="30" t="s">
        <v>427</v>
      </c>
      <c r="F1486" s="28" t="s">
        <v>356</v>
      </c>
      <c r="G1486" s="30" t="s">
        <v>657</v>
      </c>
      <c r="H1486" t="str">
        <f>CONCATENATE(Prequal[[#This Row],[CITY]], ", ",Prequal[[#This Row],[STATE]])</f>
        <v>Elgin, IL</v>
      </c>
    </row>
    <row r="1487" spans="2:8" x14ac:dyDescent="0.2">
      <c r="B1487" s="27" t="s">
        <v>172</v>
      </c>
      <c r="C1487" s="28" t="s">
        <v>969</v>
      </c>
      <c r="D1487" s="29" t="s">
        <v>24</v>
      </c>
      <c r="E1487" s="30" t="s">
        <v>427</v>
      </c>
      <c r="F1487" s="28" t="s">
        <v>356</v>
      </c>
      <c r="G1487" s="30" t="s">
        <v>657</v>
      </c>
      <c r="H1487" t="str">
        <f>CONCATENATE(Prequal[[#This Row],[CITY]], ", ",Prequal[[#This Row],[STATE]])</f>
        <v>Elgin, IL</v>
      </c>
    </row>
    <row r="1488" spans="2:8" x14ac:dyDescent="0.2">
      <c r="B1488" s="27" t="s">
        <v>172</v>
      </c>
      <c r="C1488" s="28" t="s">
        <v>969</v>
      </c>
      <c r="D1488" s="29" t="s">
        <v>25</v>
      </c>
      <c r="E1488" s="30" t="s">
        <v>427</v>
      </c>
      <c r="F1488" s="28" t="s">
        <v>356</v>
      </c>
      <c r="G1488" s="30" t="s">
        <v>657</v>
      </c>
      <c r="H1488" t="str">
        <f>CONCATENATE(Prequal[[#This Row],[CITY]], ", ",Prequal[[#This Row],[STATE]])</f>
        <v>Elgin, IL</v>
      </c>
    </row>
    <row r="1489" spans="2:8" x14ac:dyDescent="0.2">
      <c r="B1489" s="27" t="s">
        <v>172</v>
      </c>
      <c r="C1489" s="28" t="s">
        <v>969</v>
      </c>
      <c r="D1489" s="29" t="s">
        <v>9</v>
      </c>
      <c r="E1489" s="30" t="s">
        <v>427</v>
      </c>
      <c r="F1489" s="28" t="s">
        <v>356</v>
      </c>
      <c r="G1489" s="30" t="s">
        <v>657</v>
      </c>
      <c r="H1489" t="str">
        <f>CONCATENATE(Prequal[[#This Row],[CITY]], ", ",Prequal[[#This Row],[STATE]])</f>
        <v>Elgin, IL</v>
      </c>
    </row>
    <row r="1490" spans="2:8" x14ac:dyDescent="0.2">
      <c r="B1490" s="27" t="s">
        <v>172</v>
      </c>
      <c r="C1490" s="28" t="s">
        <v>969</v>
      </c>
      <c r="D1490" s="29" t="s">
        <v>27</v>
      </c>
      <c r="E1490" s="30" t="s">
        <v>427</v>
      </c>
      <c r="F1490" s="28" t="s">
        <v>356</v>
      </c>
      <c r="G1490" s="30" t="s">
        <v>657</v>
      </c>
      <c r="H1490" t="str">
        <f>CONCATENATE(Prequal[[#This Row],[CITY]], ", ",Prequal[[#This Row],[STATE]])</f>
        <v>Elgin, IL</v>
      </c>
    </row>
    <row r="1491" spans="2:8" x14ac:dyDescent="0.2">
      <c r="B1491" s="27" t="s">
        <v>172</v>
      </c>
      <c r="C1491" s="28" t="s">
        <v>969</v>
      </c>
      <c r="D1491" s="29" t="s">
        <v>81</v>
      </c>
      <c r="E1491" s="30" t="s">
        <v>427</v>
      </c>
      <c r="F1491" s="28" t="s">
        <v>356</v>
      </c>
      <c r="G1491" s="30" t="s">
        <v>657</v>
      </c>
      <c r="H1491" t="str">
        <f>CONCATENATE(Prequal[[#This Row],[CITY]], ", ",Prequal[[#This Row],[STATE]])</f>
        <v>Elgin, IL</v>
      </c>
    </row>
    <row r="1492" spans="2:8" x14ac:dyDescent="0.2">
      <c r="B1492" s="27" t="s">
        <v>172</v>
      </c>
      <c r="C1492" s="28" t="s">
        <v>969</v>
      </c>
      <c r="D1492" s="29" t="s">
        <v>10</v>
      </c>
      <c r="E1492" s="30" t="s">
        <v>427</v>
      </c>
      <c r="F1492" s="28" t="s">
        <v>356</v>
      </c>
      <c r="G1492" s="30" t="s">
        <v>657</v>
      </c>
      <c r="H1492" t="str">
        <f>CONCATENATE(Prequal[[#This Row],[CITY]], ", ",Prequal[[#This Row],[STATE]])</f>
        <v>Elgin, IL</v>
      </c>
    </row>
    <row r="1493" spans="2:8" x14ac:dyDescent="0.2">
      <c r="B1493" s="27" t="s">
        <v>172</v>
      </c>
      <c r="C1493" s="28" t="s">
        <v>969</v>
      </c>
      <c r="D1493" s="29" t="s">
        <v>21</v>
      </c>
      <c r="E1493" s="30" t="s">
        <v>427</v>
      </c>
      <c r="F1493" s="28" t="s">
        <v>356</v>
      </c>
      <c r="G1493" s="30" t="s">
        <v>657</v>
      </c>
      <c r="H1493" t="str">
        <f>CONCATENATE(Prequal[[#This Row],[CITY]], ", ",Prequal[[#This Row],[STATE]])</f>
        <v>Elgin, IL</v>
      </c>
    </row>
    <row r="1494" spans="2:8" x14ac:dyDescent="0.2">
      <c r="B1494" s="27" t="s">
        <v>172</v>
      </c>
      <c r="C1494" s="28" t="s">
        <v>969</v>
      </c>
      <c r="D1494" s="29" t="s">
        <v>11</v>
      </c>
      <c r="E1494" s="30" t="s">
        <v>427</v>
      </c>
      <c r="F1494" s="28" t="s">
        <v>356</v>
      </c>
      <c r="G1494" s="30" t="s">
        <v>657</v>
      </c>
      <c r="H1494" t="str">
        <f>CONCATENATE(Prequal[[#This Row],[CITY]], ", ",Prequal[[#This Row],[STATE]])</f>
        <v>Elgin, IL</v>
      </c>
    </row>
    <row r="1495" spans="2:8" x14ac:dyDescent="0.2">
      <c r="B1495" s="27" t="s">
        <v>172</v>
      </c>
      <c r="C1495" s="28" t="s">
        <v>969</v>
      </c>
      <c r="D1495" s="29" t="s">
        <v>63</v>
      </c>
      <c r="E1495" s="30" t="s">
        <v>427</v>
      </c>
      <c r="F1495" s="28" t="s">
        <v>356</v>
      </c>
      <c r="G1495" s="30" t="s">
        <v>657</v>
      </c>
      <c r="H1495" t="str">
        <f>CONCATENATE(Prequal[[#This Row],[CITY]], ", ",Prequal[[#This Row],[STATE]])</f>
        <v>Elgin, IL</v>
      </c>
    </row>
    <row r="1496" spans="2:8" x14ac:dyDescent="0.2">
      <c r="B1496" s="27" t="s">
        <v>172</v>
      </c>
      <c r="C1496" s="28" t="s">
        <v>969</v>
      </c>
      <c r="D1496" s="29" t="s">
        <v>12</v>
      </c>
      <c r="E1496" s="30" t="s">
        <v>427</v>
      </c>
      <c r="F1496" s="28" t="s">
        <v>356</v>
      </c>
      <c r="G1496" s="30" t="s">
        <v>657</v>
      </c>
      <c r="H1496" t="str">
        <f>CONCATENATE(Prequal[[#This Row],[CITY]], ", ",Prequal[[#This Row],[STATE]])</f>
        <v>Elgin, IL</v>
      </c>
    </row>
    <row r="1497" spans="2:8" x14ac:dyDescent="0.2">
      <c r="B1497" s="31" t="s">
        <v>172</v>
      </c>
      <c r="C1497" s="32" t="s">
        <v>969</v>
      </c>
      <c r="D1497" s="33" t="s">
        <v>29</v>
      </c>
      <c r="E1497" s="30" t="s">
        <v>427</v>
      </c>
      <c r="F1497" s="32" t="s">
        <v>356</v>
      </c>
      <c r="G1497" s="30" t="s">
        <v>657</v>
      </c>
      <c r="H1497" t="str">
        <f>CONCATENATE(Prequal[[#This Row],[CITY]], ", ",Prequal[[#This Row],[STATE]])</f>
        <v>Elgin, IL</v>
      </c>
    </row>
    <row r="1498" spans="2:8" x14ac:dyDescent="0.2">
      <c r="B1498" s="27" t="s">
        <v>172</v>
      </c>
      <c r="C1498" s="28" t="s">
        <v>969</v>
      </c>
      <c r="D1498" s="29" t="s">
        <v>37</v>
      </c>
      <c r="E1498" s="30" t="s">
        <v>427</v>
      </c>
      <c r="F1498" s="28" t="s">
        <v>356</v>
      </c>
      <c r="G1498" s="30" t="s">
        <v>657</v>
      </c>
      <c r="H1498" t="str">
        <f>CONCATENATE(Prequal[[#This Row],[CITY]], ", ",Prequal[[#This Row],[STATE]])</f>
        <v>Elgin, IL</v>
      </c>
    </row>
    <row r="1499" spans="2:8" x14ac:dyDescent="0.2">
      <c r="B1499" s="27" t="s">
        <v>172</v>
      </c>
      <c r="C1499" s="28" t="s">
        <v>969</v>
      </c>
      <c r="D1499" s="29" t="s">
        <v>13</v>
      </c>
      <c r="E1499" s="30" t="s">
        <v>427</v>
      </c>
      <c r="F1499" s="28" t="s">
        <v>356</v>
      </c>
      <c r="G1499" s="30" t="s">
        <v>657</v>
      </c>
      <c r="H1499" t="str">
        <f>CONCATENATE(Prequal[[#This Row],[CITY]], ", ",Prequal[[#This Row],[STATE]])</f>
        <v>Elgin, IL</v>
      </c>
    </row>
    <row r="1500" spans="2:8" x14ac:dyDescent="0.2">
      <c r="B1500" s="27" t="s">
        <v>172</v>
      </c>
      <c r="C1500" s="28" t="s">
        <v>969</v>
      </c>
      <c r="D1500" s="29" t="s">
        <v>52</v>
      </c>
      <c r="E1500" s="30" t="s">
        <v>427</v>
      </c>
      <c r="F1500" s="28" t="s">
        <v>356</v>
      </c>
      <c r="G1500" s="30" t="s">
        <v>657</v>
      </c>
      <c r="H1500" t="str">
        <f>CONCATENATE(Prequal[[#This Row],[CITY]], ", ",Prequal[[#This Row],[STATE]])</f>
        <v>Elgin, IL</v>
      </c>
    </row>
    <row r="1501" spans="2:8" x14ac:dyDescent="0.2">
      <c r="B1501" s="27" t="s">
        <v>172</v>
      </c>
      <c r="C1501" s="28" t="s">
        <v>969</v>
      </c>
      <c r="D1501" s="29" t="s">
        <v>14</v>
      </c>
      <c r="E1501" s="30" t="s">
        <v>427</v>
      </c>
      <c r="F1501" s="28" t="s">
        <v>356</v>
      </c>
      <c r="G1501" s="30" t="s">
        <v>657</v>
      </c>
      <c r="H1501" t="str">
        <f>CONCATENATE(Prequal[[#This Row],[CITY]], ", ",Prequal[[#This Row],[STATE]])</f>
        <v>Elgin, IL</v>
      </c>
    </row>
    <row r="1502" spans="2:8" x14ac:dyDescent="0.2">
      <c r="B1502" s="27" t="s">
        <v>172</v>
      </c>
      <c r="C1502" s="28" t="s">
        <v>969</v>
      </c>
      <c r="D1502" s="29" t="s">
        <v>15</v>
      </c>
      <c r="E1502" s="30" t="s">
        <v>427</v>
      </c>
      <c r="F1502" s="28" t="s">
        <v>356</v>
      </c>
      <c r="G1502" s="30" t="s">
        <v>657</v>
      </c>
      <c r="H1502" t="str">
        <f>CONCATENATE(Prequal[[#This Row],[CITY]], ", ",Prequal[[#This Row],[STATE]])</f>
        <v>Elgin, IL</v>
      </c>
    </row>
    <row r="1503" spans="2:8" x14ac:dyDescent="0.2">
      <c r="B1503" s="27" t="s">
        <v>172</v>
      </c>
      <c r="C1503" s="28" t="s">
        <v>969</v>
      </c>
      <c r="D1503" s="29" t="s">
        <v>976</v>
      </c>
      <c r="E1503" s="30" t="s">
        <v>427</v>
      </c>
      <c r="F1503" s="28" t="s">
        <v>356</v>
      </c>
      <c r="G1503" s="30" t="s">
        <v>657</v>
      </c>
      <c r="H1503" t="str">
        <f>CONCATENATE(Prequal[[#This Row],[CITY]], ", ",Prequal[[#This Row],[STATE]])</f>
        <v>Elgin, IL</v>
      </c>
    </row>
    <row r="1504" spans="2:8" x14ac:dyDescent="0.2">
      <c r="B1504" s="27" t="s">
        <v>172</v>
      </c>
      <c r="C1504" s="28" t="s">
        <v>969</v>
      </c>
      <c r="D1504" s="29" t="s">
        <v>1004</v>
      </c>
      <c r="E1504" s="30" t="s">
        <v>427</v>
      </c>
      <c r="F1504" s="28" t="s">
        <v>356</v>
      </c>
      <c r="G1504" s="30" t="s">
        <v>657</v>
      </c>
      <c r="H1504" t="str">
        <f>CONCATENATE(Prequal[[#This Row],[CITY]], ", ",Prequal[[#This Row],[STATE]])</f>
        <v>Elgin, IL</v>
      </c>
    </row>
    <row r="1505" spans="2:8" x14ac:dyDescent="0.2">
      <c r="B1505" s="27" t="s">
        <v>172</v>
      </c>
      <c r="C1505" s="28" t="s">
        <v>969</v>
      </c>
      <c r="D1505" s="29" t="s">
        <v>978</v>
      </c>
      <c r="E1505" s="30" t="s">
        <v>427</v>
      </c>
      <c r="F1505" s="28" t="s">
        <v>356</v>
      </c>
      <c r="G1505" s="30" t="s">
        <v>657</v>
      </c>
      <c r="H1505" t="str">
        <f>CONCATENATE(Prequal[[#This Row],[CITY]], ", ",Prequal[[#This Row],[STATE]])</f>
        <v>Elgin, IL</v>
      </c>
    </row>
    <row r="1506" spans="2:8" x14ac:dyDescent="0.2">
      <c r="B1506" s="27" t="s">
        <v>172</v>
      </c>
      <c r="C1506" s="28" t="s">
        <v>969</v>
      </c>
      <c r="D1506" s="29" t="s">
        <v>30</v>
      </c>
      <c r="E1506" s="30" t="s">
        <v>427</v>
      </c>
      <c r="F1506" s="28" t="s">
        <v>356</v>
      </c>
      <c r="G1506" s="30" t="s">
        <v>657</v>
      </c>
      <c r="H1506" t="str">
        <f>CONCATENATE(Prequal[[#This Row],[CITY]], ", ",Prequal[[#This Row],[STATE]])</f>
        <v>Elgin, IL</v>
      </c>
    </row>
    <row r="1507" spans="2:8" x14ac:dyDescent="0.2">
      <c r="B1507" s="27" t="s">
        <v>172</v>
      </c>
      <c r="C1507" s="28" t="s">
        <v>969</v>
      </c>
      <c r="D1507" s="29" t="s">
        <v>31</v>
      </c>
      <c r="E1507" s="30" t="s">
        <v>427</v>
      </c>
      <c r="F1507" s="28" t="s">
        <v>356</v>
      </c>
      <c r="G1507" s="30" t="s">
        <v>657</v>
      </c>
      <c r="H1507" t="str">
        <f>CONCATENATE(Prequal[[#This Row],[CITY]], ", ",Prequal[[#This Row],[STATE]])</f>
        <v>Elgin, IL</v>
      </c>
    </row>
    <row r="1508" spans="2:8" x14ac:dyDescent="0.2">
      <c r="B1508" s="27" t="s">
        <v>172</v>
      </c>
      <c r="C1508" s="28" t="s">
        <v>969</v>
      </c>
      <c r="D1508" s="29" t="s">
        <v>32</v>
      </c>
      <c r="E1508" s="30" t="s">
        <v>427</v>
      </c>
      <c r="F1508" s="28" t="s">
        <v>356</v>
      </c>
      <c r="G1508" s="30" t="s">
        <v>657</v>
      </c>
      <c r="H1508" t="str">
        <f>CONCATENATE(Prequal[[#This Row],[CITY]], ", ",Prequal[[#This Row],[STATE]])</f>
        <v>Elgin, IL</v>
      </c>
    </row>
    <row r="1509" spans="2:8" x14ac:dyDescent="0.2">
      <c r="B1509" s="27" t="s">
        <v>173</v>
      </c>
      <c r="C1509" s="28" t="s">
        <v>969</v>
      </c>
      <c r="D1509" s="29" t="s">
        <v>5</v>
      </c>
      <c r="E1509" s="30" t="s">
        <v>428</v>
      </c>
      <c r="F1509" s="28" t="s">
        <v>356</v>
      </c>
      <c r="G1509" s="30" t="s">
        <v>658</v>
      </c>
      <c r="H1509" t="str">
        <f>CONCATENATE(Prequal[[#This Row],[CITY]], ", ",Prequal[[#This Row],[STATE]])</f>
        <v>Westchester, IL</v>
      </c>
    </row>
    <row r="1510" spans="2:8" x14ac:dyDescent="0.2">
      <c r="B1510" s="27" t="s">
        <v>173</v>
      </c>
      <c r="C1510" s="28" t="s">
        <v>969</v>
      </c>
      <c r="D1510" s="29" t="s">
        <v>25</v>
      </c>
      <c r="E1510" s="30" t="s">
        <v>428</v>
      </c>
      <c r="F1510" s="28" t="s">
        <v>356</v>
      </c>
      <c r="G1510" s="30" t="s">
        <v>658</v>
      </c>
      <c r="H1510" t="str">
        <f>CONCATENATE(Prequal[[#This Row],[CITY]], ", ",Prequal[[#This Row],[STATE]])</f>
        <v>Westchester, IL</v>
      </c>
    </row>
    <row r="1511" spans="2:8" x14ac:dyDescent="0.2">
      <c r="B1511" s="27" t="s">
        <v>173</v>
      </c>
      <c r="C1511" s="28" t="s">
        <v>969</v>
      </c>
      <c r="D1511" s="29" t="s">
        <v>9</v>
      </c>
      <c r="E1511" s="30" t="s">
        <v>428</v>
      </c>
      <c r="F1511" s="28" t="s">
        <v>356</v>
      </c>
      <c r="G1511" s="30" t="s">
        <v>658</v>
      </c>
      <c r="H1511" t="str">
        <f>CONCATENATE(Prequal[[#This Row],[CITY]], ", ",Prequal[[#This Row],[STATE]])</f>
        <v>Westchester, IL</v>
      </c>
    </row>
    <row r="1512" spans="2:8" x14ac:dyDescent="0.2">
      <c r="B1512" s="27" t="s">
        <v>173</v>
      </c>
      <c r="C1512" s="28" t="s">
        <v>969</v>
      </c>
      <c r="D1512" s="29" t="s">
        <v>10</v>
      </c>
      <c r="E1512" s="30" t="s">
        <v>428</v>
      </c>
      <c r="F1512" s="28" t="s">
        <v>356</v>
      </c>
      <c r="G1512" s="30" t="s">
        <v>658</v>
      </c>
      <c r="H1512" t="str">
        <f>CONCATENATE(Prequal[[#This Row],[CITY]], ", ",Prequal[[#This Row],[STATE]])</f>
        <v>Westchester, IL</v>
      </c>
    </row>
    <row r="1513" spans="2:8" x14ac:dyDescent="0.2">
      <c r="B1513" s="27" t="s">
        <v>173</v>
      </c>
      <c r="C1513" s="28" t="s">
        <v>969</v>
      </c>
      <c r="D1513" s="29" t="s">
        <v>12</v>
      </c>
      <c r="E1513" s="30" t="s">
        <v>428</v>
      </c>
      <c r="F1513" s="28" t="s">
        <v>356</v>
      </c>
      <c r="G1513" s="30" t="s">
        <v>658</v>
      </c>
      <c r="H1513" t="str">
        <f>CONCATENATE(Prequal[[#This Row],[CITY]], ", ",Prequal[[#This Row],[STATE]])</f>
        <v>Westchester, IL</v>
      </c>
    </row>
    <row r="1514" spans="2:8" x14ac:dyDescent="0.2">
      <c r="B1514" s="27" t="s">
        <v>173</v>
      </c>
      <c r="C1514" s="28" t="s">
        <v>969</v>
      </c>
      <c r="D1514" s="29" t="s">
        <v>14</v>
      </c>
      <c r="E1514" s="30" t="s">
        <v>428</v>
      </c>
      <c r="F1514" s="28" t="s">
        <v>356</v>
      </c>
      <c r="G1514" s="30" t="s">
        <v>658</v>
      </c>
      <c r="H1514" t="str">
        <f>CONCATENATE(Prequal[[#This Row],[CITY]], ", ",Prequal[[#This Row],[STATE]])</f>
        <v>Westchester, IL</v>
      </c>
    </row>
    <row r="1515" spans="2:8" x14ac:dyDescent="0.2">
      <c r="B1515" s="27" t="s">
        <v>173</v>
      </c>
      <c r="C1515" s="28" t="s">
        <v>969</v>
      </c>
      <c r="D1515" s="29" t="s">
        <v>15</v>
      </c>
      <c r="E1515" s="30" t="s">
        <v>428</v>
      </c>
      <c r="F1515" s="28" t="s">
        <v>356</v>
      </c>
      <c r="G1515" s="30" t="s">
        <v>658</v>
      </c>
      <c r="H1515" t="str">
        <f>CONCATENATE(Prequal[[#This Row],[CITY]], ", ",Prequal[[#This Row],[STATE]])</f>
        <v>Westchester, IL</v>
      </c>
    </row>
    <row r="1516" spans="2:8" x14ac:dyDescent="0.2">
      <c r="B1516" s="27" t="s">
        <v>174</v>
      </c>
      <c r="C1516" s="28" t="s">
        <v>969</v>
      </c>
      <c r="D1516" s="29" t="s">
        <v>35</v>
      </c>
      <c r="E1516" s="30" t="s">
        <v>367</v>
      </c>
      <c r="F1516" s="28" t="s">
        <v>356</v>
      </c>
      <c r="G1516" s="30" t="s">
        <v>923</v>
      </c>
      <c r="H1516" t="str">
        <f>CONCATENATE(Prequal[[#This Row],[CITY]], ", ",Prequal[[#This Row],[STATE]])</f>
        <v>Springfield, IL</v>
      </c>
    </row>
    <row r="1517" spans="2:8" x14ac:dyDescent="0.2">
      <c r="B1517" s="27" t="s">
        <v>174</v>
      </c>
      <c r="C1517" s="28" t="s">
        <v>969</v>
      </c>
      <c r="D1517" s="29" t="s">
        <v>124</v>
      </c>
      <c r="E1517" s="30" t="s">
        <v>367</v>
      </c>
      <c r="F1517" s="28" t="s">
        <v>356</v>
      </c>
      <c r="G1517" s="30" t="s">
        <v>923</v>
      </c>
      <c r="H1517" t="str">
        <f>CONCATENATE(Prequal[[#This Row],[CITY]], ", ",Prequal[[#This Row],[STATE]])</f>
        <v>Springfield, IL</v>
      </c>
    </row>
    <row r="1518" spans="2:8" x14ac:dyDescent="0.2">
      <c r="B1518" s="27" t="s">
        <v>174</v>
      </c>
      <c r="C1518" s="28" t="s">
        <v>969</v>
      </c>
      <c r="D1518" s="29" t="s">
        <v>36</v>
      </c>
      <c r="E1518" s="30" t="s">
        <v>367</v>
      </c>
      <c r="F1518" s="28" t="s">
        <v>356</v>
      </c>
      <c r="G1518" s="30" t="s">
        <v>923</v>
      </c>
      <c r="H1518" t="str">
        <f>CONCATENATE(Prequal[[#This Row],[CITY]], ", ",Prequal[[#This Row],[STATE]])</f>
        <v>Springfield, IL</v>
      </c>
    </row>
    <row r="1519" spans="2:8" x14ac:dyDescent="0.2">
      <c r="B1519" s="27" t="s">
        <v>174</v>
      </c>
      <c r="C1519" s="28" t="s">
        <v>969</v>
      </c>
      <c r="D1519" s="29" t="s">
        <v>125</v>
      </c>
      <c r="E1519" s="30" t="s">
        <v>367</v>
      </c>
      <c r="F1519" s="28" t="s">
        <v>356</v>
      </c>
      <c r="G1519" s="30" t="s">
        <v>923</v>
      </c>
      <c r="H1519" t="str">
        <f>CONCATENATE(Prequal[[#This Row],[CITY]], ", ",Prequal[[#This Row],[STATE]])</f>
        <v>Springfield, IL</v>
      </c>
    </row>
    <row r="1520" spans="2:8" x14ac:dyDescent="0.2">
      <c r="B1520" s="31" t="s">
        <v>174</v>
      </c>
      <c r="C1520" s="32" t="s">
        <v>969</v>
      </c>
      <c r="D1520" s="33" t="s">
        <v>42</v>
      </c>
      <c r="E1520" s="30" t="s">
        <v>367</v>
      </c>
      <c r="F1520" s="32" t="s">
        <v>356</v>
      </c>
      <c r="G1520" s="30" t="s">
        <v>923</v>
      </c>
      <c r="H1520" t="str">
        <f>CONCATENATE(Prequal[[#This Row],[CITY]], ", ",Prequal[[#This Row],[STATE]])</f>
        <v>Springfield, IL</v>
      </c>
    </row>
    <row r="1521" spans="2:8" x14ac:dyDescent="0.2">
      <c r="B1521" s="31" t="s">
        <v>174</v>
      </c>
      <c r="C1521" s="32" t="s">
        <v>969</v>
      </c>
      <c r="D1521" s="33" t="s">
        <v>43</v>
      </c>
      <c r="E1521" s="30" t="s">
        <v>367</v>
      </c>
      <c r="F1521" s="32" t="s">
        <v>356</v>
      </c>
      <c r="G1521" s="30" t="s">
        <v>923</v>
      </c>
      <c r="H1521" t="str">
        <f>CONCATENATE(Prequal[[#This Row],[CITY]], ", ",Prequal[[#This Row],[STATE]])</f>
        <v>Springfield, IL</v>
      </c>
    </row>
    <row r="1522" spans="2:8" x14ac:dyDescent="0.2">
      <c r="B1522" s="31" t="s">
        <v>174</v>
      </c>
      <c r="C1522" s="32" t="s">
        <v>969</v>
      </c>
      <c r="D1522" s="33" t="s">
        <v>44</v>
      </c>
      <c r="E1522" s="30" t="s">
        <v>367</v>
      </c>
      <c r="F1522" s="32" t="s">
        <v>356</v>
      </c>
      <c r="G1522" s="30" t="s">
        <v>923</v>
      </c>
      <c r="H1522" t="str">
        <f>CONCATENATE(Prequal[[#This Row],[CITY]], ", ",Prequal[[#This Row],[STATE]])</f>
        <v>Springfield, IL</v>
      </c>
    </row>
    <row r="1523" spans="2:8" x14ac:dyDescent="0.2">
      <c r="B1523" s="31" t="s">
        <v>174</v>
      </c>
      <c r="C1523" s="32" t="s">
        <v>969</v>
      </c>
      <c r="D1523" s="33" t="s">
        <v>45</v>
      </c>
      <c r="E1523" s="30" t="s">
        <v>367</v>
      </c>
      <c r="F1523" s="32" t="s">
        <v>356</v>
      </c>
      <c r="G1523" s="30" t="s">
        <v>923</v>
      </c>
      <c r="H1523" t="str">
        <f>CONCATENATE(Prequal[[#This Row],[CITY]], ", ",Prequal[[#This Row],[STATE]])</f>
        <v>Springfield, IL</v>
      </c>
    </row>
    <row r="1524" spans="2:8" x14ac:dyDescent="0.2">
      <c r="B1524" s="31" t="s">
        <v>174</v>
      </c>
      <c r="C1524" s="32" t="s">
        <v>969</v>
      </c>
      <c r="D1524" s="33" t="s">
        <v>46</v>
      </c>
      <c r="E1524" s="30" t="s">
        <v>367</v>
      </c>
      <c r="F1524" s="32" t="s">
        <v>356</v>
      </c>
      <c r="G1524" s="30" t="s">
        <v>923</v>
      </c>
      <c r="H1524" t="str">
        <f>CONCATENATE(Prequal[[#This Row],[CITY]], ", ",Prequal[[#This Row],[STATE]])</f>
        <v>Springfield, IL</v>
      </c>
    </row>
    <row r="1525" spans="2:8" x14ac:dyDescent="0.2">
      <c r="B1525" s="31" t="s">
        <v>174</v>
      </c>
      <c r="C1525" s="32" t="s">
        <v>969</v>
      </c>
      <c r="D1525" s="33" t="s">
        <v>47</v>
      </c>
      <c r="E1525" s="30" t="s">
        <v>367</v>
      </c>
      <c r="F1525" s="32" t="s">
        <v>356</v>
      </c>
      <c r="G1525" s="30" t="s">
        <v>923</v>
      </c>
      <c r="H1525" t="str">
        <f>CONCATENATE(Prequal[[#This Row],[CITY]], ", ",Prequal[[#This Row],[STATE]])</f>
        <v>Springfield, IL</v>
      </c>
    </row>
    <row r="1526" spans="2:8" x14ac:dyDescent="0.2">
      <c r="B1526" s="31" t="s">
        <v>174</v>
      </c>
      <c r="C1526" s="32" t="s">
        <v>969</v>
      </c>
      <c r="D1526" s="33" t="s">
        <v>4</v>
      </c>
      <c r="E1526" s="30" t="s">
        <v>367</v>
      </c>
      <c r="F1526" s="32" t="s">
        <v>356</v>
      </c>
      <c r="G1526" s="30" t="s">
        <v>923</v>
      </c>
      <c r="H1526" t="str">
        <f>CONCATENATE(Prequal[[#This Row],[CITY]], ", ",Prequal[[#This Row],[STATE]])</f>
        <v>Springfield, IL</v>
      </c>
    </row>
    <row r="1527" spans="2:8" x14ac:dyDescent="0.2">
      <c r="B1527" s="31" t="s">
        <v>174</v>
      </c>
      <c r="C1527" s="32" t="s">
        <v>969</v>
      </c>
      <c r="D1527" s="33" t="s">
        <v>5</v>
      </c>
      <c r="E1527" s="30" t="s">
        <v>367</v>
      </c>
      <c r="F1527" s="32" t="s">
        <v>356</v>
      </c>
      <c r="G1527" s="30" t="s">
        <v>923</v>
      </c>
      <c r="H1527" t="str">
        <f>CONCATENATE(Prequal[[#This Row],[CITY]], ", ",Prequal[[#This Row],[STATE]])</f>
        <v>Springfield, IL</v>
      </c>
    </row>
    <row r="1528" spans="2:8" x14ac:dyDescent="0.2">
      <c r="B1528" s="31" t="s">
        <v>174</v>
      </c>
      <c r="C1528" s="32" t="s">
        <v>969</v>
      </c>
      <c r="D1528" s="33" t="s">
        <v>6</v>
      </c>
      <c r="E1528" s="30" t="s">
        <v>367</v>
      </c>
      <c r="F1528" s="32" t="s">
        <v>356</v>
      </c>
      <c r="G1528" s="30" t="s">
        <v>923</v>
      </c>
      <c r="H1528" t="str">
        <f>CONCATENATE(Prequal[[#This Row],[CITY]], ", ",Prequal[[#This Row],[STATE]])</f>
        <v>Springfield, IL</v>
      </c>
    </row>
    <row r="1529" spans="2:8" x14ac:dyDescent="0.2">
      <c r="B1529" s="31" t="s">
        <v>174</v>
      </c>
      <c r="C1529" s="32" t="s">
        <v>969</v>
      </c>
      <c r="D1529" s="33" t="s">
        <v>7</v>
      </c>
      <c r="E1529" s="30" t="s">
        <v>367</v>
      </c>
      <c r="F1529" s="32" t="s">
        <v>356</v>
      </c>
      <c r="G1529" s="30" t="s">
        <v>923</v>
      </c>
      <c r="H1529" t="str">
        <f>CONCATENATE(Prequal[[#This Row],[CITY]], ", ",Prequal[[#This Row],[STATE]])</f>
        <v>Springfield, IL</v>
      </c>
    </row>
    <row r="1530" spans="2:8" x14ac:dyDescent="0.2">
      <c r="B1530" s="31" t="s">
        <v>174</v>
      </c>
      <c r="C1530" s="32" t="s">
        <v>969</v>
      </c>
      <c r="D1530" s="33" t="s">
        <v>1013</v>
      </c>
      <c r="E1530" s="30" t="s">
        <v>367</v>
      </c>
      <c r="F1530" s="32" t="s">
        <v>356</v>
      </c>
      <c r="G1530" s="30" t="s">
        <v>923</v>
      </c>
      <c r="H1530" t="str">
        <f>CONCATENATE(Prequal[[#This Row],[CITY]], ", ",Prequal[[#This Row],[STATE]])</f>
        <v>Springfield, IL</v>
      </c>
    </row>
    <row r="1531" spans="2:8" x14ac:dyDescent="0.2">
      <c r="B1531" s="27" t="s">
        <v>174</v>
      </c>
      <c r="C1531" s="28" t="s">
        <v>969</v>
      </c>
      <c r="D1531" s="29" t="s">
        <v>8</v>
      </c>
      <c r="E1531" s="30" t="s">
        <v>367</v>
      </c>
      <c r="F1531" s="28" t="s">
        <v>356</v>
      </c>
      <c r="G1531" s="30" t="s">
        <v>923</v>
      </c>
      <c r="H1531" t="str">
        <f>CONCATENATE(Prequal[[#This Row],[CITY]], ", ",Prequal[[#This Row],[STATE]])</f>
        <v>Springfield, IL</v>
      </c>
    </row>
    <row r="1532" spans="2:8" x14ac:dyDescent="0.2">
      <c r="B1532" s="27" t="s">
        <v>174</v>
      </c>
      <c r="C1532" s="28" t="s">
        <v>969</v>
      </c>
      <c r="D1532" s="29" t="s">
        <v>24</v>
      </c>
      <c r="E1532" s="30" t="s">
        <v>367</v>
      </c>
      <c r="F1532" s="28" t="s">
        <v>356</v>
      </c>
      <c r="G1532" s="30" t="s">
        <v>923</v>
      </c>
      <c r="H1532" t="str">
        <f>CONCATENATE(Prequal[[#This Row],[CITY]], ", ",Prequal[[#This Row],[STATE]])</f>
        <v>Springfield, IL</v>
      </c>
    </row>
    <row r="1533" spans="2:8" x14ac:dyDescent="0.2">
      <c r="B1533" s="27" t="s">
        <v>174</v>
      </c>
      <c r="C1533" s="28" t="s">
        <v>969</v>
      </c>
      <c r="D1533" s="29" t="s">
        <v>25</v>
      </c>
      <c r="E1533" s="30" t="s">
        <v>367</v>
      </c>
      <c r="F1533" s="28" t="s">
        <v>356</v>
      </c>
      <c r="G1533" s="30" t="s">
        <v>923</v>
      </c>
      <c r="H1533" t="str">
        <f>CONCATENATE(Prequal[[#This Row],[CITY]], ", ",Prequal[[#This Row],[STATE]])</f>
        <v>Springfield, IL</v>
      </c>
    </row>
    <row r="1534" spans="2:8" x14ac:dyDescent="0.2">
      <c r="B1534" s="27" t="s">
        <v>174</v>
      </c>
      <c r="C1534" s="28" t="s">
        <v>969</v>
      </c>
      <c r="D1534" s="29" t="s">
        <v>9</v>
      </c>
      <c r="E1534" s="30" t="s">
        <v>367</v>
      </c>
      <c r="F1534" s="28" t="s">
        <v>356</v>
      </c>
      <c r="G1534" s="30" t="s">
        <v>923</v>
      </c>
      <c r="H1534" t="str">
        <f>CONCATENATE(Prequal[[#This Row],[CITY]], ", ",Prequal[[#This Row],[STATE]])</f>
        <v>Springfield, IL</v>
      </c>
    </row>
    <row r="1535" spans="2:8" x14ac:dyDescent="0.2">
      <c r="B1535" s="27" t="s">
        <v>174</v>
      </c>
      <c r="C1535" s="28" t="s">
        <v>969</v>
      </c>
      <c r="D1535" s="29" t="s">
        <v>20</v>
      </c>
      <c r="E1535" s="30" t="s">
        <v>367</v>
      </c>
      <c r="F1535" s="28" t="s">
        <v>356</v>
      </c>
      <c r="G1535" s="30" t="s">
        <v>923</v>
      </c>
      <c r="H1535" t="str">
        <f>CONCATENATE(Prequal[[#This Row],[CITY]], ", ",Prequal[[#This Row],[STATE]])</f>
        <v>Springfield, IL</v>
      </c>
    </row>
    <row r="1536" spans="2:8" x14ac:dyDescent="0.2">
      <c r="B1536" s="27" t="s">
        <v>174</v>
      </c>
      <c r="C1536" s="28" t="s">
        <v>969</v>
      </c>
      <c r="D1536" s="29" t="s">
        <v>49</v>
      </c>
      <c r="E1536" s="30" t="s">
        <v>367</v>
      </c>
      <c r="F1536" s="28" t="s">
        <v>356</v>
      </c>
      <c r="G1536" s="30" t="s">
        <v>923</v>
      </c>
      <c r="H1536" t="str">
        <f>CONCATENATE(Prequal[[#This Row],[CITY]], ", ",Prequal[[#This Row],[STATE]])</f>
        <v>Springfield, IL</v>
      </c>
    </row>
    <row r="1537" spans="2:8" x14ac:dyDescent="0.2">
      <c r="B1537" s="27" t="s">
        <v>174</v>
      </c>
      <c r="C1537" s="28" t="s">
        <v>969</v>
      </c>
      <c r="D1537" s="29" t="s">
        <v>27</v>
      </c>
      <c r="E1537" s="30" t="s">
        <v>367</v>
      </c>
      <c r="F1537" s="28" t="s">
        <v>356</v>
      </c>
      <c r="G1537" s="30" t="s">
        <v>923</v>
      </c>
      <c r="H1537" t="str">
        <f>CONCATENATE(Prequal[[#This Row],[CITY]], ", ",Prequal[[#This Row],[STATE]])</f>
        <v>Springfield, IL</v>
      </c>
    </row>
    <row r="1538" spans="2:8" x14ac:dyDescent="0.2">
      <c r="B1538" s="27" t="s">
        <v>174</v>
      </c>
      <c r="C1538" s="28" t="s">
        <v>969</v>
      </c>
      <c r="D1538" s="29" t="s">
        <v>10</v>
      </c>
      <c r="E1538" s="30" t="s">
        <v>367</v>
      </c>
      <c r="F1538" s="28" t="s">
        <v>356</v>
      </c>
      <c r="G1538" s="30" t="s">
        <v>923</v>
      </c>
      <c r="H1538" t="str">
        <f>CONCATENATE(Prequal[[#This Row],[CITY]], ", ",Prequal[[#This Row],[STATE]])</f>
        <v>Springfield, IL</v>
      </c>
    </row>
    <row r="1539" spans="2:8" x14ac:dyDescent="0.2">
      <c r="B1539" s="27" t="s">
        <v>174</v>
      </c>
      <c r="C1539" s="28" t="s">
        <v>969</v>
      </c>
      <c r="D1539" s="29" t="s">
        <v>21</v>
      </c>
      <c r="E1539" s="30" t="s">
        <v>367</v>
      </c>
      <c r="F1539" s="28" t="s">
        <v>356</v>
      </c>
      <c r="G1539" s="30" t="s">
        <v>923</v>
      </c>
      <c r="H1539" t="str">
        <f>CONCATENATE(Prequal[[#This Row],[CITY]], ", ",Prequal[[#This Row],[STATE]])</f>
        <v>Springfield, IL</v>
      </c>
    </row>
    <row r="1540" spans="2:8" x14ac:dyDescent="0.2">
      <c r="B1540" s="27" t="s">
        <v>174</v>
      </c>
      <c r="C1540" s="28" t="s">
        <v>969</v>
      </c>
      <c r="D1540" s="29" t="s">
        <v>22</v>
      </c>
      <c r="E1540" s="30" t="s">
        <v>367</v>
      </c>
      <c r="F1540" s="28" t="s">
        <v>356</v>
      </c>
      <c r="G1540" s="30" t="s">
        <v>923</v>
      </c>
      <c r="H1540" t="str">
        <f>CONCATENATE(Prequal[[#This Row],[CITY]], ", ",Prequal[[#This Row],[STATE]])</f>
        <v>Springfield, IL</v>
      </c>
    </row>
    <row r="1541" spans="2:8" x14ac:dyDescent="0.2">
      <c r="B1541" s="27" t="s">
        <v>174</v>
      </c>
      <c r="C1541" s="28" t="s">
        <v>969</v>
      </c>
      <c r="D1541" s="29" t="s">
        <v>51</v>
      </c>
      <c r="E1541" s="30" t="s">
        <v>367</v>
      </c>
      <c r="F1541" s="28" t="s">
        <v>356</v>
      </c>
      <c r="G1541" s="30" t="s">
        <v>923</v>
      </c>
      <c r="H1541" t="str">
        <f>CONCATENATE(Prequal[[#This Row],[CITY]], ", ",Prequal[[#This Row],[STATE]])</f>
        <v>Springfield, IL</v>
      </c>
    </row>
    <row r="1542" spans="2:8" x14ac:dyDescent="0.2">
      <c r="B1542" s="27" t="s">
        <v>174</v>
      </c>
      <c r="C1542" s="28" t="s">
        <v>969</v>
      </c>
      <c r="D1542" s="29" t="s">
        <v>39</v>
      </c>
      <c r="E1542" s="30" t="s">
        <v>367</v>
      </c>
      <c r="F1542" s="28" t="s">
        <v>356</v>
      </c>
      <c r="G1542" s="30" t="s">
        <v>923</v>
      </c>
      <c r="H1542" t="str">
        <f>CONCATENATE(Prequal[[#This Row],[CITY]], ", ",Prequal[[#This Row],[STATE]])</f>
        <v>Springfield, IL</v>
      </c>
    </row>
    <row r="1543" spans="2:8" x14ac:dyDescent="0.2">
      <c r="B1543" s="27" t="s">
        <v>174</v>
      </c>
      <c r="C1543" s="28" t="s">
        <v>969</v>
      </c>
      <c r="D1543" s="29" t="s">
        <v>12</v>
      </c>
      <c r="E1543" s="30" t="s">
        <v>367</v>
      </c>
      <c r="F1543" s="28" t="s">
        <v>356</v>
      </c>
      <c r="G1543" s="30" t="s">
        <v>923</v>
      </c>
      <c r="H1543" t="str">
        <f>CONCATENATE(Prequal[[#This Row],[CITY]], ", ",Prequal[[#This Row],[STATE]])</f>
        <v>Springfield, IL</v>
      </c>
    </row>
    <row r="1544" spans="2:8" x14ac:dyDescent="0.2">
      <c r="B1544" s="27" t="s">
        <v>174</v>
      </c>
      <c r="C1544" s="28" t="s">
        <v>969</v>
      </c>
      <c r="D1544" s="29" t="s">
        <v>29</v>
      </c>
      <c r="E1544" s="30" t="s">
        <v>367</v>
      </c>
      <c r="F1544" s="28" t="s">
        <v>356</v>
      </c>
      <c r="G1544" s="30" t="s">
        <v>923</v>
      </c>
      <c r="H1544" t="str">
        <f>CONCATENATE(Prequal[[#This Row],[CITY]], ", ",Prequal[[#This Row],[STATE]])</f>
        <v>Springfield, IL</v>
      </c>
    </row>
    <row r="1545" spans="2:8" x14ac:dyDescent="0.2">
      <c r="B1545" s="27" t="s">
        <v>174</v>
      </c>
      <c r="C1545" s="28" t="s">
        <v>969</v>
      </c>
      <c r="D1545" s="29" t="s">
        <v>37</v>
      </c>
      <c r="E1545" s="30" t="s">
        <v>367</v>
      </c>
      <c r="F1545" s="28" t="s">
        <v>356</v>
      </c>
      <c r="G1545" s="30" t="s">
        <v>923</v>
      </c>
      <c r="H1545" t="str">
        <f>CONCATENATE(Prequal[[#This Row],[CITY]], ", ",Prequal[[#This Row],[STATE]])</f>
        <v>Springfield, IL</v>
      </c>
    </row>
    <row r="1546" spans="2:8" x14ac:dyDescent="0.2">
      <c r="B1546" s="27" t="s">
        <v>174</v>
      </c>
      <c r="C1546" s="28" t="s">
        <v>969</v>
      </c>
      <c r="D1546" s="29" t="s">
        <v>13</v>
      </c>
      <c r="E1546" s="30" t="s">
        <v>367</v>
      </c>
      <c r="F1546" s="28" t="s">
        <v>356</v>
      </c>
      <c r="G1546" s="30" t="s">
        <v>923</v>
      </c>
      <c r="H1546" t="str">
        <f>CONCATENATE(Prequal[[#This Row],[CITY]], ", ",Prequal[[#This Row],[STATE]])</f>
        <v>Springfield, IL</v>
      </c>
    </row>
    <row r="1547" spans="2:8" x14ac:dyDescent="0.2">
      <c r="B1547" s="27" t="s">
        <v>174</v>
      </c>
      <c r="C1547" s="28" t="s">
        <v>969</v>
      </c>
      <c r="D1547" s="29" t="s">
        <v>14</v>
      </c>
      <c r="E1547" s="30" t="s">
        <v>367</v>
      </c>
      <c r="F1547" s="28" t="s">
        <v>356</v>
      </c>
      <c r="G1547" s="30" t="s">
        <v>923</v>
      </c>
      <c r="H1547" t="str">
        <f>CONCATENATE(Prequal[[#This Row],[CITY]], ", ",Prequal[[#This Row],[STATE]])</f>
        <v>Springfield, IL</v>
      </c>
    </row>
    <row r="1548" spans="2:8" x14ac:dyDescent="0.2">
      <c r="B1548" s="27" t="s">
        <v>174</v>
      </c>
      <c r="C1548" s="28" t="s">
        <v>969</v>
      </c>
      <c r="D1548" s="29" t="s">
        <v>15</v>
      </c>
      <c r="E1548" s="30" t="s">
        <v>367</v>
      </c>
      <c r="F1548" s="28" t="s">
        <v>356</v>
      </c>
      <c r="G1548" s="30" t="s">
        <v>923</v>
      </c>
      <c r="H1548" t="str">
        <f>CONCATENATE(Prequal[[#This Row],[CITY]], ", ",Prequal[[#This Row],[STATE]])</f>
        <v>Springfield, IL</v>
      </c>
    </row>
    <row r="1549" spans="2:8" x14ac:dyDescent="0.2">
      <c r="B1549" s="27" t="s">
        <v>174</v>
      </c>
      <c r="C1549" s="28" t="s">
        <v>969</v>
      </c>
      <c r="D1549" s="29" t="s">
        <v>976</v>
      </c>
      <c r="E1549" s="30" t="s">
        <v>367</v>
      </c>
      <c r="F1549" s="28" t="s">
        <v>356</v>
      </c>
      <c r="G1549" s="30" t="s">
        <v>923</v>
      </c>
      <c r="H1549" t="str">
        <f>CONCATENATE(Prequal[[#This Row],[CITY]], ", ",Prequal[[#This Row],[STATE]])</f>
        <v>Springfield, IL</v>
      </c>
    </row>
    <row r="1550" spans="2:8" x14ac:dyDescent="0.2">
      <c r="B1550" s="27" t="s">
        <v>174</v>
      </c>
      <c r="C1550" s="28" t="s">
        <v>969</v>
      </c>
      <c r="D1550" s="29" t="s">
        <v>1004</v>
      </c>
      <c r="E1550" s="30" t="s">
        <v>367</v>
      </c>
      <c r="F1550" s="28" t="s">
        <v>356</v>
      </c>
      <c r="G1550" s="30" t="s">
        <v>923</v>
      </c>
      <c r="H1550" t="str">
        <f>CONCATENATE(Prequal[[#This Row],[CITY]], ", ",Prequal[[#This Row],[STATE]])</f>
        <v>Springfield, IL</v>
      </c>
    </row>
    <row r="1551" spans="2:8" x14ac:dyDescent="0.2">
      <c r="B1551" s="27" t="s">
        <v>174</v>
      </c>
      <c r="C1551" s="28" t="s">
        <v>969</v>
      </c>
      <c r="D1551" s="29" t="s">
        <v>1008</v>
      </c>
      <c r="E1551" s="30" t="s">
        <v>367</v>
      </c>
      <c r="F1551" s="28" t="s">
        <v>356</v>
      </c>
      <c r="G1551" s="30" t="s">
        <v>923</v>
      </c>
      <c r="H1551" t="str">
        <f>CONCATENATE(Prequal[[#This Row],[CITY]], ", ",Prequal[[#This Row],[STATE]])</f>
        <v>Springfield, IL</v>
      </c>
    </row>
    <row r="1552" spans="2:8" x14ac:dyDescent="0.2">
      <c r="B1552" s="27" t="s">
        <v>174</v>
      </c>
      <c r="C1552" s="28" t="s">
        <v>969</v>
      </c>
      <c r="D1552" s="29" t="s">
        <v>978</v>
      </c>
      <c r="E1552" s="30" t="s">
        <v>367</v>
      </c>
      <c r="F1552" s="28" t="s">
        <v>356</v>
      </c>
      <c r="G1552" s="30" t="s">
        <v>923</v>
      </c>
      <c r="H1552" t="str">
        <f>CONCATENATE(Prequal[[#This Row],[CITY]], ", ",Prequal[[#This Row],[STATE]])</f>
        <v>Springfield, IL</v>
      </c>
    </row>
    <row r="1553" spans="2:8" x14ac:dyDescent="0.2">
      <c r="B1553" s="27" t="s">
        <v>174</v>
      </c>
      <c r="C1553" s="28" t="s">
        <v>969</v>
      </c>
      <c r="D1553" s="29" t="s">
        <v>30</v>
      </c>
      <c r="E1553" s="30" t="s">
        <v>367</v>
      </c>
      <c r="F1553" s="28" t="s">
        <v>356</v>
      </c>
      <c r="G1553" s="30" t="s">
        <v>923</v>
      </c>
      <c r="H1553" t="str">
        <f>CONCATENATE(Prequal[[#This Row],[CITY]], ", ",Prequal[[#This Row],[STATE]])</f>
        <v>Springfield, IL</v>
      </c>
    </row>
    <row r="1554" spans="2:8" x14ac:dyDescent="0.2">
      <c r="B1554" s="27" t="s">
        <v>174</v>
      </c>
      <c r="C1554" s="28" t="s">
        <v>969</v>
      </c>
      <c r="D1554" s="29" t="s">
        <v>53</v>
      </c>
      <c r="E1554" s="30" t="s">
        <v>367</v>
      </c>
      <c r="F1554" s="28" t="s">
        <v>356</v>
      </c>
      <c r="G1554" s="30" t="s">
        <v>923</v>
      </c>
      <c r="H1554" t="str">
        <f>CONCATENATE(Prequal[[#This Row],[CITY]], ", ",Prequal[[#This Row],[STATE]])</f>
        <v>Springfield, IL</v>
      </c>
    </row>
    <row r="1555" spans="2:8" x14ac:dyDescent="0.2">
      <c r="B1555" s="27" t="s">
        <v>174</v>
      </c>
      <c r="C1555" s="28" t="s">
        <v>969</v>
      </c>
      <c r="D1555" s="29" t="s">
        <v>31</v>
      </c>
      <c r="E1555" s="30" t="s">
        <v>367</v>
      </c>
      <c r="F1555" s="28" t="s">
        <v>356</v>
      </c>
      <c r="G1555" s="30" t="s">
        <v>923</v>
      </c>
      <c r="H1555" t="str">
        <f>CONCATENATE(Prequal[[#This Row],[CITY]], ", ",Prequal[[#This Row],[STATE]])</f>
        <v>Springfield, IL</v>
      </c>
    </row>
    <row r="1556" spans="2:8" x14ac:dyDescent="0.2">
      <c r="B1556" s="27" t="s">
        <v>174</v>
      </c>
      <c r="C1556" s="28" t="s">
        <v>969</v>
      </c>
      <c r="D1556" s="29" t="s">
        <v>32</v>
      </c>
      <c r="E1556" s="30" t="s">
        <v>367</v>
      </c>
      <c r="F1556" s="28" t="s">
        <v>356</v>
      </c>
      <c r="G1556" s="30" t="s">
        <v>923</v>
      </c>
      <c r="H1556" t="str">
        <f>CONCATENATE(Prequal[[#This Row],[CITY]], ", ",Prequal[[#This Row],[STATE]])</f>
        <v>Springfield, IL</v>
      </c>
    </row>
    <row r="1557" spans="2:8" x14ac:dyDescent="0.2">
      <c r="B1557" s="27" t="s">
        <v>174</v>
      </c>
      <c r="C1557" s="28" t="s">
        <v>969</v>
      </c>
      <c r="D1557" s="29" t="s">
        <v>38</v>
      </c>
      <c r="E1557" s="30" t="s">
        <v>367</v>
      </c>
      <c r="F1557" s="28" t="s">
        <v>356</v>
      </c>
      <c r="G1557" s="30" t="s">
        <v>923</v>
      </c>
      <c r="H1557" t="str">
        <f>CONCATENATE(Prequal[[#This Row],[CITY]], ", ",Prequal[[#This Row],[STATE]])</f>
        <v>Springfield, IL</v>
      </c>
    </row>
    <row r="1558" spans="2:8" x14ac:dyDescent="0.2">
      <c r="B1558" s="27" t="s">
        <v>174</v>
      </c>
      <c r="C1558" s="28" t="s">
        <v>969</v>
      </c>
      <c r="D1558" s="29" t="s">
        <v>55</v>
      </c>
      <c r="E1558" s="30" t="s">
        <v>367</v>
      </c>
      <c r="F1558" s="28" t="s">
        <v>356</v>
      </c>
      <c r="G1558" s="30" t="s">
        <v>923</v>
      </c>
      <c r="H1558" t="str">
        <f>CONCATENATE(Prequal[[#This Row],[CITY]], ", ",Prequal[[#This Row],[STATE]])</f>
        <v>Springfield, IL</v>
      </c>
    </row>
    <row r="1559" spans="2:8" x14ac:dyDescent="0.2">
      <c r="B1559" s="27" t="s">
        <v>174</v>
      </c>
      <c r="C1559" s="28" t="s">
        <v>969</v>
      </c>
      <c r="D1559" s="29" t="s">
        <v>56</v>
      </c>
      <c r="E1559" s="30" t="s">
        <v>367</v>
      </c>
      <c r="F1559" s="28" t="s">
        <v>356</v>
      </c>
      <c r="G1559" s="30" t="s">
        <v>923</v>
      </c>
      <c r="H1559" t="str">
        <f>CONCATENATE(Prequal[[#This Row],[CITY]], ", ",Prequal[[#This Row],[STATE]])</f>
        <v>Springfield, IL</v>
      </c>
    </row>
    <row r="1560" spans="2:8" x14ac:dyDescent="0.2">
      <c r="B1560" s="27" t="s">
        <v>174</v>
      </c>
      <c r="C1560" s="28" t="s">
        <v>969</v>
      </c>
      <c r="D1560" s="29" t="s">
        <v>33</v>
      </c>
      <c r="E1560" s="30" t="s">
        <v>367</v>
      </c>
      <c r="F1560" s="28" t="s">
        <v>356</v>
      </c>
      <c r="G1560" s="30" t="s">
        <v>923</v>
      </c>
      <c r="H1560" t="str">
        <f>CONCATENATE(Prequal[[#This Row],[CITY]], ", ",Prequal[[#This Row],[STATE]])</f>
        <v>Springfield, IL</v>
      </c>
    </row>
    <row r="1561" spans="2:8" x14ac:dyDescent="0.2">
      <c r="B1561" s="27" t="s">
        <v>174</v>
      </c>
      <c r="C1561" s="28" t="s">
        <v>969</v>
      </c>
      <c r="D1561" s="29" t="s">
        <v>57</v>
      </c>
      <c r="E1561" s="30" t="s">
        <v>367</v>
      </c>
      <c r="F1561" s="28" t="s">
        <v>356</v>
      </c>
      <c r="G1561" s="30" t="s">
        <v>923</v>
      </c>
      <c r="H1561" t="str">
        <f>CONCATENATE(Prequal[[#This Row],[CITY]], ", ",Prequal[[#This Row],[STATE]])</f>
        <v>Springfield, IL</v>
      </c>
    </row>
    <row r="1562" spans="2:8" x14ac:dyDescent="0.2">
      <c r="B1562" s="27" t="s">
        <v>175</v>
      </c>
      <c r="C1562" s="28" t="s">
        <v>969</v>
      </c>
      <c r="D1562" s="29" t="s">
        <v>5</v>
      </c>
      <c r="E1562" s="30" t="s">
        <v>429</v>
      </c>
      <c r="F1562" s="28" t="s">
        <v>426</v>
      </c>
      <c r="G1562" s="30" t="s">
        <v>659</v>
      </c>
      <c r="H1562" t="str">
        <f>CONCATENATE(Prequal[[#This Row],[CITY]], ", ",Prequal[[#This Row],[STATE]])</f>
        <v>New York, NY</v>
      </c>
    </row>
    <row r="1563" spans="2:8" x14ac:dyDescent="0.2">
      <c r="B1563" s="27" t="s">
        <v>175</v>
      </c>
      <c r="C1563" s="28" t="s">
        <v>969</v>
      </c>
      <c r="D1563" s="29" t="s">
        <v>30</v>
      </c>
      <c r="E1563" s="30" t="s">
        <v>429</v>
      </c>
      <c r="F1563" s="28" t="s">
        <v>426</v>
      </c>
      <c r="G1563" s="30" t="s">
        <v>659</v>
      </c>
      <c r="H1563" t="str">
        <f>CONCATENATE(Prequal[[#This Row],[CITY]], ", ",Prequal[[#This Row],[STATE]])</f>
        <v>New York, NY</v>
      </c>
    </row>
    <row r="1564" spans="2:8" x14ac:dyDescent="0.2">
      <c r="B1564" s="27" t="s">
        <v>175</v>
      </c>
      <c r="C1564" s="28" t="s">
        <v>969</v>
      </c>
      <c r="D1564" s="29" t="s">
        <v>53</v>
      </c>
      <c r="E1564" s="30" t="s">
        <v>429</v>
      </c>
      <c r="F1564" s="28" t="s">
        <v>426</v>
      </c>
      <c r="G1564" s="30" t="s">
        <v>659</v>
      </c>
      <c r="H1564" t="str">
        <f>CONCATENATE(Prequal[[#This Row],[CITY]], ", ",Prequal[[#This Row],[STATE]])</f>
        <v>New York, NY</v>
      </c>
    </row>
    <row r="1565" spans="2:8" x14ac:dyDescent="0.2">
      <c r="B1565" s="27" t="s">
        <v>175</v>
      </c>
      <c r="C1565" s="28" t="s">
        <v>969</v>
      </c>
      <c r="D1565" s="29" t="s">
        <v>31</v>
      </c>
      <c r="E1565" s="30" t="s">
        <v>429</v>
      </c>
      <c r="F1565" s="28" t="s">
        <v>426</v>
      </c>
      <c r="G1565" s="30" t="s">
        <v>659</v>
      </c>
      <c r="H1565" t="str">
        <f>CONCATENATE(Prequal[[#This Row],[CITY]], ", ",Prequal[[#This Row],[STATE]])</f>
        <v>New York, NY</v>
      </c>
    </row>
    <row r="1566" spans="2:8" x14ac:dyDescent="0.2">
      <c r="B1566" s="27" t="s">
        <v>175</v>
      </c>
      <c r="C1566" s="28" t="s">
        <v>969</v>
      </c>
      <c r="D1566" s="29" t="s">
        <v>32</v>
      </c>
      <c r="E1566" s="30" t="s">
        <v>429</v>
      </c>
      <c r="F1566" s="28" t="s">
        <v>426</v>
      </c>
      <c r="G1566" s="30" t="s">
        <v>659</v>
      </c>
      <c r="H1566" t="str">
        <f>CONCATENATE(Prequal[[#This Row],[CITY]], ", ",Prequal[[#This Row],[STATE]])</f>
        <v>New York, NY</v>
      </c>
    </row>
    <row r="1567" spans="2:8" x14ac:dyDescent="0.2">
      <c r="B1567" s="27" t="s">
        <v>175</v>
      </c>
      <c r="C1567" s="28" t="s">
        <v>969</v>
      </c>
      <c r="D1567" s="29" t="s">
        <v>54</v>
      </c>
      <c r="E1567" s="30" t="s">
        <v>429</v>
      </c>
      <c r="F1567" s="28" t="s">
        <v>426</v>
      </c>
      <c r="G1567" s="30" t="s">
        <v>659</v>
      </c>
      <c r="H1567" t="str">
        <f>CONCATENATE(Prequal[[#This Row],[CITY]], ", ",Prequal[[#This Row],[STATE]])</f>
        <v>New York, NY</v>
      </c>
    </row>
    <row r="1568" spans="2:8" x14ac:dyDescent="0.2">
      <c r="B1568" s="27" t="s">
        <v>175</v>
      </c>
      <c r="C1568" s="28" t="s">
        <v>969</v>
      </c>
      <c r="D1568" s="29" t="s">
        <v>38</v>
      </c>
      <c r="E1568" s="30" t="s">
        <v>429</v>
      </c>
      <c r="F1568" s="28" t="s">
        <v>426</v>
      </c>
      <c r="G1568" s="30" t="s">
        <v>659</v>
      </c>
      <c r="H1568" t="str">
        <f>CONCATENATE(Prequal[[#This Row],[CITY]], ", ",Prequal[[#This Row],[STATE]])</f>
        <v>New York, NY</v>
      </c>
    </row>
    <row r="1569" spans="2:8" x14ac:dyDescent="0.2">
      <c r="B1569" s="27" t="s">
        <v>175</v>
      </c>
      <c r="C1569" s="28" t="s">
        <v>969</v>
      </c>
      <c r="D1569" s="29" t="s">
        <v>55</v>
      </c>
      <c r="E1569" s="30" t="s">
        <v>429</v>
      </c>
      <c r="F1569" s="28" t="s">
        <v>426</v>
      </c>
      <c r="G1569" s="30" t="s">
        <v>659</v>
      </c>
      <c r="H1569" t="str">
        <f>CONCATENATE(Prequal[[#This Row],[CITY]], ", ",Prequal[[#This Row],[STATE]])</f>
        <v>New York, NY</v>
      </c>
    </row>
    <row r="1570" spans="2:8" x14ac:dyDescent="0.2">
      <c r="B1570" s="27" t="s">
        <v>176</v>
      </c>
      <c r="C1570" s="28" t="s">
        <v>969</v>
      </c>
      <c r="D1570" s="29" t="s">
        <v>5</v>
      </c>
      <c r="E1570" s="30" t="s">
        <v>947</v>
      </c>
      <c r="F1570" s="28" t="s">
        <v>356</v>
      </c>
      <c r="G1570" s="30" t="s">
        <v>660</v>
      </c>
      <c r="H1570" t="str">
        <f>CONCATENATE(Prequal[[#This Row],[CITY]], ", ",Prequal[[#This Row],[STATE]])</f>
        <v>Chicago, IL</v>
      </c>
    </row>
    <row r="1571" spans="2:8" x14ac:dyDescent="0.2">
      <c r="B1571" s="27" t="s">
        <v>176</v>
      </c>
      <c r="C1571" s="28" t="s">
        <v>969</v>
      </c>
      <c r="D1571" s="29" t="s">
        <v>6</v>
      </c>
      <c r="E1571" s="30" t="s">
        <v>947</v>
      </c>
      <c r="F1571" s="28" t="s">
        <v>356</v>
      </c>
      <c r="G1571" s="30" t="s">
        <v>660</v>
      </c>
      <c r="H1571" t="str">
        <f>CONCATENATE(Prequal[[#This Row],[CITY]], ", ",Prequal[[#This Row],[STATE]])</f>
        <v>Chicago, IL</v>
      </c>
    </row>
    <row r="1572" spans="2:8" x14ac:dyDescent="0.2">
      <c r="B1572" s="27" t="s">
        <v>176</v>
      </c>
      <c r="C1572" s="28" t="s">
        <v>969</v>
      </c>
      <c r="D1572" s="29" t="s">
        <v>7</v>
      </c>
      <c r="E1572" s="30" t="s">
        <v>947</v>
      </c>
      <c r="F1572" s="28" t="s">
        <v>356</v>
      </c>
      <c r="G1572" s="30" t="s">
        <v>660</v>
      </c>
      <c r="H1572" t="str">
        <f>CONCATENATE(Prequal[[#This Row],[CITY]], ", ",Prequal[[#This Row],[STATE]])</f>
        <v>Chicago, IL</v>
      </c>
    </row>
    <row r="1573" spans="2:8" x14ac:dyDescent="0.2">
      <c r="B1573" s="27" t="s">
        <v>176</v>
      </c>
      <c r="C1573" s="28" t="s">
        <v>969</v>
      </c>
      <c r="D1573" s="29" t="s">
        <v>8</v>
      </c>
      <c r="E1573" s="30" t="s">
        <v>947</v>
      </c>
      <c r="F1573" s="28" t="s">
        <v>356</v>
      </c>
      <c r="G1573" s="30" t="s">
        <v>660</v>
      </c>
      <c r="H1573" t="str">
        <f>CONCATENATE(Prequal[[#This Row],[CITY]], ", ",Prequal[[#This Row],[STATE]])</f>
        <v>Chicago, IL</v>
      </c>
    </row>
    <row r="1574" spans="2:8" x14ac:dyDescent="0.2">
      <c r="B1574" s="27" t="s">
        <v>176</v>
      </c>
      <c r="C1574" s="28" t="s">
        <v>969</v>
      </c>
      <c r="D1574" s="29" t="s">
        <v>25</v>
      </c>
      <c r="E1574" s="30" t="s">
        <v>947</v>
      </c>
      <c r="F1574" s="28" t="s">
        <v>356</v>
      </c>
      <c r="G1574" s="30" t="s">
        <v>660</v>
      </c>
      <c r="H1574" t="str">
        <f>CONCATENATE(Prequal[[#This Row],[CITY]], ", ",Prequal[[#This Row],[STATE]])</f>
        <v>Chicago, IL</v>
      </c>
    </row>
    <row r="1575" spans="2:8" x14ac:dyDescent="0.2">
      <c r="B1575" s="27" t="s">
        <v>176</v>
      </c>
      <c r="C1575" s="28" t="s">
        <v>969</v>
      </c>
      <c r="D1575" s="29" t="s">
        <v>10</v>
      </c>
      <c r="E1575" s="30" t="s">
        <v>947</v>
      </c>
      <c r="F1575" s="28" t="s">
        <v>356</v>
      </c>
      <c r="G1575" s="30" t="s">
        <v>660</v>
      </c>
      <c r="H1575" t="str">
        <f>CONCATENATE(Prequal[[#This Row],[CITY]], ", ",Prequal[[#This Row],[STATE]])</f>
        <v>Chicago, IL</v>
      </c>
    </row>
    <row r="1576" spans="2:8" x14ac:dyDescent="0.2">
      <c r="B1576" s="27" t="s">
        <v>176</v>
      </c>
      <c r="C1576" s="28" t="s">
        <v>969</v>
      </c>
      <c r="D1576" s="29" t="s">
        <v>28</v>
      </c>
      <c r="E1576" s="30" t="s">
        <v>947</v>
      </c>
      <c r="F1576" s="28" t="s">
        <v>356</v>
      </c>
      <c r="G1576" s="30" t="s">
        <v>660</v>
      </c>
      <c r="H1576" t="str">
        <f>CONCATENATE(Prequal[[#This Row],[CITY]], ", ",Prequal[[#This Row],[STATE]])</f>
        <v>Chicago, IL</v>
      </c>
    </row>
    <row r="1577" spans="2:8" x14ac:dyDescent="0.2">
      <c r="B1577" s="27" t="s">
        <v>176</v>
      </c>
      <c r="C1577" s="28" t="s">
        <v>969</v>
      </c>
      <c r="D1577" s="29" t="s">
        <v>29</v>
      </c>
      <c r="E1577" s="30" t="s">
        <v>947</v>
      </c>
      <c r="F1577" s="28" t="s">
        <v>356</v>
      </c>
      <c r="G1577" s="30" t="s">
        <v>660</v>
      </c>
      <c r="H1577" t="str">
        <f>CONCATENATE(Prequal[[#This Row],[CITY]], ", ",Prequal[[#This Row],[STATE]])</f>
        <v>Chicago, IL</v>
      </c>
    </row>
    <row r="1578" spans="2:8" x14ac:dyDescent="0.2">
      <c r="B1578" s="27" t="s">
        <v>176</v>
      </c>
      <c r="C1578" s="28" t="s">
        <v>969</v>
      </c>
      <c r="D1578" s="29" t="s">
        <v>31</v>
      </c>
      <c r="E1578" s="30" t="s">
        <v>947</v>
      </c>
      <c r="F1578" s="28" t="s">
        <v>356</v>
      </c>
      <c r="G1578" s="30" t="s">
        <v>660</v>
      </c>
      <c r="H1578" t="str">
        <f>CONCATENATE(Prequal[[#This Row],[CITY]], ", ",Prequal[[#This Row],[STATE]])</f>
        <v>Chicago, IL</v>
      </c>
    </row>
    <row r="1579" spans="2:8" x14ac:dyDescent="0.2">
      <c r="B1579" s="27" t="s">
        <v>177</v>
      </c>
      <c r="C1579" s="28" t="s">
        <v>970</v>
      </c>
      <c r="D1579" s="29" t="s">
        <v>4</v>
      </c>
      <c r="E1579" s="30" t="s">
        <v>430</v>
      </c>
      <c r="F1579" s="28" t="s">
        <v>356</v>
      </c>
      <c r="G1579" s="30" t="s">
        <v>661</v>
      </c>
      <c r="H1579" t="str">
        <f>CONCATENATE(Prequal[[#This Row],[CITY]], ", ",Prequal[[#This Row],[STATE]])</f>
        <v>Hillside, IL</v>
      </c>
    </row>
    <row r="1580" spans="2:8" x14ac:dyDescent="0.2">
      <c r="B1580" s="27" t="s">
        <v>177</v>
      </c>
      <c r="C1580" s="28" t="s">
        <v>970</v>
      </c>
      <c r="D1580" s="29" t="s">
        <v>5</v>
      </c>
      <c r="E1580" s="30" t="s">
        <v>430</v>
      </c>
      <c r="F1580" s="28" t="s">
        <v>356</v>
      </c>
      <c r="G1580" s="30" t="s">
        <v>661</v>
      </c>
      <c r="H1580" t="str">
        <f>CONCATENATE(Prequal[[#This Row],[CITY]], ", ",Prequal[[#This Row],[STATE]])</f>
        <v>Hillside, IL</v>
      </c>
    </row>
    <row r="1581" spans="2:8" x14ac:dyDescent="0.2">
      <c r="B1581" s="31" t="s">
        <v>177</v>
      </c>
      <c r="C1581" s="32" t="s">
        <v>970</v>
      </c>
      <c r="D1581" s="33" t="s">
        <v>8</v>
      </c>
      <c r="E1581" s="30" t="s">
        <v>430</v>
      </c>
      <c r="F1581" s="32" t="s">
        <v>356</v>
      </c>
      <c r="G1581" s="30" t="s">
        <v>661</v>
      </c>
      <c r="H1581" t="str">
        <f>CONCATENATE(Prequal[[#This Row],[CITY]], ", ",Prequal[[#This Row],[STATE]])</f>
        <v>Hillside, IL</v>
      </c>
    </row>
    <row r="1582" spans="2:8" x14ac:dyDescent="0.2">
      <c r="B1582" s="31" t="s">
        <v>177</v>
      </c>
      <c r="C1582" s="32" t="s">
        <v>970</v>
      </c>
      <c r="D1582" s="33" t="s">
        <v>25</v>
      </c>
      <c r="E1582" s="30" t="s">
        <v>430</v>
      </c>
      <c r="F1582" s="32" t="s">
        <v>356</v>
      </c>
      <c r="G1582" s="30" t="s">
        <v>661</v>
      </c>
      <c r="H1582" t="str">
        <f>CONCATENATE(Prequal[[#This Row],[CITY]], ", ",Prequal[[#This Row],[STATE]])</f>
        <v>Hillside, IL</v>
      </c>
    </row>
    <row r="1583" spans="2:8" x14ac:dyDescent="0.2">
      <c r="B1583" s="27" t="s">
        <v>177</v>
      </c>
      <c r="C1583" s="28" t="s">
        <v>970</v>
      </c>
      <c r="D1583" s="29" t="s">
        <v>9</v>
      </c>
      <c r="E1583" s="30" t="s">
        <v>430</v>
      </c>
      <c r="F1583" s="28" t="s">
        <v>356</v>
      </c>
      <c r="G1583" s="30" t="s">
        <v>661</v>
      </c>
      <c r="H1583" t="str">
        <f>CONCATENATE(Prequal[[#This Row],[CITY]], ", ",Prequal[[#This Row],[STATE]])</f>
        <v>Hillside, IL</v>
      </c>
    </row>
    <row r="1584" spans="2:8" x14ac:dyDescent="0.2">
      <c r="B1584" s="27" t="s">
        <v>177</v>
      </c>
      <c r="C1584" s="28" t="s">
        <v>970</v>
      </c>
      <c r="D1584" s="29" t="s">
        <v>10</v>
      </c>
      <c r="E1584" s="30" t="s">
        <v>430</v>
      </c>
      <c r="F1584" s="28" t="s">
        <v>356</v>
      </c>
      <c r="G1584" s="30" t="s">
        <v>661</v>
      </c>
      <c r="H1584" t="str">
        <f>CONCATENATE(Prequal[[#This Row],[CITY]], ", ",Prequal[[#This Row],[STATE]])</f>
        <v>Hillside, IL</v>
      </c>
    </row>
    <row r="1585" spans="2:8" x14ac:dyDescent="0.2">
      <c r="B1585" s="27" t="s">
        <v>177</v>
      </c>
      <c r="C1585" s="28" t="s">
        <v>970</v>
      </c>
      <c r="D1585" s="29" t="s">
        <v>15</v>
      </c>
      <c r="E1585" s="30" t="s">
        <v>430</v>
      </c>
      <c r="F1585" s="28" t="s">
        <v>356</v>
      </c>
      <c r="G1585" s="30" t="s">
        <v>661</v>
      </c>
      <c r="H1585" t="str">
        <f>CONCATENATE(Prequal[[#This Row],[CITY]], ", ",Prequal[[#This Row],[STATE]])</f>
        <v>Hillside, IL</v>
      </c>
    </row>
    <row r="1586" spans="2:8" x14ac:dyDescent="0.2">
      <c r="B1586" s="27" t="s">
        <v>177</v>
      </c>
      <c r="C1586" s="28" t="s">
        <v>970</v>
      </c>
      <c r="D1586" s="29" t="s">
        <v>30</v>
      </c>
      <c r="E1586" s="30" t="s">
        <v>430</v>
      </c>
      <c r="F1586" s="28" t="s">
        <v>356</v>
      </c>
      <c r="G1586" s="30" t="s">
        <v>661</v>
      </c>
      <c r="H1586" t="str">
        <f>CONCATENATE(Prequal[[#This Row],[CITY]], ", ",Prequal[[#This Row],[STATE]])</f>
        <v>Hillside, IL</v>
      </c>
    </row>
    <row r="1587" spans="2:8" x14ac:dyDescent="0.2">
      <c r="B1587" s="27" t="s">
        <v>177</v>
      </c>
      <c r="C1587" s="28" t="s">
        <v>970</v>
      </c>
      <c r="D1587" s="29" t="s">
        <v>53</v>
      </c>
      <c r="E1587" s="30" t="s">
        <v>430</v>
      </c>
      <c r="F1587" s="28" t="s">
        <v>356</v>
      </c>
      <c r="G1587" s="30" t="s">
        <v>661</v>
      </c>
      <c r="H1587" t="str">
        <f>CONCATENATE(Prequal[[#This Row],[CITY]], ", ",Prequal[[#This Row],[STATE]])</f>
        <v>Hillside, IL</v>
      </c>
    </row>
    <row r="1588" spans="2:8" x14ac:dyDescent="0.2">
      <c r="B1588" s="31" t="s">
        <v>177</v>
      </c>
      <c r="C1588" s="32" t="s">
        <v>970</v>
      </c>
      <c r="D1588" s="33" t="s">
        <v>31</v>
      </c>
      <c r="E1588" s="30" t="s">
        <v>430</v>
      </c>
      <c r="F1588" s="32" t="s">
        <v>356</v>
      </c>
      <c r="G1588" s="30" t="s">
        <v>661</v>
      </c>
      <c r="H1588" t="str">
        <f>CONCATENATE(Prequal[[#This Row],[CITY]], ", ",Prequal[[#This Row],[STATE]])</f>
        <v>Hillside, IL</v>
      </c>
    </row>
    <row r="1589" spans="2:8" x14ac:dyDescent="0.2">
      <c r="B1589" s="31" t="s">
        <v>177</v>
      </c>
      <c r="C1589" s="32" t="s">
        <v>970</v>
      </c>
      <c r="D1589" s="33" t="s">
        <v>32</v>
      </c>
      <c r="E1589" s="30" t="s">
        <v>430</v>
      </c>
      <c r="F1589" s="32" t="s">
        <v>356</v>
      </c>
      <c r="G1589" s="30" t="s">
        <v>661</v>
      </c>
      <c r="H1589" t="str">
        <f>CONCATENATE(Prequal[[#This Row],[CITY]], ", ",Prequal[[#This Row],[STATE]])</f>
        <v>Hillside, IL</v>
      </c>
    </row>
    <row r="1590" spans="2:8" x14ac:dyDescent="0.2">
      <c r="B1590" s="31" t="s">
        <v>177</v>
      </c>
      <c r="C1590" s="32" t="s">
        <v>970</v>
      </c>
      <c r="D1590" s="33" t="s">
        <v>54</v>
      </c>
      <c r="E1590" s="30" t="s">
        <v>430</v>
      </c>
      <c r="F1590" s="32" t="s">
        <v>356</v>
      </c>
      <c r="G1590" s="30" t="s">
        <v>661</v>
      </c>
      <c r="H1590" t="str">
        <f>CONCATENATE(Prequal[[#This Row],[CITY]], ", ",Prequal[[#This Row],[STATE]])</f>
        <v>Hillside, IL</v>
      </c>
    </row>
    <row r="1591" spans="2:8" x14ac:dyDescent="0.2">
      <c r="B1591" s="31" t="s">
        <v>177</v>
      </c>
      <c r="C1591" s="32" t="s">
        <v>970</v>
      </c>
      <c r="D1591" s="33" t="s">
        <v>38</v>
      </c>
      <c r="E1591" s="30" t="s">
        <v>430</v>
      </c>
      <c r="F1591" s="32" t="s">
        <v>356</v>
      </c>
      <c r="G1591" s="30" t="s">
        <v>661</v>
      </c>
      <c r="H1591" t="str">
        <f>CONCATENATE(Prequal[[#This Row],[CITY]], ", ",Prequal[[#This Row],[STATE]])</f>
        <v>Hillside, IL</v>
      </c>
    </row>
    <row r="1592" spans="2:8" x14ac:dyDescent="0.2">
      <c r="B1592" s="31" t="s">
        <v>177</v>
      </c>
      <c r="C1592" s="32" t="s">
        <v>970</v>
      </c>
      <c r="D1592" s="33" t="s">
        <v>55</v>
      </c>
      <c r="E1592" s="30" t="s">
        <v>430</v>
      </c>
      <c r="F1592" s="32" t="s">
        <v>356</v>
      </c>
      <c r="G1592" s="30" t="s">
        <v>661</v>
      </c>
      <c r="H1592" t="str">
        <f>CONCATENATE(Prequal[[#This Row],[CITY]], ", ",Prequal[[#This Row],[STATE]])</f>
        <v>Hillside, IL</v>
      </c>
    </row>
    <row r="1593" spans="2:8" x14ac:dyDescent="0.2">
      <c r="B1593" s="27" t="s">
        <v>178</v>
      </c>
      <c r="C1593" s="28" t="s">
        <v>969</v>
      </c>
      <c r="D1593" s="29" t="s">
        <v>36</v>
      </c>
      <c r="E1593" s="30" t="s">
        <v>391</v>
      </c>
      <c r="F1593" s="28" t="s">
        <v>356</v>
      </c>
      <c r="G1593" s="30" t="s">
        <v>662</v>
      </c>
      <c r="H1593" t="str">
        <f>CONCATENATE(Prequal[[#This Row],[CITY]], ", ",Prequal[[#This Row],[STATE]])</f>
        <v>Rosemont, IL</v>
      </c>
    </row>
    <row r="1594" spans="2:8" x14ac:dyDescent="0.2">
      <c r="B1594" s="27" t="s">
        <v>178</v>
      </c>
      <c r="C1594" s="28" t="s">
        <v>969</v>
      </c>
      <c r="D1594" s="29" t="s">
        <v>42</v>
      </c>
      <c r="E1594" s="30" t="s">
        <v>391</v>
      </c>
      <c r="F1594" s="28" t="s">
        <v>356</v>
      </c>
      <c r="G1594" s="30" t="s">
        <v>662</v>
      </c>
      <c r="H1594" t="str">
        <f>CONCATENATE(Prequal[[#This Row],[CITY]], ", ",Prequal[[#This Row],[STATE]])</f>
        <v>Rosemont, IL</v>
      </c>
    </row>
    <row r="1595" spans="2:8" x14ac:dyDescent="0.2">
      <c r="B1595" s="27" t="s">
        <v>178</v>
      </c>
      <c r="C1595" s="28" t="s">
        <v>969</v>
      </c>
      <c r="D1595" s="29" t="s">
        <v>43</v>
      </c>
      <c r="E1595" s="30" t="s">
        <v>391</v>
      </c>
      <c r="F1595" s="28" t="s">
        <v>356</v>
      </c>
      <c r="G1595" s="30" t="s">
        <v>662</v>
      </c>
      <c r="H1595" t="str">
        <f>CONCATENATE(Prequal[[#This Row],[CITY]], ", ",Prequal[[#This Row],[STATE]])</f>
        <v>Rosemont, IL</v>
      </c>
    </row>
    <row r="1596" spans="2:8" x14ac:dyDescent="0.2">
      <c r="B1596" s="27" t="s">
        <v>178</v>
      </c>
      <c r="C1596" s="28" t="s">
        <v>969</v>
      </c>
      <c r="D1596" s="29" t="s">
        <v>44</v>
      </c>
      <c r="E1596" s="30" t="s">
        <v>391</v>
      </c>
      <c r="F1596" s="28" t="s">
        <v>356</v>
      </c>
      <c r="G1596" s="30" t="s">
        <v>662</v>
      </c>
      <c r="H1596" t="str">
        <f>CONCATENATE(Prequal[[#This Row],[CITY]], ", ",Prequal[[#This Row],[STATE]])</f>
        <v>Rosemont, IL</v>
      </c>
    </row>
    <row r="1597" spans="2:8" x14ac:dyDescent="0.2">
      <c r="B1597" s="27" t="s">
        <v>178</v>
      </c>
      <c r="C1597" s="28" t="s">
        <v>969</v>
      </c>
      <c r="D1597" s="29" t="s">
        <v>46</v>
      </c>
      <c r="E1597" s="30" t="s">
        <v>391</v>
      </c>
      <c r="F1597" s="28" t="s">
        <v>356</v>
      </c>
      <c r="G1597" s="30" t="s">
        <v>662</v>
      </c>
      <c r="H1597" t="str">
        <f>CONCATENATE(Prequal[[#This Row],[CITY]], ", ",Prequal[[#This Row],[STATE]])</f>
        <v>Rosemont, IL</v>
      </c>
    </row>
    <row r="1598" spans="2:8" x14ac:dyDescent="0.2">
      <c r="B1598" s="27" t="s">
        <v>178</v>
      </c>
      <c r="C1598" s="28" t="s">
        <v>969</v>
      </c>
      <c r="D1598" s="29" t="s">
        <v>47</v>
      </c>
      <c r="E1598" s="30" t="s">
        <v>391</v>
      </c>
      <c r="F1598" s="28" t="s">
        <v>356</v>
      </c>
      <c r="G1598" s="30" t="s">
        <v>662</v>
      </c>
      <c r="H1598" t="str">
        <f>CONCATENATE(Prequal[[#This Row],[CITY]], ", ",Prequal[[#This Row],[STATE]])</f>
        <v>Rosemont, IL</v>
      </c>
    </row>
    <row r="1599" spans="2:8" x14ac:dyDescent="0.2">
      <c r="B1599" s="27" t="s">
        <v>178</v>
      </c>
      <c r="C1599" s="28" t="s">
        <v>969</v>
      </c>
      <c r="D1599" s="29" t="s">
        <v>4</v>
      </c>
      <c r="E1599" s="30" t="s">
        <v>391</v>
      </c>
      <c r="F1599" s="28" t="s">
        <v>356</v>
      </c>
      <c r="G1599" s="30" t="s">
        <v>662</v>
      </c>
      <c r="H1599" t="str">
        <f>CONCATENATE(Prequal[[#This Row],[CITY]], ", ",Prequal[[#This Row],[STATE]])</f>
        <v>Rosemont, IL</v>
      </c>
    </row>
    <row r="1600" spans="2:8" x14ac:dyDescent="0.2">
      <c r="B1600" s="27" t="s">
        <v>178</v>
      </c>
      <c r="C1600" s="28" t="s">
        <v>969</v>
      </c>
      <c r="D1600" s="29" t="s">
        <v>5</v>
      </c>
      <c r="E1600" s="30" t="s">
        <v>391</v>
      </c>
      <c r="F1600" s="28" t="s">
        <v>356</v>
      </c>
      <c r="G1600" s="30" t="s">
        <v>662</v>
      </c>
      <c r="H1600" t="str">
        <f>CONCATENATE(Prequal[[#This Row],[CITY]], ", ",Prequal[[#This Row],[STATE]])</f>
        <v>Rosemont, IL</v>
      </c>
    </row>
    <row r="1601" spans="2:8" x14ac:dyDescent="0.2">
      <c r="B1601" s="27" t="s">
        <v>178</v>
      </c>
      <c r="C1601" s="28" t="s">
        <v>969</v>
      </c>
      <c r="D1601" s="29" t="s">
        <v>6</v>
      </c>
      <c r="E1601" s="30" t="s">
        <v>391</v>
      </c>
      <c r="F1601" s="28" t="s">
        <v>356</v>
      </c>
      <c r="G1601" s="30" t="s">
        <v>662</v>
      </c>
      <c r="H1601" t="str">
        <f>CONCATENATE(Prequal[[#This Row],[CITY]], ", ",Prequal[[#This Row],[STATE]])</f>
        <v>Rosemont, IL</v>
      </c>
    </row>
    <row r="1602" spans="2:8" x14ac:dyDescent="0.2">
      <c r="B1602" s="27" t="s">
        <v>178</v>
      </c>
      <c r="C1602" s="28" t="s">
        <v>969</v>
      </c>
      <c r="D1602" s="29" t="s">
        <v>7</v>
      </c>
      <c r="E1602" s="30" t="s">
        <v>391</v>
      </c>
      <c r="F1602" s="28" t="s">
        <v>356</v>
      </c>
      <c r="G1602" s="30" t="s">
        <v>662</v>
      </c>
      <c r="H1602" t="str">
        <f>CONCATENATE(Prequal[[#This Row],[CITY]], ", ",Prequal[[#This Row],[STATE]])</f>
        <v>Rosemont, IL</v>
      </c>
    </row>
    <row r="1603" spans="2:8" x14ac:dyDescent="0.2">
      <c r="B1603" s="27" t="s">
        <v>178</v>
      </c>
      <c r="C1603" s="28" t="s">
        <v>969</v>
      </c>
      <c r="D1603" s="29" t="s">
        <v>8</v>
      </c>
      <c r="E1603" s="30" t="s">
        <v>391</v>
      </c>
      <c r="F1603" s="28" t="s">
        <v>356</v>
      </c>
      <c r="G1603" s="30" t="s">
        <v>662</v>
      </c>
      <c r="H1603" t="str">
        <f>CONCATENATE(Prequal[[#This Row],[CITY]], ", ",Prequal[[#This Row],[STATE]])</f>
        <v>Rosemont, IL</v>
      </c>
    </row>
    <row r="1604" spans="2:8" x14ac:dyDescent="0.2">
      <c r="B1604" s="27" t="s">
        <v>178</v>
      </c>
      <c r="C1604" s="28" t="s">
        <v>969</v>
      </c>
      <c r="D1604" s="29" t="s">
        <v>24</v>
      </c>
      <c r="E1604" s="30" t="s">
        <v>391</v>
      </c>
      <c r="F1604" s="28" t="s">
        <v>356</v>
      </c>
      <c r="G1604" s="30" t="s">
        <v>662</v>
      </c>
      <c r="H1604" t="str">
        <f>CONCATENATE(Prequal[[#This Row],[CITY]], ", ",Prequal[[#This Row],[STATE]])</f>
        <v>Rosemont, IL</v>
      </c>
    </row>
    <row r="1605" spans="2:8" x14ac:dyDescent="0.2">
      <c r="B1605" s="31" t="s">
        <v>178</v>
      </c>
      <c r="C1605" s="32" t="s">
        <v>969</v>
      </c>
      <c r="D1605" s="33" t="s">
        <v>25</v>
      </c>
      <c r="E1605" s="30" t="s">
        <v>391</v>
      </c>
      <c r="F1605" s="32" t="s">
        <v>356</v>
      </c>
      <c r="G1605" s="30" t="s">
        <v>662</v>
      </c>
      <c r="H1605" t="str">
        <f>CONCATENATE(Prequal[[#This Row],[CITY]], ", ",Prequal[[#This Row],[STATE]])</f>
        <v>Rosemont, IL</v>
      </c>
    </row>
    <row r="1606" spans="2:8" x14ac:dyDescent="0.2">
      <c r="B1606" s="31" t="s">
        <v>178</v>
      </c>
      <c r="C1606" s="32" t="s">
        <v>969</v>
      </c>
      <c r="D1606" s="33" t="s">
        <v>9</v>
      </c>
      <c r="E1606" s="30" t="s">
        <v>391</v>
      </c>
      <c r="F1606" s="32" t="s">
        <v>356</v>
      </c>
      <c r="G1606" s="30" t="s">
        <v>662</v>
      </c>
      <c r="H1606" t="str">
        <f>CONCATENATE(Prequal[[#This Row],[CITY]], ", ",Prequal[[#This Row],[STATE]])</f>
        <v>Rosemont, IL</v>
      </c>
    </row>
    <row r="1607" spans="2:8" x14ac:dyDescent="0.2">
      <c r="B1607" s="31" t="s">
        <v>178</v>
      </c>
      <c r="C1607" s="32" t="s">
        <v>969</v>
      </c>
      <c r="D1607" s="33" t="s">
        <v>49</v>
      </c>
      <c r="E1607" s="30" t="s">
        <v>391</v>
      </c>
      <c r="F1607" s="32" t="s">
        <v>356</v>
      </c>
      <c r="G1607" s="30" t="s">
        <v>662</v>
      </c>
      <c r="H1607" t="str">
        <f>CONCATENATE(Prequal[[#This Row],[CITY]], ", ",Prequal[[#This Row],[STATE]])</f>
        <v>Rosemont, IL</v>
      </c>
    </row>
    <row r="1608" spans="2:8" x14ac:dyDescent="0.2">
      <c r="B1608" s="31" t="s">
        <v>178</v>
      </c>
      <c r="C1608" s="32" t="s">
        <v>969</v>
      </c>
      <c r="D1608" s="33" t="s">
        <v>27</v>
      </c>
      <c r="E1608" s="30" t="s">
        <v>391</v>
      </c>
      <c r="F1608" s="32" t="s">
        <v>356</v>
      </c>
      <c r="G1608" s="30" t="s">
        <v>662</v>
      </c>
      <c r="H1608" t="str">
        <f>CONCATENATE(Prequal[[#This Row],[CITY]], ", ",Prequal[[#This Row],[STATE]])</f>
        <v>Rosemont, IL</v>
      </c>
    </row>
    <row r="1609" spans="2:8" x14ac:dyDescent="0.2">
      <c r="B1609" s="31" t="s">
        <v>178</v>
      </c>
      <c r="C1609" s="32" t="s">
        <v>969</v>
      </c>
      <c r="D1609" s="33" t="s">
        <v>59</v>
      </c>
      <c r="E1609" s="30" t="s">
        <v>391</v>
      </c>
      <c r="F1609" s="32" t="s">
        <v>356</v>
      </c>
      <c r="G1609" s="30" t="s">
        <v>662</v>
      </c>
      <c r="H1609" t="str">
        <f>CONCATENATE(Prequal[[#This Row],[CITY]], ", ",Prequal[[#This Row],[STATE]])</f>
        <v>Rosemont, IL</v>
      </c>
    </row>
    <row r="1610" spans="2:8" x14ac:dyDescent="0.2">
      <c r="B1610" s="31" t="s">
        <v>178</v>
      </c>
      <c r="C1610" s="32" t="s">
        <v>969</v>
      </c>
      <c r="D1610" s="33" t="s">
        <v>10</v>
      </c>
      <c r="E1610" s="30" t="s">
        <v>391</v>
      </c>
      <c r="F1610" s="32" t="s">
        <v>356</v>
      </c>
      <c r="G1610" s="30" t="s">
        <v>662</v>
      </c>
      <c r="H1610" t="str">
        <f>CONCATENATE(Prequal[[#This Row],[CITY]], ", ",Prequal[[#This Row],[STATE]])</f>
        <v>Rosemont, IL</v>
      </c>
    </row>
    <row r="1611" spans="2:8" x14ac:dyDescent="0.2">
      <c r="B1611" s="31" t="s">
        <v>178</v>
      </c>
      <c r="C1611" s="32" t="s">
        <v>969</v>
      </c>
      <c r="D1611" s="33" t="s">
        <v>21</v>
      </c>
      <c r="E1611" s="30" t="s">
        <v>391</v>
      </c>
      <c r="F1611" s="32" t="s">
        <v>356</v>
      </c>
      <c r="G1611" s="30" t="s">
        <v>662</v>
      </c>
      <c r="H1611" t="str">
        <f>CONCATENATE(Prequal[[#This Row],[CITY]], ", ",Prequal[[#This Row],[STATE]])</f>
        <v>Rosemont, IL</v>
      </c>
    </row>
    <row r="1612" spans="2:8" x14ac:dyDescent="0.2">
      <c r="B1612" s="31" t="s">
        <v>178</v>
      </c>
      <c r="C1612" s="32" t="s">
        <v>969</v>
      </c>
      <c r="D1612" s="33" t="s">
        <v>11</v>
      </c>
      <c r="E1612" s="30" t="s">
        <v>391</v>
      </c>
      <c r="F1612" s="32" t="s">
        <v>356</v>
      </c>
      <c r="G1612" s="30" t="s">
        <v>662</v>
      </c>
      <c r="H1612" t="str">
        <f>CONCATENATE(Prequal[[#This Row],[CITY]], ", ",Prequal[[#This Row],[STATE]])</f>
        <v>Rosemont, IL</v>
      </c>
    </row>
    <row r="1613" spans="2:8" x14ac:dyDescent="0.2">
      <c r="B1613" s="27" t="s">
        <v>178</v>
      </c>
      <c r="C1613" s="28" t="s">
        <v>969</v>
      </c>
      <c r="D1613" s="29" t="s">
        <v>22</v>
      </c>
      <c r="E1613" s="30" t="s">
        <v>391</v>
      </c>
      <c r="F1613" s="28" t="s">
        <v>356</v>
      </c>
      <c r="G1613" s="30" t="s">
        <v>662</v>
      </c>
      <c r="H1613" t="str">
        <f>CONCATENATE(Prequal[[#This Row],[CITY]], ", ",Prequal[[#This Row],[STATE]])</f>
        <v>Rosemont, IL</v>
      </c>
    </row>
    <row r="1614" spans="2:8" x14ac:dyDescent="0.2">
      <c r="B1614" s="27" t="s">
        <v>178</v>
      </c>
      <c r="C1614" s="28" t="s">
        <v>969</v>
      </c>
      <c r="D1614" s="29" t="s">
        <v>51</v>
      </c>
      <c r="E1614" s="30" t="s">
        <v>391</v>
      </c>
      <c r="F1614" s="28" t="s">
        <v>356</v>
      </c>
      <c r="G1614" s="30" t="s">
        <v>662</v>
      </c>
      <c r="H1614" t="str">
        <f>CONCATENATE(Prequal[[#This Row],[CITY]], ", ",Prequal[[#This Row],[STATE]])</f>
        <v>Rosemont, IL</v>
      </c>
    </row>
    <row r="1615" spans="2:8" x14ac:dyDescent="0.2">
      <c r="B1615" s="27" t="s">
        <v>178</v>
      </c>
      <c r="C1615" s="28" t="s">
        <v>969</v>
      </c>
      <c r="D1615" s="29" t="s">
        <v>39</v>
      </c>
      <c r="E1615" s="30" t="s">
        <v>391</v>
      </c>
      <c r="F1615" s="28" t="s">
        <v>356</v>
      </c>
      <c r="G1615" s="30" t="s">
        <v>662</v>
      </c>
      <c r="H1615" t="str">
        <f>CONCATENATE(Prequal[[#This Row],[CITY]], ", ",Prequal[[#This Row],[STATE]])</f>
        <v>Rosemont, IL</v>
      </c>
    </row>
    <row r="1616" spans="2:8" x14ac:dyDescent="0.2">
      <c r="B1616" s="27" t="s">
        <v>178</v>
      </c>
      <c r="C1616" s="28" t="s">
        <v>969</v>
      </c>
      <c r="D1616" s="29" t="s">
        <v>12</v>
      </c>
      <c r="E1616" s="30" t="s">
        <v>391</v>
      </c>
      <c r="F1616" s="28" t="s">
        <v>356</v>
      </c>
      <c r="G1616" s="30" t="s">
        <v>662</v>
      </c>
      <c r="H1616" t="str">
        <f>CONCATENATE(Prequal[[#This Row],[CITY]], ", ",Prequal[[#This Row],[STATE]])</f>
        <v>Rosemont, IL</v>
      </c>
    </row>
    <row r="1617" spans="2:8" x14ac:dyDescent="0.2">
      <c r="B1617" s="27" t="s">
        <v>178</v>
      </c>
      <c r="C1617" s="28" t="s">
        <v>969</v>
      </c>
      <c r="D1617" s="29" t="s">
        <v>37</v>
      </c>
      <c r="E1617" s="30" t="s">
        <v>391</v>
      </c>
      <c r="F1617" s="28" t="s">
        <v>356</v>
      </c>
      <c r="G1617" s="30" t="s">
        <v>662</v>
      </c>
      <c r="H1617" t="str">
        <f>CONCATENATE(Prequal[[#This Row],[CITY]], ", ",Prequal[[#This Row],[STATE]])</f>
        <v>Rosemont, IL</v>
      </c>
    </row>
    <row r="1618" spans="2:8" x14ac:dyDescent="0.2">
      <c r="B1618" s="27" t="s">
        <v>178</v>
      </c>
      <c r="C1618" s="28" t="s">
        <v>969</v>
      </c>
      <c r="D1618" s="29" t="s">
        <v>13</v>
      </c>
      <c r="E1618" s="30" t="s">
        <v>391</v>
      </c>
      <c r="F1618" s="28" t="s">
        <v>356</v>
      </c>
      <c r="G1618" s="30" t="s">
        <v>662</v>
      </c>
      <c r="H1618" t="str">
        <f>CONCATENATE(Prequal[[#This Row],[CITY]], ", ",Prequal[[#This Row],[STATE]])</f>
        <v>Rosemont, IL</v>
      </c>
    </row>
    <row r="1619" spans="2:8" x14ac:dyDescent="0.2">
      <c r="B1619" s="27" t="s">
        <v>178</v>
      </c>
      <c r="C1619" s="28" t="s">
        <v>969</v>
      </c>
      <c r="D1619" s="29" t="s">
        <v>14</v>
      </c>
      <c r="E1619" s="30" t="s">
        <v>391</v>
      </c>
      <c r="F1619" s="28" t="s">
        <v>356</v>
      </c>
      <c r="G1619" s="30" t="s">
        <v>662</v>
      </c>
      <c r="H1619" t="str">
        <f>CONCATENATE(Prequal[[#This Row],[CITY]], ", ",Prequal[[#This Row],[STATE]])</f>
        <v>Rosemont, IL</v>
      </c>
    </row>
    <row r="1620" spans="2:8" x14ac:dyDescent="0.2">
      <c r="B1620" s="27" t="s">
        <v>178</v>
      </c>
      <c r="C1620" s="28" t="s">
        <v>969</v>
      </c>
      <c r="D1620" s="29" t="s">
        <v>15</v>
      </c>
      <c r="E1620" s="30" t="s">
        <v>391</v>
      </c>
      <c r="F1620" s="28" t="s">
        <v>356</v>
      </c>
      <c r="G1620" s="30" t="s">
        <v>662</v>
      </c>
      <c r="H1620" t="str">
        <f>CONCATENATE(Prequal[[#This Row],[CITY]], ", ",Prequal[[#This Row],[STATE]])</f>
        <v>Rosemont, IL</v>
      </c>
    </row>
    <row r="1621" spans="2:8" x14ac:dyDescent="0.2">
      <c r="B1621" s="27" t="s">
        <v>178</v>
      </c>
      <c r="C1621" s="28" t="s">
        <v>969</v>
      </c>
      <c r="D1621" s="29" t="s">
        <v>30</v>
      </c>
      <c r="E1621" s="30" t="s">
        <v>391</v>
      </c>
      <c r="F1621" s="28" t="s">
        <v>356</v>
      </c>
      <c r="G1621" s="30" t="s">
        <v>662</v>
      </c>
      <c r="H1621" t="str">
        <f>CONCATENATE(Prequal[[#This Row],[CITY]], ", ",Prequal[[#This Row],[STATE]])</f>
        <v>Rosemont, IL</v>
      </c>
    </row>
    <row r="1622" spans="2:8" x14ac:dyDescent="0.2">
      <c r="B1622" s="27" t="s">
        <v>178</v>
      </c>
      <c r="C1622" s="28" t="s">
        <v>969</v>
      </c>
      <c r="D1622" s="29" t="s">
        <v>53</v>
      </c>
      <c r="E1622" s="30" t="s">
        <v>391</v>
      </c>
      <c r="F1622" s="28" t="s">
        <v>356</v>
      </c>
      <c r="G1622" s="30" t="s">
        <v>662</v>
      </c>
      <c r="H1622" t="str">
        <f>CONCATENATE(Prequal[[#This Row],[CITY]], ", ",Prequal[[#This Row],[STATE]])</f>
        <v>Rosemont, IL</v>
      </c>
    </row>
    <row r="1623" spans="2:8" x14ac:dyDescent="0.2">
      <c r="B1623" s="27" t="s">
        <v>178</v>
      </c>
      <c r="C1623" s="28" t="s">
        <v>969</v>
      </c>
      <c r="D1623" s="29" t="s">
        <v>31</v>
      </c>
      <c r="E1623" s="30" t="s">
        <v>391</v>
      </c>
      <c r="F1623" s="28" t="s">
        <v>356</v>
      </c>
      <c r="G1623" s="30" t="s">
        <v>662</v>
      </c>
      <c r="H1623" t="str">
        <f>CONCATENATE(Prequal[[#This Row],[CITY]], ", ",Prequal[[#This Row],[STATE]])</f>
        <v>Rosemont, IL</v>
      </c>
    </row>
    <row r="1624" spans="2:8" x14ac:dyDescent="0.2">
      <c r="B1624" s="27" t="s">
        <v>178</v>
      </c>
      <c r="C1624" s="28" t="s">
        <v>969</v>
      </c>
      <c r="D1624" s="29" t="s">
        <v>32</v>
      </c>
      <c r="E1624" s="30" t="s">
        <v>391</v>
      </c>
      <c r="F1624" s="28" t="s">
        <v>356</v>
      </c>
      <c r="G1624" s="30" t="s">
        <v>662</v>
      </c>
      <c r="H1624" t="str">
        <f>CONCATENATE(Prequal[[#This Row],[CITY]], ", ",Prequal[[#This Row],[STATE]])</f>
        <v>Rosemont, IL</v>
      </c>
    </row>
    <row r="1625" spans="2:8" x14ac:dyDescent="0.2">
      <c r="B1625" s="27" t="s">
        <v>178</v>
      </c>
      <c r="C1625" s="28" t="s">
        <v>969</v>
      </c>
      <c r="D1625" s="29" t="s">
        <v>54</v>
      </c>
      <c r="E1625" s="30" t="s">
        <v>391</v>
      </c>
      <c r="F1625" s="28" t="s">
        <v>356</v>
      </c>
      <c r="G1625" s="30" t="s">
        <v>662</v>
      </c>
      <c r="H1625" t="str">
        <f>CONCATENATE(Prequal[[#This Row],[CITY]], ", ",Prequal[[#This Row],[STATE]])</f>
        <v>Rosemont, IL</v>
      </c>
    </row>
    <row r="1626" spans="2:8" x14ac:dyDescent="0.2">
      <c r="B1626" s="27" t="s">
        <v>178</v>
      </c>
      <c r="C1626" s="28" t="s">
        <v>969</v>
      </c>
      <c r="D1626" s="29" t="s">
        <v>38</v>
      </c>
      <c r="E1626" s="30" t="s">
        <v>391</v>
      </c>
      <c r="F1626" s="28" t="s">
        <v>356</v>
      </c>
      <c r="G1626" s="30" t="s">
        <v>662</v>
      </c>
      <c r="H1626" t="str">
        <f>CONCATENATE(Prequal[[#This Row],[CITY]], ", ",Prequal[[#This Row],[STATE]])</f>
        <v>Rosemont, IL</v>
      </c>
    </row>
    <row r="1627" spans="2:8" x14ac:dyDescent="0.2">
      <c r="B1627" s="27" t="s">
        <v>178</v>
      </c>
      <c r="C1627" s="28" t="s">
        <v>969</v>
      </c>
      <c r="D1627" s="29" t="s">
        <v>55</v>
      </c>
      <c r="E1627" s="30" t="s">
        <v>391</v>
      </c>
      <c r="F1627" s="28" t="s">
        <v>356</v>
      </c>
      <c r="G1627" s="30" t="s">
        <v>662</v>
      </c>
      <c r="H1627" t="str">
        <f>CONCATENATE(Prequal[[#This Row],[CITY]], ", ",Prequal[[#This Row],[STATE]])</f>
        <v>Rosemont, IL</v>
      </c>
    </row>
    <row r="1628" spans="2:8" x14ac:dyDescent="0.2">
      <c r="B1628" s="27" t="s">
        <v>178</v>
      </c>
      <c r="C1628" s="28" t="s">
        <v>969</v>
      </c>
      <c r="D1628" s="29" t="s">
        <v>56</v>
      </c>
      <c r="E1628" s="30" t="s">
        <v>391</v>
      </c>
      <c r="F1628" s="28" t="s">
        <v>356</v>
      </c>
      <c r="G1628" s="30" t="s">
        <v>662</v>
      </c>
      <c r="H1628" t="str">
        <f>CONCATENATE(Prequal[[#This Row],[CITY]], ", ",Prequal[[#This Row],[STATE]])</f>
        <v>Rosemont, IL</v>
      </c>
    </row>
    <row r="1629" spans="2:8" x14ac:dyDescent="0.2">
      <c r="B1629" s="27" t="s">
        <v>178</v>
      </c>
      <c r="C1629" s="28" t="s">
        <v>969</v>
      </c>
      <c r="D1629" s="29" t="s">
        <v>33</v>
      </c>
      <c r="E1629" s="30" t="s">
        <v>391</v>
      </c>
      <c r="F1629" s="28" t="s">
        <v>356</v>
      </c>
      <c r="G1629" s="30" t="s">
        <v>662</v>
      </c>
      <c r="H1629" t="str">
        <f>CONCATENATE(Prequal[[#This Row],[CITY]], ", ",Prequal[[#This Row],[STATE]])</f>
        <v>Rosemont, IL</v>
      </c>
    </row>
    <row r="1630" spans="2:8" x14ac:dyDescent="0.2">
      <c r="B1630" s="27" t="s">
        <v>178</v>
      </c>
      <c r="C1630" s="28" t="s">
        <v>969</v>
      </c>
      <c r="D1630" s="29" t="s">
        <v>57</v>
      </c>
      <c r="E1630" s="30" t="s">
        <v>391</v>
      </c>
      <c r="F1630" s="28" t="s">
        <v>356</v>
      </c>
      <c r="G1630" s="30" t="s">
        <v>662</v>
      </c>
      <c r="H1630" t="str">
        <f>CONCATENATE(Prequal[[#This Row],[CITY]], ", ",Prequal[[#This Row],[STATE]])</f>
        <v>Rosemont, IL</v>
      </c>
    </row>
    <row r="1631" spans="2:8" x14ac:dyDescent="0.2">
      <c r="B1631" s="27" t="s">
        <v>179</v>
      </c>
      <c r="C1631" s="28" t="s">
        <v>969</v>
      </c>
      <c r="D1631" s="29" t="s">
        <v>5</v>
      </c>
      <c r="E1631" s="30" t="s">
        <v>431</v>
      </c>
      <c r="F1631" s="28" t="s">
        <v>356</v>
      </c>
      <c r="G1631" s="30" t="s">
        <v>663</v>
      </c>
      <c r="H1631" t="str">
        <f>CONCATENATE(Prequal[[#This Row],[CITY]], ", ",Prequal[[#This Row],[STATE]])</f>
        <v>East Dundee, IL</v>
      </c>
    </row>
    <row r="1632" spans="2:8" x14ac:dyDescent="0.2">
      <c r="B1632" s="27" t="s">
        <v>180</v>
      </c>
      <c r="C1632" s="28" t="s">
        <v>970</v>
      </c>
      <c r="D1632" s="29" t="s">
        <v>10</v>
      </c>
      <c r="E1632" s="30" t="s">
        <v>469</v>
      </c>
      <c r="F1632" s="28" t="s">
        <v>356</v>
      </c>
      <c r="G1632" s="30" t="s">
        <v>664</v>
      </c>
      <c r="H1632" t="str">
        <f>CONCATENATE(Prequal[[#This Row],[CITY]], ", ",Prequal[[#This Row],[STATE]])</f>
        <v>Plainfield, IL</v>
      </c>
    </row>
    <row r="1633" spans="2:8" x14ac:dyDescent="0.2">
      <c r="B1633" s="27" t="s">
        <v>181</v>
      </c>
      <c r="C1633" s="28" t="s">
        <v>969</v>
      </c>
      <c r="D1633" s="29" t="s">
        <v>5</v>
      </c>
      <c r="E1633" s="30" t="s">
        <v>432</v>
      </c>
      <c r="F1633" s="28" t="s">
        <v>356</v>
      </c>
      <c r="G1633" s="30" t="s">
        <v>1103</v>
      </c>
      <c r="H1633" t="str">
        <f>CONCATENATE(Prequal[[#This Row],[CITY]], ", ",Prequal[[#This Row],[STATE]])</f>
        <v>Jerseyville, IL</v>
      </c>
    </row>
    <row r="1634" spans="2:8" x14ac:dyDescent="0.2">
      <c r="B1634" s="27" t="s">
        <v>181</v>
      </c>
      <c r="C1634" s="28" t="s">
        <v>969</v>
      </c>
      <c r="D1634" s="29" t="s">
        <v>9</v>
      </c>
      <c r="E1634" s="30" t="s">
        <v>432</v>
      </c>
      <c r="F1634" s="28" t="s">
        <v>356</v>
      </c>
      <c r="G1634" s="30" t="s">
        <v>1103</v>
      </c>
      <c r="H1634" t="str">
        <f>CONCATENATE(Prequal[[#This Row],[CITY]], ", ",Prequal[[#This Row],[STATE]])</f>
        <v>Jerseyville, IL</v>
      </c>
    </row>
    <row r="1635" spans="2:8" x14ac:dyDescent="0.2">
      <c r="B1635" s="27" t="s">
        <v>181</v>
      </c>
      <c r="C1635" s="28" t="s">
        <v>969</v>
      </c>
      <c r="D1635" s="29" t="s">
        <v>10</v>
      </c>
      <c r="E1635" s="30" t="s">
        <v>432</v>
      </c>
      <c r="F1635" s="28" t="s">
        <v>356</v>
      </c>
      <c r="G1635" s="30" t="s">
        <v>1103</v>
      </c>
      <c r="H1635" t="str">
        <f>CONCATENATE(Prequal[[#This Row],[CITY]], ", ",Prequal[[#This Row],[STATE]])</f>
        <v>Jerseyville, IL</v>
      </c>
    </row>
    <row r="1636" spans="2:8" x14ac:dyDescent="0.2">
      <c r="B1636" s="27" t="s">
        <v>181</v>
      </c>
      <c r="C1636" s="28" t="s">
        <v>969</v>
      </c>
      <c r="D1636" s="29" t="s">
        <v>12</v>
      </c>
      <c r="E1636" s="30" t="s">
        <v>432</v>
      </c>
      <c r="F1636" s="28" t="s">
        <v>356</v>
      </c>
      <c r="G1636" s="30" t="s">
        <v>1103</v>
      </c>
      <c r="H1636" t="str">
        <f>CONCATENATE(Prequal[[#This Row],[CITY]], ", ",Prequal[[#This Row],[STATE]])</f>
        <v>Jerseyville, IL</v>
      </c>
    </row>
    <row r="1637" spans="2:8" x14ac:dyDescent="0.2">
      <c r="B1637" s="27" t="s">
        <v>181</v>
      </c>
      <c r="C1637" s="28" t="s">
        <v>969</v>
      </c>
      <c r="D1637" s="29" t="s">
        <v>29</v>
      </c>
      <c r="E1637" s="30" t="s">
        <v>432</v>
      </c>
      <c r="F1637" s="28" t="s">
        <v>356</v>
      </c>
      <c r="G1637" s="30" t="s">
        <v>1103</v>
      </c>
      <c r="H1637" t="str">
        <f>CONCATENATE(Prequal[[#This Row],[CITY]], ", ",Prequal[[#This Row],[STATE]])</f>
        <v>Jerseyville, IL</v>
      </c>
    </row>
    <row r="1638" spans="2:8" x14ac:dyDescent="0.2">
      <c r="B1638" s="27" t="s">
        <v>182</v>
      </c>
      <c r="C1638" s="28" t="s">
        <v>969</v>
      </c>
      <c r="D1638" s="29" t="s">
        <v>4</v>
      </c>
      <c r="E1638" s="30" t="s">
        <v>433</v>
      </c>
      <c r="F1638" s="28" t="s">
        <v>356</v>
      </c>
      <c r="G1638" s="30" t="s">
        <v>665</v>
      </c>
      <c r="H1638" t="str">
        <f>CONCATENATE(Prequal[[#This Row],[CITY]], ", ",Prequal[[#This Row],[STATE]])</f>
        <v>Breese, IL</v>
      </c>
    </row>
    <row r="1639" spans="2:8" x14ac:dyDescent="0.2">
      <c r="B1639" s="27" t="s">
        <v>182</v>
      </c>
      <c r="C1639" s="28" t="s">
        <v>969</v>
      </c>
      <c r="D1639" s="29" t="s">
        <v>5</v>
      </c>
      <c r="E1639" s="30" t="s">
        <v>433</v>
      </c>
      <c r="F1639" s="28" t="s">
        <v>356</v>
      </c>
      <c r="G1639" s="30" t="s">
        <v>665</v>
      </c>
      <c r="H1639" t="str">
        <f>CONCATENATE(Prequal[[#This Row],[CITY]], ", ",Prequal[[#This Row],[STATE]])</f>
        <v>Breese, IL</v>
      </c>
    </row>
    <row r="1640" spans="2:8" x14ac:dyDescent="0.2">
      <c r="B1640" s="27" t="s">
        <v>182</v>
      </c>
      <c r="C1640" s="28" t="s">
        <v>969</v>
      </c>
      <c r="D1640" s="29" t="s">
        <v>7</v>
      </c>
      <c r="E1640" s="30" t="s">
        <v>433</v>
      </c>
      <c r="F1640" s="28" t="s">
        <v>356</v>
      </c>
      <c r="G1640" s="30" t="s">
        <v>665</v>
      </c>
      <c r="H1640" t="str">
        <f>CONCATENATE(Prequal[[#This Row],[CITY]], ", ",Prequal[[#This Row],[STATE]])</f>
        <v>Breese, IL</v>
      </c>
    </row>
    <row r="1641" spans="2:8" x14ac:dyDescent="0.2">
      <c r="B1641" s="27" t="s">
        <v>182</v>
      </c>
      <c r="C1641" s="28" t="s">
        <v>969</v>
      </c>
      <c r="D1641" s="29" t="s">
        <v>8</v>
      </c>
      <c r="E1641" s="30" t="s">
        <v>433</v>
      </c>
      <c r="F1641" s="28" t="s">
        <v>356</v>
      </c>
      <c r="G1641" s="30" t="s">
        <v>665</v>
      </c>
      <c r="H1641" t="str">
        <f>CONCATENATE(Prequal[[#This Row],[CITY]], ", ",Prequal[[#This Row],[STATE]])</f>
        <v>Breese, IL</v>
      </c>
    </row>
    <row r="1642" spans="2:8" x14ac:dyDescent="0.2">
      <c r="B1642" s="27" t="s">
        <v>182</v>
      </c>
      <c r="C1642" s="28" t="s">
        <v>969</v>
      </c>
      <c r="D1642" s="29" t="s">
        <v>24</v>
      </c>
      <c r="E1642" s="30" t="s">
        <v>433</v>
      </c>
      <c r="F1642" s="28" t="s">
        <v>356</v>
      </c>
      <c r="G1642" s="30" t="s">
        <v>665</v>
      </c>
      <c r="H1642" t="str">
        <f>CONCATENATE(Prequal[[#This Row],[CITY]], ", ",Prequal[[#This Row],[STATE]])</f>
        <v>Breese, IL</v>
      </c>
    </row>
    <row r="1643" spans="2:8" x14ac:dyDescent="0.2">
      <c r="B1643" s="27" t="s">
        <v>182</v>
      </c>
      <c r="C1643" s="28" t="s">
        <v>969</v>
      </c>
      <c r="D1643" s="29" t="s">
        <v>25</v>
      </c>
      <c r="E1643" s="30" t="s">
        <v>433</v>
      </c>
      <c r="F1643" s="28" t="s">
        <v>356</v>
      </c>
      <c r="G1643" s="30" t="s">
        <v>665</v>
      </c>
      <c r="H1643" t="str">
        <f>CONCATENATE(Prequal[[#This Row],[CITY]], ", ",Prequal[[#This Row],[STATE]])</f>
        <v>Breese, IL</v>
      </c>
    </row>
    <row r="1644" spans="2:8" x14ac:dyDescent="0.2">
      <c r="B1644" s="27" t="s">
        <v>182</v>
      </c>
      <c r="C1644" s="28" t="s">
        <v>969</v>
      </c>
      <c r="D1644" s="29" t="s">
        <v>9</v>
      </c>
      <c r="E1644" s="30" t="s">
        <v>433</v>
      </c>
      <c r="F1644" s="28" t="s">
        <v>356</v>
      </c>
      <c r="G1644" s="30" t="s">
        <v>665</v>
      </c>
      <c r="H1644" t="str">
        <f>CONCATENATE(Prequal[[#This Row],[CITY]], ", ",Prequal[[#This Row],[STATE]])</f>
        <v>Breese, IL</v>
      </c>
    </row>
    <row r="1645" spans="2:8" x14ac:dyDescent="0.2">
      <c r="B1645" s="27" t="s">
        <v>182</v>
      </c>
      <c r="C1645" s="28" t="s">
        <v>969</v>
      </c>
      <c r="D1645" s="29" t="s">
        <v>27</v>
      </c>
      <c r="E1645" s="30" t="s">
        <v>433</v>
      </c>
      <c r="F1645" s="28" t="s">
        <v>356</v>
      </c>
      <c r="G1645" s="30" t="s">
        <v>665</v>
      </c>
      <c r="H1645" t="str">
        <f>CONCATENATE(Prequal[[#This Row],[CITY]], ", ",Prequal[[#This Row],[STATE]])</f>
        <v>Breese, IL</v>
      </c>
    </row>
    <row r="1646" spans="2:8" x14ac:dyDescent="0.2">
      <c r="B1646" s="27" t="s">
        <v>182</v>
      </c>
      <c r="C1646" s="28" t="s">
        <v>969</v>
      </c>
      <c r="D1646" s="29" t="s">
        <v>10</v>
      </c>
      <c r="E1646" s="30" t="s">
        <v>433</v>
      </c>
      <c r="F1646" s="28" t="s">
        <v>356</v>
      </c>
      <c r="G1646" s="30" t="s">
        <v>665</v>
      </c>
      <c r="H1646" t="str">
        <f>CONCATENATE(Prequal[[#This Row],[CITY]], ", ",Prequal[[#This Row],[STATE]])</f>
        <v>Breese, IL</v>
      </c>
    </row>
    <row r="1647" spans="2:8" x14ac:dyDescent="0.2">
      <c r="B1647" s="27" t="s">
        <v>182</v>
      </c>
      <c r="C1647" s="28" t="s">
        <v>969</v>
      </c>
      <c r="D1647" s="29" t="s">
        <v>12</v>
      </c>
      <c r="E1647" s="30" t="s">
        <v>433</v>
      </c>
      <c r="F1647" s="28" t="s">
        <v>356</v>
      </c>
      <c r="G1647" s="30" t="s">
        <v>665</v>
      </c>
      <c r="H1647" t="str">
        <f>CONCATENATE(Prequal[[#This Row],[CITY]], ", ",Prequal[[#This Row],[STATE]])</f>
        <v>Breese, IL</v>
      </c>
    </row>
    <row r="1648" spans="2:8" x14ac:dyDescent="0.2">
      <c r="B1648" s="27" t="s">
        <v>182</v>
      </c>
      <c r="C1648" s="28" t="s">
        <v>969</v>
      </c>
      <c r="D1648" s="29" t="s">
        <v>29</v>
      </c>
      <c r="E1648" s="30" t="s">
        <v>433</v>
      </c>
      <c r="F1648" s="28" t="s">
        <v>356</v>
      </c>
      <c r="G1648" s="30" t="s">
        <v>665</v>
      </c>
      <c r="H1648" t="str">
        <f>CONCATENATE(Prequal[[#This Row],[CITY]], ", ",Prequal[[#This Row],[STATE]])</f>
        <v>Breese, IL</v>
      </c>
    </row>
    <row r="1649" spans="2:8" x14ac:dyDescent="0.2">
      <c r="B1649" s="27" t="s">
        <v>182</v>
      </c>
      <c r="C1649" s="28" t="s">
        <v>969</v>
      </c>
      <c r="D1649" s="29" t="s">
        <v>37</v>
      </c>
      <c r="E1649" s="30" t="s">
        <v>433</v>
      </c>
      <c r="F1649" s="28" t="s">
        <v>356</v>
      </c>
      <c r="G1649" s="30" t="s">
        <v>665</v>
      </c>
      <c r="H1649" t="str">
        <f>CONCATENATE(Prequal[[#This Row],[CITY]], ", ",Prequal[[#This Row],[STATE]])</f>
        <v>Breese, IL</v>
      </c>
    </row>
    <row r="1650" spans="2:8" x14ac:dyDescent="0.2">
      <c r="B1650" s="27" t="s">
        <v>182</v>
      </c>
      <c r="C1650" s="28" t="s">
        <v>969</v>
      </c>
      <c r="D1650" s="29" t="s">
        <v>13</v>
      </c>
      <c r="E1650" s="30" t="s">
        <v>433</v>
      </c>
      <c r="F1650" s="28" t="s">
        <v>356</v>
      </c>
      <c r="G1650" s="30" t="s">
        <v>665</v>
      </c>
      <c r="H1650" t="str">
        <f>CONCATENATE(Prequal[[#This Row],[CITY]], ", ",Prequal[[#This Row],[STATE]])</f>
        <v>Breese, IL</v>
      </c>
    </row>
    <row r="1651" spans="2:8" x14ac:dyDescent="0.2">
      <c r="B1651" s="27" t="s">
        <v>182</v>
      </c>
      <c r="C1651" s="28" t="s">
        <v>969</v>
      </c>
      <c r="D1651" s="29" t="s">
        <v>14</v>
      </c>
      <c r="E1651" s="30" t="s">
        <v>433</v>
      </c>
      <c r="F1651" s="28" t="s">
        <v>356</v>
      </c>
      <c r="G1651" s="30" t="s">
        <v>665</v>
      </c>
      <c r="H1651" t="str">
        <f>CONCATENATE(Prequal[[#This Row],[CITY]], ", ",Prequal[[#This Row],[STATE]])</f>
        <v>Breese, IL</v>
      </c>
    </row>
    <row r="1652" spans="2:8" x14ac:dyDescent="0.2">
      <c r="B1652" s="27" t="s">
        <v>182</v>
      </c>
      <c r="C1652" s="28" t="s">
        <v>969</v>
      </c>
      <c r="D1652" s="29" t="s">
        <v>15</v>
      </c>
      <c r="E1652" s="30" t="s">
        <v>433</v>
      </c>
      <c r="F1652" s="28" t="s">
        <v>356</v>
      </c>
      <c r="G1652" s="30" t="s">
        <v>665</v>
      </c>
      <c r="H1652" t="str">
        <f>CONCATENATE(Prequal[[#This Row],[CITY]], ", ",Prequal[[#This Row],[STATE]])</f>
        <v>Breese, IL</v>
      </c>
    </row>
    <row r="1653" spans="2:8" x14ac:dyDescent="0.2">
      <c r="B1653" s="27" t="s">
        <v>182</v>
      </c>
      <c r="C1653" s="28" t="s">
        <v>969</v>
      </c>
      <c r="D1653" s="29" t="s">
        <v>31</v>
      </c>
      <c r="E1653" s="30" t="s">
        <v>433</v>
      </c>
      <c r="F1653" s="28" t="s">
        <v>356</v>
      </c>
      <c r="G1653" s="30" t="s">
        <v>665</v>
      </c>
      <c r="H1653" t="str">
        <f>CONCATENATE(Prequal[[#This Row],[CITY]], ", ",Prequal[[#This Row],[STATE]])</f>
        <v>Breese, IL</v>
      </c>
    </row>
    <row r="1654" spans="2:8" x14ac:dyDescent="0.2">
      <c r="B1654" s="27" t="s">
        <v>182</v>
      </c>
      <c r="C1654" s="28" t="s">
        <v>969</v>
      </c>
      <c r="D1654" s="29" t="s">
        <v>32</v>
      </c>
      <c r="E1654" s="30" t="s">
        <v>433</v>
      </c>
      <c r="F1654" s="28" t="s">
        <v>356</v>
      </c>
      <c r="G1654" s="30" t="s">
        <v>665</v>
      </c>
      <c r="H1654" t="str">
        <f>CONCATENATE(Prequal[[#This Row],[CITY]], ", ",Prequal[[#This Row],[STATE]])</f>
        <v>Breese, IL</v>
      </c>
    </row>
    <row r="1655" spans="2:8" x14ac:dyDescent="0.2">
      <c r="B1655" s="27" t="s">
        <v>183</v>
      </c>
      <c r="C1655" s="28" t="s">
        <v>970</v>
      </c>
      <c r="D1655" s="29" t="s">
        <v>5</v>
      </c>
      <c r="E1655" s="30" t="s">
        <v>434</v>
      </c>
      <c r="F1655" s="28" t="s">
        <v>356</v>
      </c>
      <c r="G1655" s="30" t="s">
        <v>666</v>
      </c>
      <c r="H1655" t="str">
        <f>CONCATENATE(Prequal[[#This Row],[CITY]], ", ",Prequal[[#This Row],[STATE]])</f>
        <v>Peoria Heights, IL</v>
      </c>
    </row>
    <row r="1656" spans="2:8" x14ac:dyDescent="0.2">
      <c r="B1656" s="27" t="s">
        <v>183</v>
      </c>
      <c r="C1656" s="28" t="s">
        <v>970</v>
      </c>
      <c r="D1656" s="29" t="s">
        <v>25</v>
      </c>
      <c r="E1656" s="30" t="s">
        <v>434</v>
      </c>
      <c r="F1656" s="28" t="s">
        <v>356</v>
      </c>
      <c r="G1656" s="30" t="s">
        <v>666</v>
      </c>
      <c r="H1656" t="str">
        <f>CONCATENATE(Prequal[[#This Row],[CITY]], ", ",Prequal[[#This Row],[STATE]])</f>
        <v>Peoria Heights, IL</v>
      </c>
    </row>
    <row r="1657" spans="2:8" x14ac:dyDescent="0.2">
      <c r="B1657" s="27" t="s">
        <v>183</v>
      </c>
      <c r="C1657" s="28" t="s">
        <v>970</v>
      </c>
      <c r="D1657" s="29" t="s">
        <v>9</v>
      </c>
      <c r="E1657" s="30" t="s">
        <v>434</v>
      </c>
      <c r="F1657" s="28" t="s">
        <v>356</v>
      </c>
      <c r="G1657" s="30" t="s">
        <v>666</v>
      </c>
      <c r="H1657" t="str">
        <f>CONCATENATE(Prequal[[#This Row],[CITY]], ", ",Prequal[[#This Row],[STATE]])</f>
        <v>Peoria Heights, IL</v>
      </c>
    </row>
    <row r="1658" spans="2:8" x14ac:dyDescent="0.2">
      <c r="B1658" s="27" t="s">
        <v>183</v>
      </c>
      <c r="C1658" s="28" t="s">
        <v>970</v>
      </c>
      <c r="D1658" s="29" t="s">
        <v>10</v>
      </c>
      <c r="E1658" s="30" t="s">
        <v>434</v>
      </c>
      <c r="F1658" s="28" t="s">
        <v>356</v>
      </c>
      <c r="G1658" s="30" t="s">
        <v>666</v>
      </c>
      <c r="H1658" t="str">
        <f>CONCATENATE(Prequal[[#This Row],[CITY]], ", ",Prequal[[#This Row],[STATE]])</f>
        <v>Peoria Heights, IL</v>
      </c>
    </row>
    <row r="1659" spans="2:8" x14ac:dyDescent="0.2">
      <c r="B1659" s="27" t="s">
        <v>183</v>
      </c>
      <c r="C1659" s="28" t="s">
        <v>970</v>
      </c>
      <c r="D1659" s="29" t="s">
        <v>13</v>
      </c>
      <c r="E1659" s="30" t="s">
        <v>434</v>
      </c>
      <c r="F1659" s="28" t="s">
        <v>356</v>
      </c>
      <c r="G1659" s="30" t="s">
        <v>666</v>
      </c>
      <c r="H1659" t="str">
        <f>CONCATENATE(Prequal[[#This Row],[CITY]], ", ",Prequal[[#This Row],[STATE]])</f>
        <v>Peoria Heights, IL</v>
      </c>
    </row>
    <row r="1660" spans="2:8" x14ac:dyDescent="0.2">
      <c r="B1660" s="27" t="s">
        <v>183</v>
      </c>
      <c r="C1660" s="28" t="s">
        <v>970</v>
      </c>
      <c r="D1660" s="29" t="s">
        <v>14</v>
      </c>
      <c r="E1660" s="30" t="s">
        <v>434</v>
      </c>
      <c r="F1660" s="28" t="s">
        <v>356</v>
      </c>
      <c r="G1660" s="30" t="s">
        <v>666</v>
      </c>
      <c r="H1660" t="str">
        <f>CONCATENATE(Prequal[[#This Row],[CITY]], ", ",Prequal[[#This Row],[STATE]])</f>
        <v>Peoria Heights, IL</v>
      </c>
    </row>
    <row r="1661" spans="2:8" x14ac:dyDescent="0.2">
      <c r="B1661" s="27" t="s">
        <v>183</v>
      </c>
      <c r="C1661" s="28" t="s">
        <v>970</v>
      </c>
      <c r="D1661" s="29" t="s">
        <v>15</v>
      </c>
      <c r="E1661" s="30" t="s">
        <v>434</v>
      </c>
      <c r="F1661" s="28" t="s">
        <v>356</v>
      </c>
      <c r="G1661" s="30" t="s">
        <v>666</v>
      </c>
      <c r="H1661" t="str">
        <f>CONCATENATE(Prequal[[#This Row],[CITY]], ", ",Prequal[[#This Row],[STATE]])</f>
        <v>Peoria Heights, IL</v>
      </c>
    </row>
    <row r="1662" spans="2:8" x14ac:dyDescent="0.2">
      <c r="B1662" s="27" t="s">
        <v>184</v>
      </c>
      <c r="C1662" s="28" t="s">
        <v>969</v>
      </c>
      <c r="D1662" s="29" t="s">
        <v>5</v>
      </c>
      <c r="E1662" s="30" t="s">
        <v>435</v>
      </c>
      <c r="F1662" s="28" t="s">
        <v>356</v>
      </c>
      <c r="G1662" s="30" t="s">
        <v>667</v>
      </c>
      <c r="H1662" t="str">
        <f>CONCATENATE(Prequal[[#This Row],[CITY]], ", ",Prequal[[#This Row],[STATE]])</f>
        <v>Volo, IL</v>
      </c>
    </row>
    <row r="1663" spans="2:8" x14ac:dyDescent="0.2">
      <c r="B1663" s="27" t="s">
        <v>184</v>
      </c>
      <c r="C1663" s="28" t="s">
        <v>969</v>
      </c>
      <c r="D1663" s="29" t="s">
        <v>6</v>
      </c>
      <c r="E1663" s="30" t="s">
        <v>435</v>
      </c>
      <c r="F1663" s="28" t="s">
        <v>356</v>
      </c>
      <c r="G1663" s="30" t="s">
        <v>667</v>
      </c>
      <c r="H1663" t="str">
        <f>CONCATENATE(Prequal[[#This Row],[CITY]], ", ",Prequal[[#This Row],[STATE]])</f>
        <v>Volo, IL</v>
      </c>
    </row>
    <row r="1664" spans="2:8" x14ac:dyDescent="0.2">
      <c r="B1664" s="27" t="s">
        <v>184</v>
      </c>
      <c r="C1664" s="28" t="s">
        <v>969</v>
      </c>
      <c r="D1664" s="29" t="s">
        <v>7</v>
      </c>
      <c r="E1664" s="30" t="s">
        <v>435</v>
      </c>
      <c r="F1664" s="28" t="s">
        <v>356</v>
      </c>
      <c r="G1664" s="30" t="s">
        <v>667</v>
      </c>
      <c r="H1664" t="str">
        <f>CONCATENATE(Prequal[[#This Row],[CITY]], ", ",Prequal[[#This Row],[STATE]])</f>
        <v>Volo, IL</v>
      </c>
    </row>
    <row r="1665" spans="2:8" x14ac:dyDescent="0.2">
      <c r="B1665" s="27" t="s">
        <v>184</v>
      </c>
      <c r="C1665" s="28" t="s">
        <v>969</v>
      </c>
      <c r="D1665" s="29" t="s">
        <v>8</v>
      </c>
      <c r="E1665" s="30" t="s">
        <v>435</v>
      </c>
      <c r="F1665" s="28" t="s">
        <v>356</v>
      </c>
      <c r="G1665" s="30" t="s">
        <v>667</v>
      </c>
      <c r="H1665" t="str">
        <f>CONCATENATE(Prequal[[#This Row],[CITY]], ", ",Prequal[[#This Row],[STATE]])</f>
        <v>Volo, IL</v>
      </c>
    </row>
    <row r="1666" spans="2:8" x14ac:dyDescent="0.2">
      <c r="B1666" s="27" t="s">
        <v>184</v>
      </c>
      <c r="C1666" s="28" t="s">
        <v>969</v>
      </c>
      <c r="D1666" s="29" t="s">
        <v>10</v>
      </c>
      <c r="E1666" s="30" t="s">
        <v>435</v>
      </c>
      <c r="F1666" s="28" t="s">
        <v>356</v>
      </c>
      <c r="G1666" s="30" t="s">
        <v>667</v>
      </c>
      <c r="H1666" t="str">
        <f>CONCATENATE(Prequal[[#This Row],[CITY]], ", ",Prequal[[#This Row],[STATE]])</f>
        <v>Volo, IL</v>
      </c>
    </row>
    <row r="1667" spans="2:8" x14ac:dyDescent="0.2">
      <c r="B1667" s="27" t="s">
        <v>184</v>
      </c>
      <c r="C1667" s="28" t="s">
        <v>969</v>
      </c>
      <c r="D1667" s="29" t="s">
        <v>11</v>
      </c>
      <c r="E1667" s="30" t="s">
        <v>435</v>
      </c>
      <c r="F1667" s="28" t="s">
        <v>356</v>
      </c>
      <c r="G1667" s="30" t="s">
        <v>667</v>
      </c>
      <c r="H1667" t="str">
        <f>CONCATENATE(Prequal[[#This Row],[CITY]], ", ",Prequal[[#This Row],[STATE]])</f>
        <v>Volo, IL</v>
      </c>
    </row>
    <row r="1668" spans="2:8" x14ac:dyDescent="0.2">
      <c r="B1668" s="27" t="s">
        <v>184</v>
      </c>
      <c r="C1668" s="28" t="s">
        <v>969</v>
      </c>
      <c r="D1668" s="29" t="s">
        <v>15</v>
      </c>
      <c r="E1668" s="30" t="s">
        <v>435</v>
      </c>
      <c r="F1668" s="28" t="s">
        <v>356</v>
      </c>
      <c r="G1668" s="30" t="s">
        <v>667</v>
      </c>
      <c r="H1668" t="str">
        <f>CONCATENATE(Prequal[[#This Row],[CITY]], ", ",Prequal[[#This Row],[STATE]])</f>
        <v>Volo, IL</v>
      </c>
    </row>
    <row r="1669" spans="2:8" x14ac:dyDescent="0.2">
      <c r="B1669" s="27" t="s">
        <v>185</v>
      </c>
      <c r="C1669" s="28" t="s">
        <v>970</v>
      </c>
      <c r="D1669" s="29" t="s">
        <v>43</v>
      </c>
      <c r="E1669" s="30" t="s">
        <v>436</v>
      </c>
      <c r="F1669" s="28" t="s">
        <v>361</v>
      </c>
      <c r="G1669" s="30" t="s">
        <v>668</v>
      </c>
      <c r="H1669" t="str">
        <f>CONCATENATE(Prequal[[#This Row],[CITY]], ", ",Prequal[[#This Row],[STATE]])</f>
        <v>Kansas City, MO</v>
      </c>
    </row>
    <row r="1670" spans="2:8" x14ac:dyDescent="0.2">
      <c r="B1670" s="27" t="s">
        <v>185</v>
      </c>
      <c r="C1670" s="28" t="s">
        <v>970</v>
      </c>
      <c r="D1670" s="29" t="s">
        <v>44</v>
      </c>
      <c r="E1670" s="30" t="s">
        <v>436</v>
      </c>
      <c r="F1670" s="28" t="s">
        <v>361</v>
      </c>
      <c r="G1670" s="30" t="s">
        <v>668</v>
      </c>
      <c r="H1670" t="str">
        <f>CONCATENATE(Prequal[[#This Row],[CITY]], ", ",Prequal[[#This Row],[STATE]])</f>
        <v>Kansas City, MO</v>
      </c>
    </row>
    <row r="1671" spans="2:8" x14ac:dyDescent="0.2">
      <c r="B1671" s="27" t="s">
        <v>185</v>
      </c>
      <c r="C1671" s="28" t="s">
        <v>970</v>
      </c>
      <c r="D1671" s="29" t="s">
        <v>4</v>
      </c>
      <c r="E1671" s="30" t="s">
        <v>436</v>
      </c>
      <c r="F1671" s="28" t="s">
        <v>361</v>
      </c>
      <c r="G1671" s="30" t="s">
        <v>668</v>
      </c>
      <c r="H1671" t="str">
        <f>CONCATENATE(Prequal[[#This Row],[CITY]], ", ",Prequal[[#This Row],[STATE]])</f>
        <v>Kansas City, MO</v>
      </c>
    </row>
    <row r="1672" spans="2:8" x14ac:dyDescent="0.2">
      <c r="B1672" s="27" t="s">
        <v>185</v>
      </c>
      <c r="C1672" s="28" t="s">
        <v>970</v>
      </c>
      <c r="D1672" s="29" t="s">
        <v>5</v>
      </c>
      <c r="E1672" s="30" t="s">
        <v>436</v>
      </c>
      <c r="F1672" s="28" t="s">
        <v>361</v>
      </c>
      <c r="G1672" s="30" t="s">
        <v>668</v>
      </c>
      <c r="H1672" t="str">
        <f>CONCATENATE(Prequal[[#This Row],[CITY]], ", ",Prequal[[#This Row],[STATE]])</f>
        <v>Kansas City, MO</v>
      </c>
    </row>
    <row r="1673" spans="2:8" x14ac:dyDescent="0.2">
      <c r="B1673" s="27" t="s">
        <v>185</v>
      </c>
      <c r="C1673" s="28" t="s">
        <v>970</v>
      </c>
      <c r="D1673" s="29" t="s">
        <v>24</v>
      </c>
      <c r="E1673" s="30" t="s">
        <v>436</v>
      </c>
      <c r="F1673" s="28" t="s">
        <v>361</v>
      </c>
      <c r="G1673" s="30" t="s">
        <v>668</v>
      </c>
      <c r="H1673" t="str">
        <f>CONCATENATE(Prequal[[#This Row],[CITY]], ", ",Prequal[[#This Row],[STATE]])</f>
        <v>Kansas City, MO</v>
      </c>
    </row>
    <row r="1674" spans="2:8" x14ac:dyDescent="0.2">
      <c r="B1674" s="27" t="s">
        <v>185</v>
      </c>
      <c r="C1674" s="28" t="s">
        <v>970</v>
      </c>
      <c r="D1674" s="29" t="s">
        <v>25</v>
      </c>
      <c r="E1674" s="30" t="s">
        <v>436</v>
      </c>
      <c r="F1674" s="28" t="s">
        <v>361</v>
      </c>
      <c r="G1674" s="30" t="s">
        <v>668</v>
      </c>
      <c r="H1674" t="str">
        <f>CONCATENATE(Prequal[[#This Row],[CITY]], ", ",Prequal[[#This Row],[STATE]])</f>
        <v>Kansas City, MO</v>
      </c>
    </row>
    <row r="1675" spans="2:8" x14ac:dyDescent="0.2">
      <c r="B1675" s="27" t="s">
        <v>185</v>
      </c>
      <c r="C1675" s="28" t="s">
        <v>970</v>
      </c>
      <c r="D1675" s="29" t="s">
        <v>9</v>
      </c>
      <c r="E1675" s="30" t="s">
        <v>436</v>
      </c>
      <c r="F1675" s="28" t="s">
        <v>361</v>
      </c>
      <c r="G1675" s="30" t="s">
        <v>668</v>
      </c>
      <c r="H1675" t="str">
        <f>CONCATENATE(Prequal[[#This Row],[CITY]], ", ",Prequal[[#This Row],[STATE]])</f>
        <v>Kansas City, MO</v>
      </c>
    </row>
    <row r="1676" spans="2:8" x14ac:dyDescent="0.2">
      <c r="B1676" s="27" t="s">
        <v>186</v>
      </c>
      <c r="C1676" s="28" t="s">
        <v>969</v>
      </c>
      <c r="D1676" s="29" t="s">
        <v>11</v>
      </c>
      <c r="E1676" s="30" t="s">
        <v>402</v>
      </c>
      <c r="F1676" s="28" t="s">
        <v>356</v>
      </c>
      <c r="G1676" s="30" t="s">
        <v>669</v>
      </c>
      <c r="H1676" t="str">
        <f>CONCATENATE(Prequal[[#This Row],[CITY]], ", ",Prequal[[#This Row],[STATE]])</f>
        <v>Naperville, IL</v>
      </c>
    </row>
    <row r="1677" spans="2:8" x14ac:dyDescent="0.2">
      <c r="B1677" s="27" t="s">
        <v>187</v>
      </c>
      <c r="C1677" s="28" t="s">
        <v>969</v>
      </c>
      <c r="D1677" s="29" t="s">
        <v>46</v>
      </c>
      <c r="E1677" s="30" t="s">
        <v>437</v>
      </c>
      <c r="F1677" s="28" t="s">
        <v>356</v>
      </c>
      <c r="G1677" s="30" t="s">
        <v>892</v>
      </c>
      <c r="H1677" t="str">
        <f>CONCATENATE(Prequal[[#This Row],[CITY]], ", ",Prequal[[#This Row],[STATE]])</f>
        <v>Carbondale, IL</v>
      </c>
    </row>
    <row r="1678" spans="2:8" x14ac:dyDescent="0.2">
      <c r="B1678" s="27" t="s">
        <v>187</v>
      </c>
      <c r="C1678" s="28" t="s">
        <v>969</v>
      </c>
      <c r="D1678" s="29" t="s">
        <v>47</v>
      </c>
      <c r="E1678" s="30" t="s">
        <v>437</v>
      </c>
      <c r="F1678" s="28" t="s">
        <v>356</v>
      </c>
      <c r="G1678" s="30" t="s">
        <v>892</v>
      </c>
      <c r="H1678" t="str">
        <f>CONCATENATE(Prequal[[#This Row],[CITY]], ", ",Prequal[[#This Row],[STATE]])</f>
        <v>Carbondale, IL</v>
      </c>
    </row>
    <row r="1679" spans="2:8" x14ac:dyDescent="0.2">
      <c r="B1679" s="27" t="s">
        <v>188</v>
      </c>
      <c r="C1679" s="28" t="s">
        <v>969</v>
      </c>
      <c r="D1679" s="29" t="s">
        <v>35</v>
      </c>
      <c r="E1679" s="30" t="s">
        <v>438</v>
      </c>
      <c r="F1679" s="28" t="s">
        <v>356</v>
      </c>
      <c r="G1679" s="30" t="s">
        <v>670</v>
      </c>
      <c r="H1679" t="str">
        <f>CONCATENATE(Prequal[[#This Row],[CITY]], ", ",Prequal[[#This Row],[STATE]])</f>
        <v>O'Fallon, IL</v>
      </c>
    </row>
    <row r="1680" spans="2:8" x14ac:dyDescent="0.2">
      <c r="B1680" s="27" t="s">
        <v>188</v>
      </c>
      <c r="C1680" s="28" t="s">
        <v>969</v>
      </c>
      <c r="D1680" s="29" t="s">
        <v>36</v>
      </c>
      <c r="E1680" s="30" t="s">
        <v>438</v>
      </c>
      <c r="F1680" s="28" t="s">
        <v>356</v>
      </c>
      <c r="G1680" s="30" t="s">
        <v>670</v>
      </c>
      <c r="H1680" t="str">
        <f>CONCATENATE(Prequal[[#This Row],[CITY]], ", ",Prequal[[#This Row],[STATE]])</f>
        <v>O'Fallon, IL</v>
      </c>
    </row>
    <row r="1681" spans="2:8" x14ac:dyDescent="0.2">
      <c r="B1681" s="27" t="s">
        <v>188</v>
      </c>
      <c r="C1681" s="28" t="s">
        <v>969</v>
      </c>
      <c r="D1681" s="29" t="s">
        <v>43</v>
      </c>
      <c r="E1681" s="30" t="s">
        <v>438</v>
      </c>
      <c r="F1681" s="28" t="s">
        <v>356</v>
      </c>
      <c r="G1681" s="30" t="s">
        <v>670</v>
      </c>
      <c r="H1681" t="str">
        <f>CONCATENATE(Prequal[[#This Row],[CITY]], ", ",Prequal[[#This Row],[STATE]])</f>
        <v>O'Fallon, IL</v>
      </c>
    </row>
    <row r="1682" spans="2:8" x14ac:dyDescent="0.2">
      <c r="B1682" s="27" t="s">
        <v>188</v>
      </c>
      <c r="C1682" s="28" t="s">
        <v>969</v>
      </c>
      <c r="D1682" s="29" t="s">
        <v>44</v>
      </c>
      <c r="E1682" s="30" t="s">
        <v>438</v>
      </c>
      <c r="F1682" s="28" t="s">
        <v>356</v>
      </c>
      <c r="G1682" s="30" t="s">
        <v>670</v>
      </c>
      <c r="H1682" t="str">
        <f>CONCATENATE(Prequal[[#This Row],[CITY]], ", ",Prequal[[#This Row],[STATE]])</f>
        <v>O'Fallon, IL</v>
      </c>
    </row>
    <row r="1683" spans="2:8" x14ac:dyDescent="0.2">
      <c r="B1683" s="27" t="s">
        <v>188</v>
      </c>
      <c r="C1683" s="28" t="s">
        <v>969</v>
      </c>
      <c r="D1683" s="29" t="s">
        <v>4</v>
      </c>
      <c r="E1683" s="30" t="s">
        <v>438</v>
      </c>
      <c r="F1683" s="28" t="s">
        <v>356</v>
      </c>
      <c r="G1683" s="30" t="s">
        <v>670</v>
      </c>
      <c r="H1683" t="str">
        <f>CONCATENATE(Prequal[[#This Row],[CITY]], ", ",Prequal[[#This Row],[STATE]])</f>
        <v>O'Fallon, IL</v>
      </c>
    </row>
    <row r="1684" spans="2:8" x14ac:dyDescent="0.2">
      <c r="B1684" s="27" t="s">
        <v>188</v>
      </c>
      <c r="C1684" s="28" t="s">
        <v>969</v>
      </c>
      <c r="D1684" s="29" t="s">
        <v>5</v>
      </c>
      <c r="E1684" s="30" t="s">
        <v>438</v>
      </c>
      <c r="F1684" s="28" t="s">
        <v>356</v>
      </c>
      <c r="G1684" s="30" t="s">
        <v>670</v>
      </c>
      <c r="H1684" t="str">
        <f>CONCATENATE(Prequal[[#This Row],[CITY]], ", ",Prequal[[#This Row],[STATE]])</f>
        <v>O'Fallon, IL</v>
      </c>
    </row>
    <row r="1685" spans="2:8" x14ac:dyDescent="0.2">
      <c r="B1685" s="27" t="s">
        <v>188</v>
      </c>
      <c r="C1685" s="28" t="s">
        <v>969</v>
      </c>
      <c r="D1685" s="29" t="s">
        <v>6</v>
      </c>
      <c r="E1685" s="30" t="s">
        <v>438</v>
      </c>
      <c r="F1685" s="28" t="s">
        <v>356</v>
      </c>
      <c r="G1685" s="30" t="s">
        <v>670</v>
      </c>
      <c r="H1685" t="str">
        <f>CONCATENATE(Prequal[[#This Row],[CITY]], ", ",Prequal[[#This Row],[STATE]])</f>
        <v>O'Fallon, IL</v>
      </c>
    </row>
    <row r="1686" spans="2:8" x14ac:dyDescent="0.2">
      <c r="B1686" s="27" t="s">
        <v>188</v>
      </c>
      <c r="C1686" s="28" t="s">
        <v>969</v>
      </c>
      <c r="D1686" s="29" t="s">
        <v>7</v>
      </c>
      <c r="E1686" s="30" t="s">
        <v>438</v>
      </c>
      <c r="F1686" s="28" t="s">
        <v>356</v>
      </c>
      <c r="G1686" s="30" t="s">
        <v>670</v>
      </c>
      <c r="H1686" t="str">
        <f>CONCATENATE(Prequal[[#This Row],[CITY]], ", ",Prequal[[#This Row],[STATE]])</f>
        <v>O'Fallon, IL</v>
      </c>
    </row>
    <row r="1687" spans="2:8" x14ac:dyDescent="0.2">
      <c r="B1687" s="27" t="s">
        <v>188</v>
      </c>
      <c r="C1687" s="28" t="s">
        <v>969</v>
      </c>
      <c r="D1687" s="29" t="s">
        <v>8</v>
      </c>
      <c r="E1687" s="30" t="s">
        <v>438</v>
      </c>
      <c r="F1687" s="28" t="s">
        <v>356</v>
      </c>
      <c r="G1687" s="30" t="s">
        <v>670</v>
      </c>
      <c r="H1687" t="str">
        <f>CONCATENATE(Prequal[[#This Row],[CITY]], ", ",Prequal[[#This Row],[STATE]])</f>
        <v>O'Fallon, IL</v>
      </c>
    </row>
    <row r="1688" spans="2:8" x14ac:dyDescent="0.2">
      <c r="B1688" s="31" t="s">
        <v>188</v>
      </c>
      <c r="C1688" s="32" t="s">
        <v>969</v>
      </c>
      <c r="D1688" s="33" t="s">
        <v>24</v>
      </c>
      <c r="E1688" s="30" t="s">
        <v>438</v>
      </c>
      <c r="F1688" s="32" t="s">
        <v>356</v>
      </c>
      <c r="G1688" s="30" t="s">
        <v>670</v>
      </c>
      <c r="H1688" t="str">
        <f>CONCATENATE(Prequal[[#This Row],[CITY]], ", ",Prequal[[#This Row],[STATE]])</f>
        <v>O'Fallon, IL</v>
      </c>
    </row>
    <row r="1689" spans="2:8" x14ac:dyDescent="0.2">
      <c r="B1689" s="31" t="s">
        <v>188</v>
      </c>
      <c r="C1689" s="32" t="s">
        <v>969</v>
      </c>
      <c r="D1689" s="33" t="s">
        <v>25</v>
      </c>
      <c r="E1689" s="30" t="s">
        <v>438</v>
      </c>
      <c r="F1689" s="32" t="s">
        <v>356</v>
      </c>
      <c r="G1689" s="30" t="s">
        <v>670</v>
      </c>
      <c r="H1689" t="str">
        <f>CONCATENATE(Prequal[[#This Row],[CITY]], ", ",Prequal[[#This Row],[STATE]])</f>
        <v>O'Fallon, IL</v>
      </c>
    </row>
    <row r="1690" spans="2:8" x14ac:dyDescent="0.2">
      <c r="B1690" s="27" t="s">
        <v>188</v>
      </c>
      <c r="C1690" s="28" t="s">
        <v>969</v>
      </c>
      <c r="D1690" s="29" t="s">
        <v>9</v>
      </c>
      <c r="E1690" s="30" t="s">
        <v>438</v>
      </c>
      <c r="F1690" s="28" t="s">
        <v>356</v>
      </c>
      <c r="G1690" s="30" t="s">
        <v>670</v>
      </c>
      <c r="H1690" t="str">
        <f>CONCATENATE(Prequal[[#This Row],[CITY]], ", ",Prequal[[#This Row],[STATE]])</f>
        <v>O'Fallon, IL</v>
      </c>
    </row>
    <row r="1691" spans="2:8" x14ac:dyDescent="0.2">
      <c r="B1691" s="27" t="s">
        <v>188</v>
      </c>
      <c r="C1691" s="28" t="s">
        <v>969</v>
      </c>
      <c r="D1691" s="29" t="s">
        <v>49</v>
      </c>
      <c r="E1691" s="30" t="s">
        <v>438</v>
      </c>
      <c r="F1691" s="28" t="s">
        <v>356</v>
      </c>
      <c r="G1691" s="30" t="s">
        <v>670</v>
      </c>
      <c r="H1691" t="str">
        <f>CONCATENATE(Prequal[[#This Row],[CITY]], ", ",Prequal[[#This Row],[STATE]])</f>
        <v>O'Fallon, IL</v>
      </c>
    </row>
    <row r="1692" spans="2:8" x14ac:dyDescent="0.2">
      <c r="B1692" s="27" t="s">
        <v>188</v>
      </c>
      <c r="C1692" s="28" t="s">
        <v>969</v>
      </c>
      <c r="D1692" s="29" t="s">
        <v>27</v>
      </c>
      <c r="E1692" s="30" t="s">
        <v>438</v>
      </c>
      <c r="F1692" s="28" t="s">
        <v>356</v>
      </c>
      <c r="G1692" s="30" t="s">
        <v>670</v>
      </c>
      <c r="H1692" t="str">
        <f>CONCATENATE(Prequal[[#This Row],[CITY]], ", ",Prequal[[#This Row],[STATE]])</f>
        <v>O'Fallon, IL</v>
      </c>
    </row>
    <row r="1693" spans="2:8" x14ac:dyDescent="0.2">
      <c r="B1693" s="27" t="s">
        <v>188</v>
      </c>
      <c r="C1693" s="28" t="s">
        <v>969</v>
      </c>
      <c r="D1693" s="29" t="s">
        <v>81</v>
      </c>
      <c r="E1693" s="30" t="s">
        <v>438</v>
      </c>
      <c r="F1693" s="28" t="s">
        <v>356</v>
      </c>
      <c r="G1693" s="30" t="s">
        <v>670</v>
      </c>
      <c r="H1693" t="str">
        <f>CONCATENATE(Prequal[[#This Row],[CITY]], ", ",Prequal[[#This Row],[STATE]])</f>
        <v>O'Fallon, IL</v>
      </c>
    </row>
    <row r="1694" spans="2:8" x14ac:dyDescent="0.2">
      <c r="B1694" s="27" t="s">
        <v>188</v>
      </c>
      <c r="C1694" s="28" t="s">
        <v>969</v>
      </c>
      <c r="D1694" s="29" t="s">
        <v>10</v>
      </c>
      <c r="E1694" s="30" t="s">
        <v>438</v>
      </c>
      <c r="F1694" s="28" t="s">
        <v>356</v>
      </c>
      <c r="G1694" s="30" t="s">
        <v>670</v>
      </c>
      <c r="H1694" t="str">
        <f>CONCATENATE(Prequal[[#This Row],[CITY]], ", ",Prequal[[#This Row],[STATE]])</f>
        <v>O'Fallon, IL</v>
      </c>
    </row>
    <row r="1695" spans="2:8" x14ac:dyDescent="0.2">
      <c r="B1695" s="27" t="s">
        <v>188</v>
      </c>
      <c r="C1695" s="28" t="s">
        <v>969</v>
      </c>
      <c r="D1695" s="29" t="s">
        <v>21</v>
      </c>
      <c r="E1695" s="30" t="s">
        <v>438</v>
      </c>
      <c r="F1695" s="28" t="s">
        <v>356</v>
      </c>
      <c r="G1695" s="30" t="s">
        <v>670</v>
      </c>
      <c r="H1695" t="str">
        <f>CONCATENATE(Prequal[[#This Row],[CITY]], ", ",Prequal[[#This Row],[STATE]])</f>
        <v>O'Fallon, IL</v>
      </c>
    </row>
    <row r="1696" spans="2:8" x14ac:dyDescent="0.2">
      <c r="B1696" s="27" t="s">
        <v>188</v>
      </c>
      <c r="C1696" s="28" t="s">
        <v>969</v>
      </c>
      <c r="D1696" s="29" t="s">
        <v>22</v>
      </c>
      <c r="E1696" s="30" t="s">
        <v>438</v>
      </c>
      <c r="F1696" s="28" t="s">
        <v>356</v>
      </c>
      <c r="G1696" s="30" t="s">
        <v>670</v>
      </c>
      <c r="H1696" t="str">
        <f>CONCATENATE(Prequal[[#This Row],[CITY]], ", ",Prequal[[#This Row],[STATE]])</f>
        <v>O'Fallon, IL</v>
      </c>
    </row>
    <row r="1697" spans="2:8" x14ac:dyDescent="0.2">
      <c r="B1697" s="27" t="s">
        <v>188</v>
      </c>
      <c r="C1697" s="28" t="s">
        <v>969</v>
      </c>
      <c r="D1697" s="29" t="s">
        <v>63</v>
      </c>
      <c r="E1697" s="30" t="s">
        <v>438</v>
      </c>
      <c r="F1697" s="28" t="s">
        <v>356</v>
      </c>
      <c r="G1697" s="30" t="s">
        <v>670</v>
      </c>
      <c r="H1697" t="str">
        <f>CONCATENATE(Prequal[[#This Row],[CITY]], ", ",Prequal[[#This Row],[STATE]])</f>
        <v>O'Fallon, IL</v>
      </c>
    </row>
    <row r="1698" spans="2:8" x14ac:dyDescent="0.2">
      <c r="B1698" s="27" t="s">
        <v>188</v>
      </c>
      <c r="C1698" s="28" t="s">
        <v>969</v>
      </c>
      <c r="D1698" s="29" t="s">
        <v>39</v>
      </c>
      <c r="E1698" s="30" t="s">
        <v>438</v>
      </c>
      <c r="F1698" s="28" t="s">
        <v>356</v>
      </c>
      <c r="G1698" s="30" t="s">
        <v>670</v>
      </c>
      <c r="H1698" t="str">
        <f>CONCATENATE(Prequal[[#This Row],[CITY]], ", ",Prequal[[#This Row],[STATE]])</f>
        <v>O'Fallon, IL</v>
      </c>
    </row>
    <row r="1699" spans="2:8" x14ac:dyDescent="0.2">
      <c r="B1699" s="27" t="s">
        <v>188</v>
      </c>
      <c r="C1699" s="28" t="s">
        <v>969</v>
      </c>
      <c r="D1699" s="29" t="s">
        <v>12</v>
      </c>
      <c r="E1699" s="30" t="s">
        <v>438</v>
      </c>
      <c r="F1699" s="28" t="s">
        <v>356</v>
      </c>
      <c r="G1699" s="30" t="s">
        <v>670</v>
      </c>
      <c r="H1699" t="str">
        <f>CONCATENATE(Prequal[[#This Row],[CITY]], ", ",Prequal[[#This Row],[STATE]])</f>
        <v>O'Fallon, IL</v>
      </c>
    </row>
    <row r="1700" spans="2:8" x14ac:dyDescent="0.2">
      <c r="B1700" s="27" t="s">
        <v>188</v>
      </c>
      <c r="C1700" s="28" t="s">
        <v>969</v>
      </c>
      <c r="D1700" s="29" t="s">
        <v>29</v>
      </c>
      <c r="E1700" s="30" t="s">
        <v>438</v>
      </c>
      <c r="F1700" s="28" t="s">
        <v>356</v>
      </c>
      <c r="G1700" s="30" t="s">
        <v>670</v>
      </c>
      <c r="H1700" t="str">
        <f>CONCATENATE(Prequal[[#This Row],[CITY]], ", ",Prequal[[#This Row],[STATE]])</f>
        <v>O'Fallon, IL</v>
      </c>
    </row>
    <row r="1701" spans="2:8" x14ac:dyDescent="0.2">
      <c r="B1701" s="27" t="s">
        <v>188</v>
      </c>
      <c r="C1701" s="28" t="s">
        <v>969</v>
      </c>
      <c r="D1701" s="29" t="s">
        <v>37</v>
      </c>
      <c r="E1701" s="30" t="s">
        <v>438</v>
      </c>
      <c r="F1701" s="28" t="s">
        <v>356</v>
      </c>
      <c r="G1701" s="30" t="s">
        <v>670</v>
      </c>
      <c r="H1701" t="str">
        <f>CONCATENATE(Prequal[[#This Row],[CITY]], ", ",Prequal[[#This Row],[STATE]])</f>
        <v>O'Fallon, IL</v>
      </c>
    </row>
    <row r="1702" spans="2:8" x14ac:dyDescent="0.2">
      <c r="B1702" s="27" t="s">
        <v>188</v>
      </c>
      <c r="C1702" s="28" t="s">
        <v>969</v>
      </c>
      <c r="D1702" s="29" t="s">
        <v>13</v>
      </c>
      <c r="E1702" s="30" t="s">
        <v>438</v>
      </c>
      <c r="F1702" s="28" t="s">
        <v>356</v>
      </c>
      <c r="G1702" s="30" t="s">
        <v>670</v>
      </c>
      <c r="H1702" t="str">
        <f>CONCATENATE(Prequal[[#This Row],[CITY]], ", ",Prequal[[#This Row],[STATE]])</f>
        <v>O'Fallon, IL</v>
      </c>
    </row>
    <row r="1703" spans="2:8" x14ac:dyDescent="0.2">
      <c r="B1703" s="27" t="s">
        <v>188</v>
      </c>
      <c r="C1703" s="28" t="s">
        <v>969</v>
      </c>
      <c r="D1703" s="29" t="s">
        <v>14</v>
      </c>
      <c r="E1703" s="30" t="s">
        <v>438</v>
      </c>
      <c r="F1703" s="28" t="s">
        <v>356</v>
      </c>
      <c r="G1703" s="30" t="s">
        <v>670</v>
      </c>
      <c r="H1703" t="str">
        <f>CONCATENATE(Prequal[[#This Row],[CITY]], ", ",Prequal[[#This Row],[STATE]])</f>
        <v>O'Fallon, IL</v>
      </c>
    </row>
    <row r="1704" spans="2:8" x14ac:dyDescent="0.2">
      <c r="B1704" s="27" t="s">
        <v>188</v>
      </c>
      <c r="C1704" s="28" t="s">
        <v>969</v>
      </c>
      <c r="D1704" s="29" t="s">
        <v>15</v>
      </c>
      <c r="E1704" s="30" t="s">
        <v>438</v>
      </c>
      <c r="F1704" s="28" t="s">
        <v>356</v>
      </c>
      <c r="G1704" s="30" t="s">
        <v>670</v>
      </c>
      <c r="H1704" t="str">
        <f>CONCATENATE(Prequal[[#This Row],[CITY]], ", ",Prequal[[#This Row],[STATE]])</f>
        <v>O'Fallon, IL</v>
      </c>
    </row>
    <row r="1705" spans="2:8" x14ac:dyDescent="0.2">
      <c r="B1705" s="27" t="s">
        <v>188</v>
      </c>
      <c r="C1705" s="28" t="s">
        <v>969</v>
      </c>
      <c r="D1705" s="29" t="s">
        <v>30</v>
      </c>
      <c r="E1705" s="30" t="s">
        <v>438</v>
      </c>
      <c r="F1705" s="28" t="s">
        <v>356</v>
      </c>
      <c r="G1705" s="30" t="s">
        <v>670</v>
      </c>
      <c r="H1705" t="str">
        <f>CONCATENATE(Prequal[[#This Row],[CITY]], ", ",Prequal[[#This Row],[STATE]])</f>
        <v>O'Fallon, IL</v>
      </c>
    </row>
    <row r="1706" spans="2:8" x14ac:dyDescent="0.2">
      <c r="B1706" s="27" t="s">
        <v>188</v>
      </c>
      <c r="C1706" s="28" t="s">
        <v>969</v>
      </c>
      <c r="D1706" s="29" t="s">
        <v>53</v>
      </c>
      <c r="E1706" s="30" t="s">
        <v>438</v>
      </c>
      <c r="F1706" s="28" t="s">
        <v>356</v>
      </c>
      <c r="G1706" s="30" t="s">
        <v>670</v>
      </c>
      <c r="H1706" t="str">
        <f>CONCATENATE(Prequal[[#This Row],[CITY]], ", ",Prequal[[#This Row],[STATE]])</f>
        <v>O'Fallon, IL</v>
      </c>
    </row>
    <row r="1707" spans="2:8" x14ac:dyDescent="0.2">
      <c r="B1707" s="27" t="s">
        <v>188</v>
      </c>
      <c r="C1707" s="28" t="s">
        <v>969</v>
      </c>
      <c r="D1707" s="29" t="s">
        <v>31</v>
      </c>
      <c r="E1707" s="30" t="s">
        <v>438</v>
      </c>
      <c r="F1707" s="28" t="s">
        <v>356</v>
      </c>
      <c r="G1707" s="30" t="s">
        <v>670</v>
      </c>
      <c r="H1707" t="str">
        <f>CONCATENATE(Prequal[[#This Row],[CITY]], ", ",Prequal[[#This Row],[STATE]])</f>
        <v>O'Fallon, IL</v>
      </c>
    </row>
    <row r="1708" spans="2:8" x14ac:dyDescent="0.2">
      <c r="B1708" s="31" t="s">
        <v>188</v>
      </c>
      <c r="C1708" s="32" t="s">
        <v>969</v>
      </c>
      <c r="D1708" s="33" t="s">
        <v>32</v>
      </c>
      <c r="E1708" s="30" t="s">
        <v>438</v>
      </c>
      <c r="F1708" s="32" t="s">
        <v>356</v>
      </c>
      <c r="G1708" s="30" t="s">
        <v>670</v>
      </c>
      <c r="H1708" t="str">
        <f>CONCATENATE(Prequal[[#This Row],[CITY]], ", ",Prequal[[#This Row],[STATE]])</f>
        <v>O'Fallon, IL</v>
      </c>
    </row>
    <row r="1709" spans="2:8" x14ac:dyDescent="0.2">
      <c r="B1709" s="31" t="s">
        <v>188</v>
      </c>
      <c r="C1709" s="32" t="s">
        <v>969</v>
      </c>
      <c r="D1709" s="33" t="s">
        <v>33</v>
      </c>
      <c r="E1709" s="30" t="s">
        <v>438</v>
      </c>
      <c r="F1709" s="32" t="s">
        <v>356</v>
      </c>
      <c r="G1709" s="30" t="s">
        <v>670</v>
      </c>
      <c r="H1709" t="str">
        <f>CONCATENATE(Prequal[[#This Row],[CITY]], ", ",Prequal[[#This Row],[STATE]])</f>
        <v>O'Fallon, IL</v>
      </c>
    </row>
    <row r="1710" spans="2:8" x14ac:dyDescent="0.2">
      <c r="B1710" s="31" t="s">
        <v>189</v>
      </c>
      <c r="C1710" s="32" t="s">
        <v>969</v>
      </c>
      <c r="D1710" s="33" t="s">
        <v>35</v>
      </c>
      <c r="E1710" s="30" t="s">
        <v>396</v>
      </c>
      <c r="F1710" s="32" t="s">
        <v>356</v>
      </c>
      <c r="G1710" s="30" t="s">
        <v>671</v>
      </c>
      <c r="H1710" t="str">
        <f>CONCATENATE(Prequal[[#This Row],[CITY]], ", ",Prequal[[#This Row],[STATE]])</f>
        <v>Aurora, IL</v>
      </c>
    </row>
    <row r="1711" spans="2:8" x14ac:dyDescent="0.2">
      <c r="B1711" s="27" t="s">
        <v>189</v>
      </c>
      <c r="C1711" s="28" t="s">
        <v>969</v>
      </c>
      <c r="D1711" s="29" t="s">
        <v>43</v>
      </c>
      <c r="E1711" s="30" t="s">
        <v>396</v>
      </c>
      <c r="F1711" s="28" t="s">
        <v>356</v>
      </c>
      <c r="G1711" s="30" t="s">
        <v>671</v>
      </c>
      <c r="H1711" t="str">
        <f>CONCATENATE(Prequal[[#This Row],[CITY]], ", ",Prequal[[#This Row],[STATE]])</f>
        <v>Aurora, IL</v>
      </c>
    </row>
    <row r="1712" spans="2:8" x14ac:dyDescent="0.2">
      <c r="B1712" s="27" t="s">
        <v>189</v>
      </c>
      <c r="C1712" s="28" t="s">
        <v>969</v>
      </c>
      <c r="D1712" s="29" t="s">
        <v>44</v>
      </c>
      <c r="E1712" s="30" t="s">
        <v>396</v>
      </c>
      <c r="F1712" s="28" t="s">
        <v>356</v>
      </c>
      <c r="G1712" s="30" t="s">
        <v>671</v>
      </c>
      <c r="H1712" t="str">
        <f>CONCATENATE(Prequal[[#This Row],[CITY]], ", ",Prequal[[#This Row],[STATE]])</f>
        <v>Aurora, IL</v>
      </c>
    </row>
    <row r="1713" spans="2:8" x14ac:dyDescent="0.2">
      <c r="B1713" s="31" t="s">
        <v>189</v>
      </c>
      <c r="C1713" s="32" t="s">
        <v>969</v>
      </c>
      <c r="D1713" s="33" t="s">
        <v>4</v>
      </c>
      <c r="E1713" s="30" t="s">
        <v>396</v>
      </c>
      <c r="F1713" s="32" t="s">
        <v>356</v>
      </c>
      <c r="G1713" s="30" t="s">
        <v>671</v>
      </c>
      <c r="H1713" t="str">
        <f>CONCATENATE(Prequal[[#This Row],[CITY]], ", ",Prequal[[#This Row],[STATE]])</f>
        <v>Aurora, IL</v>
      </c>
    </row>
    <row r="1714" spans="2:8" x14ac:dyDescent="0.2">
      <c r="B1714" s="31" t="s">
        <v>189</v>
      </c>
      <c r="C1714" s="32" t="s">
        <v>969</v>
      </c>
      <c r="D1714" s="33" t="s">
        <v>5</v>
      </c>
      <c r="E1714" s="30" t="s">
        <v>396</v>
      </c>
      <c r="F1714" s="32" t="s">
        <v>356</v>
      </c>
      <c r="G1714" s="30" t="s">
        <v>671</v>
      </c>
      <c r="H1714" t="str">
        <f>CONCATENATE(Prequal[[#This Row],[CITY]], ", ",Prequal[[#This Row],[STATE]])</f>
        <v>Aurora, IL</v>
      </c>
    </row>
    <row r="1715" spans="2:8" x14ac:dyDescent="0.2">
      <c r="B1715" s="27" t="s">
        <v>189</v>
      </c>
      <c r="C1715" s="28" t="s">
        <v>969</v>
      </c>
      <c r="D1715" s="29" t="s">
        <v>6</v>
      </c>
      <c r="E1715" s="30" t="s">
        <v>396</v>
      </c>
      <c r="F1715" s="28" t="s">
        <v>356</v>
      </c>
      <c r="G1715" s="30" t="s">
        <v>671</v>
      </c>
      <c r="H1715" t="str">
        <f>CONCATENATE(Prequal[[#This Row],[CITY]], ", ",Prequal[[#This Row],[STATE]])</f>
        <v>Aurora, IL</v>
      </c>
    </row>
    <row r="1716" spans="2:8" x14ac:dyDescent="0.2">
      <c r="B1716" s="27" t="s">
        <v>189</v>
      </c>
      <c r="C1716" s="28" t="s">
        <v>969</v>
      </c>
      <c r="D1716" s="29" t="s">
        <v>7</v>
      </c>
      <c r="E1716" s="30" t="s">
        <v>396</v>
      </c>
      <c r="F1716" s="28" t="s">
        <v>356</v>
      </c>
      <c r="G1716" s="30" t="s">
        <v>671</v>
      </c>
      <c r="H1716" t="str">
        <f>CONCATENATE(Prequal[[#This Row],[CITY]], ", ",Prequal[[#This Row],[STATE]])</f>
        <v>Aurora, IL</v>
      </c>
    </row>
    <row r="1717" spans="2:8" x14ac:dyDescent="0.2">
      <c r="B1717" s="27" t="s">
        <v>189</v>
      </c>
      <c r="C1717" s="28" t="s">
        <v>969</v>
      </c>
      <c r="D1717" s="29" t="s">
        <v>8</v>
      </c>
      <c r="E1717" s="30" t="s">
        <v>396</v>
      </c>
      <c r="F1717" s="28" t="s">
        <v>356</v>
      </c>
      <c r="G1717" s="30" t="s">
        <v>671</v>
      </c>
      <c r="H1717" t="str">
        <f>CONCATENATE(Prequal[[#This Row],[CITY]], ", ",Prequal[[#This Row],[STATE]])</f>
        <v>Aurora, IL</v>
      </c>
    </row>
    <row r="1718" spans="2:8" x14ac:dyDescent="0.2">
      <c r="B1718" s="27" t="s">
        <v>189</v>
      </c>
      <c r="C1718" s="28" t="s">
        <v>969</v>
      </c>
      <c r="D1718" s="29" t="s">
        <v>24</v>
      </c>
      <c r="E1718" s="30" t="s">
        <v>396</v>
      </c>
      <c r="F1718" s="28" t="s">
        <v>356</v>
      </c>
      <c r="G1718" s="30" t="s">
        <v>671</v>
      </c>
      <c r="H1718" t="str">
        <f>CONCATENATE(Prequal[[#This Row],[CITY]], ", ",Prequal[[#This Row],[STATE]])</f>
        <v>Aurora, IL</v>
      </c>
    </row>
    <row r="1719" spans="2:8" x14ac:dyDescent="0.2">
      <c r="B1719" s="27" t="s">
        <v>189</v>
      </c>
      <c r="C1719" s="28" t="s">
        <v>969</v>
      </c>
      <c r="D1719" s="29" t="s">
        <v>25</v>
      </c>
      <c r="E1719" s="30" t="s">
        <v>396</v>
      </c>
      <c r="F1719" s="28" t="s">
        <v>356</v>
      </c>
      <c r="G1719" s="30" t="s">
        <v>671</v>
      </c>
      <c r="H1719" t="str">
        <f>CONCATENATE(Prequal[[#This Row],[CITY]], ", ",Prequal[[#This Row],[STATE]])</f>
        <v>Aurora, IL</v>
      </c>
    </row>
    <row r="1720" spans="2:8" x14ac:dyDescent="0.2">
      <c r="B1720" s="27" t="s">
        <v>189</v>
      </c>
      <c r="C1720" s="28" t="s">
        <v>969</v>
      </c>
      <c r="D1720" s="29" t="s">
        <v>9</v>
      </c>
      <c r="E1720" s="30" t="s">
        <v>396</v>
      </c>
      <c r="F1720" s="28" t="s">
        <v>356</v>
      </c>
      <c r="G1720" s="30" t="s">
        <v>671</v>
      </c>
      <c r="H1720" t="str">
        <f>CONCATENATE(Prequal[[#This Row],[CITY]], ", ",Prequal[[#This Row],[STATE]])</f>
        <v>Aurora, IL</v>
      </c>
    </row>
    <row r="1721" spans="2:8" x14ac:dyDescent="0.2">
      <c r="B1721" s="27" t="s">
        <v>189</v>
      </c>
      <c r="C1721" s="28" t="s">
        <v>969</v>
      </c>
      <c r="D1721" s="29" t="s">
        <v>49</v>
      </c>
      <c r="E1721" s="30" t="s">
        <v>396</v>
      </c>
      <c r="F1721" s="28" t="s">
        <v>356</v>
      </c>
      <c r="G1721" s="30" t="s">
        <v>671</v>
      </c>
      <c r="H1721" t="str">
        <f>CONCATENATE(Prequal[[#This Row],[CITY]], ", ",Prequal[[#This Row],[STATE]])</f>
        <v>Aurora, IL</v>
      </c>
    </row>
    <row r="1722" spans="2:8" x14ac:dyDescent="0.2">
      <c r="B1722" s="27" t="s">
        <v>189</v>
      </c>
      <c r="C1722" s="28" t="s">
        <v>969</v>
      </c>
      <c r="D1722" s="29" t="s">
        <v>27</v>
      </c>
      <c r="E1722" s="30" t="s">
        <v>396</v>
      </c>
      <c r="F1722" s="28" t="s">
        <v>356</v>
      </c>
      <c r="G1722" s="30" t="s">
        <v>671</v>
      </c>
      <c r="H1722" t="str">
        <f>CONCATENATE(Prequal[[#This Row],[CITY]], ", ",Prequal[[#This Row],[STATE]])</f>
        <v>Aurora, IL</v>
      </c>
    </row>
    <row r="1723" spans="2:8" x14ac:dyDescent="0.2">
      <c r="B1723" s="27" t="s">
        <v>189</v>
      </c>
      <c r="C1723" s="28" t="s">
        <v>969</v>
      </c>
      <c r="D1723" s="29" t="s">
        <v>10</v>
      </c>
      <c r="E1723" s="30" t="s">
        <v>396</v>
      </c>
      <c r="F1723" s="28" t="s">
        <v>356</v>
      </c>
      <c r="G1723" s="30" t="s">
        <v>671</v>
      </c>
      <c r="H1723" t="str">
        <f>CONCATENATE(Prequal[[#This Row],[CITY]], ", ",Prequal[[#This Row],[STATE]])</f>
        <v>Aurora, IL</v>
      </c>
    </row>
    <row r="1724" spans="2:8" x14ac:dyDescent="0.2">
      <c r="B1724" s="27" t="s">
        <v>189</v>
      </c>
      <c r="C1724" s="28" t="s">
        <v>969</v>
      </c>
      <c r="D1724" s="29" t="s">
        <v>21</v>
      </c>
      <c r="E1724" s="30" t="s">
        <v>396</v>
      </c>
      <c r="F1724" s="28" t="s">
        <v>356</v>
      </c>
      <c r="G1724" s="30" t="s">
        <v>671</v>
      </c>
      <c r="H1724" t="str">
        <f>CONCATENATE(Prequal[[#This Row],[CITY]], ", ",Prequal[[#This Row],[STATE]])</f>
        <v>Aurora, IL</v>
      </c>
    </row>
    <row r="1725" spans="2:8" x14ac:dyDescent="0.2">
      <c r="B1725" s="27" t="s">
        <v>189</v>
      </c>
      <c r="C1725" s="28" t="s">
        <v>969</v>
      </c>
      <c r="D1725" s="29" t="s">
        <v>11</v>
      </c>
      <c r="E1725" s="30" t="s">
        <v>396</v>
      </c>
      <c r="F1725" s="28" t="s">
        <v>356</v>
      </c>
      <c r="G1725" s="30" t="s">
        <v>671</v>
      </c>
      <c r="H1725" t="str">
        <f>CONCATENATE(Prequal[[#This Row],[CITY]], ", ",Prequal[[#This Row],[STATE]])</f>
        <v>Aurora, IL</v>
      </c>
    </row>
    <row r="1726" spans="2:8" x14ac:dyDescent="0.2">
      <c r="B1726" s="27" t="s">
        <v>189</v>
      </c>
      <c r="C1726" s="28" t="s">
        <v>969</v>
      </c>
      <c r="D1726" s="29" t="s">
        <v>22</v>
      </c>
      <c r="E1726" s="30" t="s">
        <v>396</v>
      </c>
      <c r="F1726" s="28" t="s">
        <v>356</v>
      </c>
      <c r="G1726" s="30" t="s">
        <v>671</v>
      </c>
      <c r="H1726" t="str">
        <f>CONCATENATE(Prequal[[#This Row],[CITY]], ", ",Prequal[[#This Row],[STATE]])</f>
        <v>Aurora, IL</v>
      </c>
    </row>
    <row r="1727" spans="2:8" x14ac:dyDescent="0.2">
      <c r="B1727" s="27" t="s">
        <v>189</v>
      </c>
      <c r="C1727" s="28" t="s">
        <v>969</v>
      </c>
      <c r="D1727" s="29" t="s">
        <v>39</v>
      </c>
      <c r="E1727" s="30" t="s">
        <v>396</v>
      </c>
      <c r="F1727" s="28" t="s">
        <v>356</v>
      </c>
      <c r="G1727" s="30" t="s">
        <v>671</v>
      </c>
      <c r="H1727" t="str">
        <f>CONCATENATE(Prequal[[#This Row],[CITY]], ", ",Prequal[[#This Row],[STATE]])</f>
        <v>Aurora, IL</v>
      </c>
    </row>
    <row r="1728" spans="2:8" x14ac:dyDescent="0.2">
      <c r="B1728" s="27" t="s">
        <v>189</v>
      </c>
      <c r="C1728" s="28" t="s">
        <v>969</v>
      </c>
      <c r="D1728" s="29" t="s">
        <v>12</v>
      </c>
      <c r="E1728" s="30" t="s">
        <v>396</v>
      </c>
      <c r="F1728" s="28" t="s">
        <v>356</v>
      </c>
      <c r="G1728" s="30" t="s">
        <v>671</v>
      </c>
      <c r="H1728" t="str">
        <f>CONCATENATE(Prequal[[#This Row],[CITY]], ", ",Prequal[[#This Row],[STATE]])</f>
        <v>Aurora, IL</v>
      </c>
    </row>
    <row r="1729" spans="2:8" x14ac:dyDescent="0.2">
      <c r="B1729" s="27" t="s">
        <v>189</v>
      </c>
      <c r="C1729" s="28" t="s">
        <v>969</v>
      </c>
      <c r="D1729" s="29" t="s">
        <v>29</v>
      </c>
      <c r="E1729" s="30" t="s">
        <v>396</v>
      </c>
      <c r="F1729" s="28" t="s">
        <v>356</v>
      </c>
      <c r="G1729" s="30" t="s">
        <v>671</v>
      </c>
      <c r="H1729" t="str">
        <f>CONCATENATE(Prequal[[#This Row],[CITY]], ", ",Prequal[[#This Row],[STATE]])</f>
        <v>Aurora, IL</v>
      </c>
    </row>
    <row r="1730" spans="2:8" x14ac:dyDescent="0.2">
      <c r="B1730" s="27" t="s">
        <v>189</v>
      </c>
      <c r="C1730" s="28" t="s">
        <v>969</v>
      </c>
      <c r="D1730" s="29" t="s">
        <v>37</v>
      </c>
      <c r="E1730" s="30" t="s">
        <v>396</v>
      </c>
      <c r="F1730" s="28" t="s">
        <v>356</v>
      </c>
      <c r="G1730" s="30" t="s">
        <v>671</v>
      </c>
      <c r="H1730" t="str">
        <f>CONCATENATE(Prequal[[#This Row],[CITY]], ", ",Prequal[[#This Row],[STATE]])</f>
        <v>Aurora, IL</v>
      </c>
    </row>
    <row r="1731" spans="2:8" x14ac:dyDescent="0.2">
      <c r="B1731" s="27" t="s">
        <v>189</v>
      </c>
      <c r="C1731" s="28" t="s">
        <v>969</v>
      </c>
      <c r="D1731" s="29" t="s">
        <v>13</v>
      </c>
      <c r="E1731" s="30" t="s">
        <v>396</v>
      </c>
      <c r="F1731" s="28" t="s">
        <v>356</v>
      </c>
      <c r="G1731" s="30" t="s">
        <v>671</v>
      </c>
      <c r="H1731" t="str">
        <f>CONCATENATE(Prequal[[#This Row],[CITY]], ", ",Prequal[[#This Row],[STATE]])</f>
        <v>Aurora, IL</v>
      </c>
    </row>
    <row r="1732" spans="2:8" x14ac:dyDescent="0.2">
      <c r="B1732" s="27" t="s">
        <v>189</v>
      </c>
      <c r="C1732" s="28" t="s">
        <v>969</v>
      </c>
      <c r="D1732" s="29" t="s">
        <v>52</v>
      </c>
      <c r="E1732" s="30" t="s">
        <v>396</v>
      </c>
      <c r="F1732" s="28" t="s">
        <v>356</v>
      </c>
      <c r="G1732" s="30" t="s">
        <v>671</v>
      </c>
      <c r="H1732" t="str">
        <f>CONCATENATE(Prequal[[#This Row],[CITY]], ", ",Prequal[[#This Row],[STATE]])</f>
        <v>Aurora, IL</v>
      </c>
    </row>
    <row r="1733" spans="2:8" x14ac:dyDescent="0.2">
      <c r="B1733" s="27" t="s">
        <v>189</v>
      </c>
      <c r="C1733" s="28" t="s">
        <v>969</v>
      </c>
      <c r="D1733" s="29" t="s">
        <v>14</v>
      </c>
      <c r="E1733" s="30" t="s">
        <v>396</v>
      </c>
      <c r="F1733" s="28" t="s">
        <v>356</v>
      </c>
      <c r="G1733" s="30" t="s">
        <v>671</v>
      </c>
      <c r="H1733" t="str">
        <f>CONCATENATE(Prequal[[#This Row],[CITY]], ", ",Prequal[[#This Row],[STATE]])</f>
        <v>Aurora, IL</v>
      </c>
    </row>
    <row r="1734" spans="2:8" x14ac:dyDescent="0.2">
      <c r="B1734" s="27" t="s">
        <v>189</v>
      </c>
      <c r="C1734" s="28" t="s">
        <v>969</v>
      </c>
      <c r="D1734" s="29" t="s">
        <v>15</v>
      </c>
      <c r="E1734" s="30" t="s">
        <v>396</v>
      </c>
      <c r="F1734" s="28" t="s">
        <v>356</v>
      </c>
      <c r="G1734" s="30" t="s">
        <v>671</v>
      </c>
      <c r="H1734" t="str">
        <f>CONCATENATE(Prequal[[#This Row],[CITY]], ", ",Prequal[[#This Row],[STATE]])</f>
        <v>Aurora, IL</v>
      </c>
    </row>
    <row r="1735" spans="2:8" x14ac:dyDescent="0.2">
      <c r="B1735" s="27" t="s">
        <v>189</v>
      </c>
      <c r="C1735" s="28" t="s">
        <v>969</v>
      </c>
      <c r="D1735" s="29" t="s">
        <v>30</v>
      </c>
      <c r="E1735" s="30" t="s">
        <v>396</v>
      </c>
      <c r="F1735" s="28" t="s">
        <v>356</v>
      </c>
      <c r="G1735" s="30" t="s">
        <v>671</v>
      </c>
      <c r="H1735" t="str">
        <f>CONCATENATE(Prequal[[#This Row],[CITY]], ", ",Prequal[[#This Row],[STATE]])</f>
        <v>Aurora, IL</v>
      </c>
    </row>
    <row r="1736" spans="2:8" x14ac:dyDescent="0.2">
      <c r="B1736" s="27" t="s">
        <v>189</v>
      </c>
      <c r="C1736" s="28" t="s">
        <v>969</v>
      </c>
      <c r="D1736" s="29" t="s">
        <v>53</v>
      </c>
      <c r="E1736" s="30" t="s">
        <v>396</v>
      </c>
      <c r="F1736" s="28" t="s">
        <v>356</v>
      </c>
      <c r="G1736" s="30" t="s">
        <v>671</v>
      </c>
      <c r="H1736" t="str">
        <f>CONCATENATE(Prequal[[#This Row],[CITY]], ", ",Prequal[[#This Row],[STATE]])</f>
        <v>Aurora, IL</v>
      </c>
    </row>
    <row r="1737" spans="2:8" x14ac:dyDescent="0.2">
      <c r="B1737" s="27" t="s">
        <v>189</v>
      </c>
      <c r="C1737" s="28" t="s">
        <v>969</v>
      </c>
      <c r="D1737" s="29" t="s">
        <v>31</v>
      </c>
      <c r="E1737" s="30" t="s">
        <v>396</v>
      </c>
      <c r="F1737" s="28" t="s">
        <v>356</v>
      </c>
      <c r="G1737" s="30" t="s">
        <v>671</v>
      </c>
      <c r="H1737" t="str">
        <f>CONCATENATE(Prequal[[#This Row],[CITY]], ", ",Prequal[[#This Row],[STATE]])</f>
        <v>Aurora, IL</v>
      </c>
    </row>
    <row r="1738" spans="2:8" x14ac:dyDescent="0.2">
      <c r="B1738" s="27" t="s">
        <v>189</v>
      </c>
      <c r="C1738" s="28" t="s">
        <v>969</v>
      </c>
      <c r="D1738" s="29" t="s">
        <v>32</v>
      </c>
      <c r="E1738" s="30" t="s">
        <v>396</v>
      </c>
      <c r="F1738" s="28" t="s">
        <v>356</v>
      </c>
      <c r="G1738" s="30" t="s">
        <v>671</v>
      </c>
      <c r="H1738" t="str">
        <f>CONCATENATE(Prequal[[#This Row],[CITY]], ", ",Prequal[[#This Row],[STATE]])</f>
        <v>Aurora, IL</v>
      </c>
    </row>
    <row r="1739" spans="2:8" x14ac:dyDescent="0.2">
      <c r="B1739" s="27" t="s">
        <v>189</v>
      </c>
      <c r="C1739" s="28" t="s">
        <v>969</v>
      </c>
      <c r="D1739" s="29" t="s">
        <v>38</v>
      </c>
      <c r="E1739" s="30" t="s">
        <v>396</v>
      </c>
      <c r="F1739" s="28" t="s">
        <v>356</v>
      </c>
      <c r="G1739" s="30" t="s">
        <v>671</v>
      </c>
      <c r="H1739" t="str">
        <f>CONCATENATE(Prequal[[#This Row],[CITY]], ", ",Prequal[[#This Row],[STATE]])</f>
        <v>Aurora, IL</v>
      </c>
    </row>
    <row r="1740" spans="2:8" x14ac:dyDescent="0.2">
      <c r="B1740" s="27" t="s">
        <v>190</v>
      </c>
      <c r="C1740" s="28" t="s">
        <v>970</v>
      </c>
      <c r="D1740" s="29" t="s">
        <v>70</v>
      </c>
      <c r="E1740" s="30" t="s">
        <v>439</v>
      </c>
      <c r="F1740" s="28" t="s">
        <v>440</v>
      </c>
      <c r="G1740" s="30" t="s">
        <v>672</v>
      </c>
      <c r="H1740" t="str">
        <f>CONCATENATE(Prequal[[#This Row],[CITY]], ", ",Prequal[[#This Row],[STATE]])</f>
        <v>Moon Township, PA</v>
      </c>
    </row>
    <row r="1741" spans="2:8" x14ac:dyDescent="0.2">
      <c r="B1741" s="27" t="s">
        <v>515</v>
      </c>
      <c r="C1741" s="28" t="s">
        <v>969</v>
      </c>
      <c r="D1741" s="29" t="s">
        <v>43</v>
      </c>
      <c r="E1741" s="30" t="s">
        <v>516</v>
      </c>
      <c r="F1741" s="28" t="s">
        <v>356</v>
      </c>
      <c r="G1741" s="30" t="s">
        <v>673</v>
      </c>
      <c r="H1741" t="str">
        <f>CONCATENATE(Prequal[[#This Row],[CITY]], ", ",Prequal[[#This Row],[STATE]])</f>
        <v>Oak Brook, IL</v>
      </c>
    </row>
    <row r="1742" spans="2:8" x14ac:dyDescent="0.2">
      <c r="B1742" s="27" t="s">
        <v>515</v>
      </c>
      <c r="C1742" s="28" t="s">
        <v>969</v>
      </c>
      <c r="D1742" s="29" t="s">
        <v>44</v>
      </c>
      <c r="E1742" s="30" t="s">
        <v>516</v>
      </c>
      <c r="F1742" s="28" t="s">
        <v>356</v>
      </c>
      <c r="G1742" s="30" t="s">
        <v>673</v>
      </c>
      <c r="H1742" t="str">
        <f>CONCATENATE(Prequal[[#This Row],[CITY]], ", ",Prequal[[#This Row],[STATE]])</f>
        <v>Oak Brook, IL</v>
      </c>
    </row>
    <row r="1743" spans="2:8" x14ac:dyDescent="0.2">
      <c r="B1743" s="27" t="s">
        <v>515</v>
      </c>
      <c r="C1743" s="28" t="s">
        <v>969</v>
      </c>
      <c r="D1743" s="29" t="s">
        <v>50</v>
      </c>
      <c r="E1743" s="30" t="s">
        <v>516</v>
      </c>
      <c r="F1743" s="28" t="s">
        <v>356</v>
      </c>
      <c r="G1743" s="30" t="s">
        <v>673</v>
      </c>
      <c r="H1743" t="str">
        <f>CONCATENATE(Prequal[[#This Row],[CITY]], ", ",Prequal[[#This Row],[STATE]])</f>
        <v>Oak Brook, IL</v>
      </c>
    </row>
    <row r="1744" spans="2:8" x14ac:dyDescent="0.2">
      <c r="B1744" s="27" t="s">
        <v>515</v>
      </c>
      <c r="C1744" s="28" t="s">
        <v>969</v>
      </c>
      <c r="D1744" s="29" t="s">
        <v>18</v>
      </c>
      <c r="E1744" s="30" t="s">
        <v>516</v>
      </c>
      <c r="F1744" s="28" t="s">
        <v>356</v>
      </c>
      <c r="G1744" s="30" t="s">
        <v>673</v>
      </c>
      <c r="H1744" t="str">
        <f>CONCATENATE(Prequal[[#This Row],[CITY]], ", ",Prequal[[#This Row],[STATE]])</f>
        <v>Oak Brook, IL</v>
      </c>
    </row>
    <row r="1745" spans="2:8" x14ac:dyDescent="0.2">
      <c r="B1745" s="27" t="s">
        <v>515</v>
      </c>
      <c r="C1745" s="28" t="s">
        <v>969</v>
      </c>
      <c r="D1745" s="29" t="s">
        <v>11</v>
      </c>
      <c r="E1745" s="30" t="s">
        <v>516</v>
      </c>
      <c r="F1745" s="28" t="s">
        <v>356</v>
      </c>
      <c r="G1745" s="30" t="s">
        <v>673</v>
      </c>
      <c r="H1745" t="str">
        <f>CONCATENATE(Prequal[[#This Row],[CITY]], ", ",Prequal[[#This Row],[STATE]])</f>
        <v>Oak Brook, IL</v>
      </c>
    </row>
    <row r="1746" spans="2:8" x14ac:dyDescent="0.2">
      <c r="B1746" s="27" t="s">
        <v>191</v>
      </c>
      <c r="C1746" s="28" t="s">
        <v>969</v>
      </c>
      <c r="D1746" s="29" t="s">
        <v>46</v>
      </c>
      <c r="E1746" s="30" t="s">
        <v>441</v>
      </c>
      <c r="F1746" s="28" t="s">
        <v>356</v>
      </c>
      <c r="G1746" s="30" t="s">
        <v>674</v>
      </c>
      <c r="H1746" t="str">
        <f>CONCATENATE(Prequal[[#This Row],[CITY]], ", ",Prequal[[#This Row],[STATE]])</f>
        <v>Hillsboro, IL</v>
      </c>
    </row>
    <row r="1747" spans="2:8" x14ac:dyDescent="0.2">
      <c r="B1747" s="27" t="s">
        <v>191</v>
      </c>
      <c r="C1747" s="28" t="s">
        <v>969</v>
      </c>
      <c r="D1747" s="29" t="s">
        <v>47</v>
      </c>
      <c r="E1747" s="30" t="s">
        <v>441</v>
      </c>
      <c r="F1747" s="28" t="s">
        <v>356</v>
      </c>
      <c r="G1747" s="30" t="s">
        <v>674</v>
      </c>
      <c r="H1747" t="str">
        <f>CONCATENATE(Prequal[[#This Row],[CITY]], ", ",Prequal[[#This Row],[STATE]])</f>
        <v>Hillsboro, IL</v>
      </c>
    </row>
    <row r="1748" spans="2:8" x14ac:dyDescent="0.2">
      <c r="B1748" s="27" t="s">
        <v>191</v>
      </c>
      <c r="C1748" s="28" t="s">
        <v>969</v>
      </c>
      <c r="D1748" s="29" t="s">
        <v>48</v>
      </c>
      <c r="E1748" s="30" t="s">
        <v>441</v>
      </c>
      <c r="F1748" s="28" t="s">
        <v>356</v>
      </c>
      <c r="G1748" s="30" t="s">
        <v>674</v>
      </c>
      <c r="H1748" t="str">
        <f>CONCATENATE(Prequal[[#This Row],[CITY]], ", ",Prequal[[#This Row],[STATE]])</f>
        <v>Hillsboro, IL</v>
      </c>
    </row>
    <row r="1749" spans="2:8" x14ac:dyDescent="0.2">
      <c r="B1749" s="27" t="s">
        <v>191</v>
      </c>
      <c r="C1749" s="28" t="s">
        <v>969</v>
      </c>
      <c r="D1749" s="29" t="s">
        <v>4</v>
      </c>
      <c r="E1749" s="30" t="s">
        <v>441</v>
      </c>
      <c r="F1749" s="28" t="s">
        <v>356</v>
      </c>
      <c r="G1749" s="30" t="s">
        <v>674</v>
      </c>
      <c r="H1749" t="str">
        <f>CONCATENATE(Prequal[[#This Row],[CITY]], ", ",Prequal[[#This Row],[STATE]])</f>
        <v>Hillsboro, IL</v>
      </c>
    </row>
    <row r="1750" spans="2:8" x14ac:dyDescent="0.2">
      <c r="B1750" s="27" t="s">
        <v>191</v>
      </c>
      <c r="C1750" s="28" t="s">
        <v>969</v>
      </c>
      <c r="D1750" s="29" t="s">
        <v>5</v>
      </c>
      <c r="E1750" s="30" t="s">
        <v>441</v>
      </c>
      <c r="F1750" s="28" t="s">
        <v>356</v>
      </c>
      <c r="G1750" s="30" t="s">
        <v>674</v>
      </c>
      <c r="H1750" t="str">
        <f>CONCATENATE(Prequal[[#This Row],[CITY]], ", ",Prequal[[#This Row],[STATE]])</f>
        <v>Hillsboro, IL</v>
      </c>
    </row>
    <row r="1751" spans="2:8" x14ac:dyDescent="0.2">
      <c r="B1751" s="27" t="s">
        <v>191</v>
      </c>
      <c r="C1751" s="28" t="s">
        <v>969</v>
      </c>
      <c r="D1751" s="29" t="s">
        <v>6</v>
      </c>
      <c r="E1751" s="30" t="s">
        <v>441</v>
      </c>
      <c r="F1751" s="28" t="s">
        <v>356</v>
      </c>
      <c r="G1751" s="30" t="s">
        <v>674</v>
      </c>
      <c r="H1751" t="str">
        <f>CONCATENATE(Prequal[[#This Row],[CITY]], ", ",Prequal[[#This Row],[STATE]])</f>
        <v>Hillsboro, IL</v>
      </c>
    </row>
    <row r="1752" spans="2:8" x14ac:dyDescent="0.2">
      <c r="B1752" s="27" t="s">
        <v>191</v>
      </c>
      <c r="C1752" s="28" t="s">
        <v>969</v>
      </c>
      <c r="D1752" s="29" t="s">
        <v>7</v>
      </c>
      <c r="E1752" s="30" t="s">
        <v>441</v>
      </c>
      <c r="F1752" s="28" t="s">
        <v>356</v>
      </c>
      <c r="G1752" s="30" t="s">
        <v>674</v>
      </c>
      <c r="H1752" t="str">
        <f>CONCATENATE(Prequal[[#This Row],[CITY]], ", ",Prequal[[#This Row],[STATE]])</f>
        <v>Hillsboro, IL</v>
      </c>
    </row>
    <row r="1753" spans="2:8" x14ac:dyDescent="0.2">
      <c r="B1753" s="27" t="s">
        <v>191</v>
      </c>
      <c r="C1753" s="28" t="s">
        <v>969</v>
      </c>
      <c r="D1753" s="29" t="s">
        <v>8</v>
      </c>
      <c r="E1753" s="30" t="s">
        <v>441</v>
      </c>
      <c r="F1753" s="28" t="s">
        <v>356</v>
      </c>
      <c r="G1753" s="30" t="s">
        <v>674</v>
      </c>
      <c r="H1753" t="str">
        <f>CONCATENATE(Prequal[[#This Row],[CITY]], ", ",Prequal[[#This Row],[STATE]])</f>
        <v>Hillsboro, IL</v>
      </c>
    </row>
    <row r="1754" spans="2:8" x14ac:dyDescent="0.2">
      <c r="B1754" s="27" t="s">
        <v>191</v>
      </c>
      <c r="C1754" s="28" t="s">
        <v>969</v>
      </c>
      <c r="D1754" s="29" t="s">
        <v>24</v>
      </c>
      <c r="E1754" s="30" t="s">
        <v>441</v>
      </c>
      <c r="F1754" s="28" t="s">
        <v>356</v>
      </c>
      <c r="G1754" s="30" t="s">
        <v>674</v>
      </c>
      <c r="H1754" t="str">
        <f>CONCATENATE(Prequal[[#This Row],[CITY]], ", ",Prequal[[#This Row],[STATE]])</f>
        <v>Hillsboro, IL</v>
      </c>
    </row>
    <row r="1755" spans="2:8" x14ac:dyDescent="0.2">
      <c r="B1755" s="27" t="s">
        <v>191</v>
      </c>
      <c r="C1755" s="28" t="s">
        <v>969</v>
      </c>
      <c r="D1755" s="29" t="s">
        <v>25</v>
      </c>
      <c r="E1755" s="30" t="s">
        <v>441</v>
      </c>
      <c r="F1755" s="28" t="s">
        <v>356</v>
      </c>
      <c r="G1755" s="30" t="s">
        <v>674</v>
      </c>
      <c r="H1755" t="str">
        <f>CONCATENATE(Prequal[[#This Row],[CITY]], ", ",Prequal[[#This Row],[STATE]])</f>
        <v>Hillsboro, IL</v>
      </c>
    </row>
    <row r="1756" spans="2:8" x14ac:dyDescent="0.2">
      <c r="B1756" s="27" t="s">
        <v>191</v>
      </c>
      <c r="C1756" s="28" t="s">
        <v>969</v>
      </c>
      <c r="D1756" s="29" t="s">
        <v>9</v>
      </c>
      <c r="E1756" s="30" t="s">
        <v>441</v>
      </c>
      <c r="F1756" s="28" t="s">
        <v>356</v>
      </c>
      <c r="G1756" s="30" t="s">
        <v>674</v>
      </c>
      <c r="H1756" t="str">
        <f>CONCATENATE(Prequal[[#This Row],[CITY]], ", ",Prequal[[#This Row],[STATE]])</f>
        <v>Hillsboro, IL</v>
      </c>
    </row>
    <row r="1757" spans="2:8" x14ac:dyDescent="0.2">
      <c r="B1757" s="27" t="s">
        <v>191</v>
      </c>
      <c r="C1757" s="28" t="s">
        <v>969</v>
      </c>
      <c r="D1757" s="29" t="s">
        <v>27</v>
      </c>
      <c r="E1757" s="30" t="s">
        <v>441</v>
      </c>
      <c r="F1757" s="28" t="s">
        <v>356</v>
      </c>
      <c r="G1757" s="30" t="s">
        <v>674</v>
      </c>
      <c r="H1757" t="str">
        <f>CONCATENATE(Prequal[[#This Row],[CITY]], ", ",Prequal[[#This Row],[STATE]])</f>
        <v>Hillsboro, IL</v>
      </c>
    </row>
    <row r="1758" spans="2:8" x14ac:dyDescent="0.2">
      <c r="B1758" s="27" t="s">
        <v>191</v>
      </c>
      <c r="C1758" s="28" t="s">
        <v>969</v>
      </c>
      <c r="D1758" s="29" t="s">
        <v>59</v>
      </c>
      <c r="E1758" s="30" t="s">
        <v>441</v>
      </c>
      <c r="F1758" s="28" t="s">
        <v>356</v>
      </c>
      <c r="G1758" s="30" t="s">
        <v>674</v>
      </c>
      <c r="H1758" t="str">
        <f>CONCATENATE(Prequal[[#This Row],[CITY]], ", ",Prequal[[#This Row],[STATE]])</f>
        <v>Hillsboro, IL</v>
      </c>
    </row>
    <row r="1759" spans="2:8" x14ac:dyDescent="0.2">
      <c r="B1759" s="31" t="s">
        <v>191</v>
      </c>
      <c r="C1759" s="32" t="s">
        <v>969</v>
      </c>
      <c r="D1759" s="33" t="s">
        <v>10</v>
      </c>
      <c r="E1759" s="30" t="s">
        <v>441</v>
      </c>
      <c r="F1759" s="32" t="s">
        <v>356</v>
      </c>
      <c r="G1759" s="30" t="s">
        <v>674</v>
      </c>
      <c r="H1759" t="str">
        <f>CONCATENATE(Prequal[[#This Row],[CITY]], ", ",Prequal[[#This Row],[STATE]])</f>
        <v>Hillsboro, IL</v>
      </c>
    </row>
    <row r="1760" spans="2:8" x14ac:dyDescent="0.2">
      <c r="B1760" s="27" t="s">
        <v>191</v>
      </c>
      <c r="C1760" s="28" t="s">
        <v>969</v>
      </c>
      <c r="D1760" s="29" t="s">
        <v>12</v>
      </c>
      <c r="E1760" s="30" t="s">
        <v>441</v>
      </c>
      <c r="F1760" s="28" t="s">
        <v>356</v>
      </c>
      <c r="G1760" s="30" t="s">
        <v>674</v>
      </c>
      <c r="H1760" t="str">
        <f>CONCATENATE(Prequal[[#This Row],[CITY]], ", ",Prequal[[#This Row],[STATE]])</f>
        <v>Hillsboro, IL</v>
      </c>
    </row>
    <row r="1761" spans="2:8" x14ac:dyDescent="0.2">
      <c r="B1761" s="27" t="s">
        <v>191</v>
      </c>
      <c r="C1761" s="28" t="s">
        <v>969</v>
      </c>
      <c r="D1761" s="29" t="s">
        <v>29</v>
      </c>
      <c r="E1761" s="30" t="s">
        <v>441</v>
      </c>
      <c r="F1761" s="28" t="s">
        <v>356</v>
      </c>
      <c r="G1761" s="30" t="s">
        <v>674</v>
      </c>
      <c r="H1761" t="str">
        <f>CONCATENATE(Prequal[[#This Row],[CITY]], ", ",Prequal[[#This Row],[STATE]])</f>
        <v>Hillsboro, IL</v>
      </c>
    </row>
    <row r="1762" spans="2:8" x14ac:dyDescent="0.2">
      <c r="B1762" s="27" t="s">
        <v>191</v>
      </c>
      <c r="C1762" s="28" t="s">
        <v>969</v>
      </c>
      <c r="D1762" s="29" t="s">
        <v>37</v>
      </c>
      <c r="E1762" s="30" t="s">
        <v>441</v>
      </c>
      <c r="F1762" s="28" t="s">
        <v>356</v>
      </c>
      <c r="G1762" s="30" t="s">
        <v>674</v>
      </c>
      <c r="H1762" t="str">
        <f>CONCATENATE(Prequal[[#This Row],[CITY]], ", ",Prequal[[#This Row],[STATE]])</f>
        <v>Hillsboro, IL</v>
      </c>
    </row>
    <row r="1763" spans="2:8" x14ac:dyDescent="0.2">
      <c r="B1763" s="27" t="s">
        <v>191</v>
      </c>
      <c r="C1763" s="28" t="s">
        <v>969</v>
      </c>
      <c r="D1763" s="29" t="s">
        <v>13</v>
      </c>
      <c r="E1763" s="30" t="s">
        <v>441</v>
      </c>
      <c r="F1763" s="28" t="s">
        <v>356</v>
      </c>
      <c r="G1763" s="30" t="s">
        <v>674</v>
      </c>
      <c r="H1763" t="str">
        <f>CONCATENATE(Prequal[[#This Row],[CITY]], ", ",Prequal[[#This Row],[STATE]])</f>
        <v>Hillsboro, IL</v>
      </c>
    </row>
    <row r="1764" spans="2:8" x14ac:dyDescent="0.2">
      <c r="B1764" s="31" t="s">
        <v>191</v>
      </c>
      <c r="C1764" s="32" t="s">
        <v>969</v>
      </c>
      <c r="D1764" s="33" t="s">
        <v>14</v>
      </c>
      <c r="E1764" s="30" t="s">
        <v>441</v>
      </c>
      <c r="F1764" s="32" t="s">
        <v>356</v>
      </c>
      <c r="G1764" s="30" t="s">
        <v>674</v>
      </c>
      <c r="H1764" t="str">
        <f>CONCATENATE(Prequal[[#This Row],[CITY]], ", ",Prequal[[#This Row],[STATE]])</f>
        <v>Hillsboro, IL</v>
      </c>
    </row>
    <row r="1765" spans="2:8" x14ac:dyDescent="0.2">
      <c r="B1765" s="27" t="s">
        <v>191</v>
      </c>
      <c r="C1765" s="28" t="s">
        <v>969</v>
      </c>
      <c r="D1765" s="29" t="s">
        <v>15</v>
      </c>
      <c r="E1765" s="30" t="s">
        <v>441</v>
      </c>
      <c r="F1765" s="28" t="s">
        <v>356</v>
      </c>
      <c r="G1765" s="30" t="s">
        <v>674</v>
      </c>
      <c r="H1765" t="str">
        <f>CONCATENATE(Prequal[[#This Row],[CITY]], ", ",Prequal[[#This Row],[STATE]])</f>
        <v>Hillsboro, IL</v>
      </c>
    </row>
    <row r="1766" spans="2:8" x14ac:dyDescent="0.2">
      <c r="B1766" s="27" t="s">
        <v>191</v>
      </c>
      <c r="C1766" s="28" t="s">
        <v>969</v>
      </c>
      <c r="D1766" s="29" t="s">
        <v>31</v>
      </c>
      <c r="E1766" s="30" t="s">
        <v>441</v>
      </c>
      <c r="F1766" s="28" t="s">
        <v>356</v>
      </c>
      <c r="G1766" s="30" t="s">
        <v>674</v>
      </c>
      <c r="H1766" t="str">
        <f>CONCATENATE(Prequal[[#This Row],[CITY]], ", ",Prequal[[#This Row],[STATE]])</f>
        <v>Hillsboro, IL</v>
      </c>
    </row>
    <row r="1767" spans="2:8" x14ac:dyDescent="0.2">
      <c r="B1767" s="27" t="s">
        <v>191</v>
      </c>
      <c r="C1767" s="28" t="s">
        <v>969</v>
      </c>
      <c r="D1767" s="29" t="s">
        <v>32</v>
      </c>
      <c r="E1767" s="30" t="s">
        <v>441</v>
      </c>
      <c r="F1767" s="28" t="s">
        <v>356</v>
      </c>
      <c r="G1767" s="30" t="s">
        <v>674</v>
      </c>
      <c r="H1767" t="str">
        <f>CONCATENATE(Prequal[[#This Row],[CITY]], ", ",Prequal[[#This Row],[STATE]])</f>
        <v>Hillsboro, IL</v>
      </c>
    </row>
    <row r="1768" spans="2:8" x14ac:dyDescent="0.2">
      <c r="B1768" s="27" t="s">
        <v>192</v>
      </c>
      <c r="C1768" s="28" t="s">
        <v>969</v>
      </c>
      <c r="D1768" s="29" t="s">
        <v>35</v>
      </c>
      <c r="E1768" s="30" t="s">
        <v>383</v>
      </c>
      <c r="F1768" s="28" t="s">
        <v>356</v>
      </c>
      <c r="G1768" s="30" t="s">
        <v>837</v>
      </c>
      <c r="H1768" t="str">
        <f>CONCATENATE(Prequal[[#This Row],[CITY]], ", ",Prequal[[#This Row],[STATE]])</f>
        <v>Jacksonville, IL</v>
      </c>
    </row>
    <row r="1769" spans="2:8" x14ac:dyDescent="0.2">
      <c r="B1769" s="27" t="s">
        <v>192</v>
      </c>
      <c r="C1769" s="28" t="s">
        <v>969</v>
      </c>
      <c r="D1769" s="29" t="s">
        <v>36</v>
      </c>
      <c r="E1769" s="30" t="s">
        <v>383</v>
      </c>
      <c r="F1769" s="28" t="s">
        <v>356</v>
      </c>
      <c r="G1769" s="30" t="s">
        <v>837</v>
      </c>
      <c r="H1769" t="str">
        <f>CONCATENATE(Prequal[[#This Row],[CITY]], ", ",Prequal[[#This Row],[STATE]])</f>
        <v>Jacksonville, IL</v>
      </c>
    </row>
    <row r="1770" spans="2:8" x14ac:dyDescent="0.2">
      <c r="B1770" s="27" t="s">
        <v>192</v>
      </c>
      <c r="C1770" s="28" t="s">
        <v>969</v>
      </c>
      <c r="D1770" s="29" t="s">
        <v>47</v>
      </c>
      <c r="E1770" s="30" t="s">
        <v>383</v>
      </c>
      <c r="F1770" s="28" t="s">
        <v>356</v>
      </c>
      <c r="G1770" s="30" t="s">
        <v>837</v>
      </c>
      <c r="H1770" t="str">
        <f>CONCATENATE(Prequal[[#This Row],[CITY]], ", ",Prequal[[#This Row],[STATE]])</f>
        <v>Jacksonville, IL</v>
      </c>
    </row>
    <row r="1771" spans="2:8" x14ac:dyDescent="0.2">
      <c r="B1771" s="27" t="s">
        <v>192</v>
      </c>
      <c r="C1771" s="28" t="s">
        <v>969</v>
      </c>
      <c r="D1771" s="29" t="s">
        <v>4</v>
      </c>
      <c r="E1771" s="30" t="s">
        <v>383</v>
      </c>
      <c r="F1771" s="28" t="s">
        <v>356</v>
      </c>
      <c r="G1771" s="30" t="s">
        <v>837</v>
      </c>
      <c r="H1771" t="str">
        <f>CONCATENATE(Prequal[[#This Row],[CITY]], ", ",Prequal[[#This Row],[STATE]])</f>
        <v>Jacksonville, IL</v>
      </c>
    </row>
    <row r="1772" spans="2:8" x14ac:dyDescent="0.2">
      <c r="B1772" s="27" t="s">
        <v>192</v>
      </c>
      <c r="C1772" s="28" t="s">
        <v>969</v>
      </c>
      <c r="D1772" s="29" t="s">
        <v>5</v>
      </c>
      <c r="E1772" s="30" t="s">
        <v>383</v>
      </c>
      <c r="F1772" s="28" t="s">
        <v>356</v>
      </c>
      <c r="G1772" s="30" t="s">
        <v>837</v>
      </c>
      <c r="H1772" t="str">
        <f>CONCATENATE(Prequal[[#This Row],[CITY]], ", ",Prequal[[#This Row],[STATE]])</f>
        <v>Jacksonville, IL</v>
      </c>
    </row>
    <row r="1773" spans="2:8" x14ac:dyDescent="0.2">
      <c r="B1773" s="27" t="s">
        <v>192</v>
      </c>
      <c r="C1773" s="28" t="s">
        <v>969</v>
      </c>
      <c r="D1773" s="29" t="s">
        <v>6</v>
      </c>
      <c r="E1773" s="30" t="s">
        <v>383</v>
      </c>
      <c r="F1773" s="28" t="s">
        <v>356</v>
      </c>
      <c r="G1773" s="30" t="s">
        <v>837</v>
      </c>
      <c r="H1773" t="str">
        <f>CONCATENATE(Prequal[[#This Row],[CITY]], ", ",Prequal[[#This Row],[STATE]])</f>
        <v>Jacksonville, IL</v>
      </c>
    </row>
    <row r="1774" spans="2:8" x14ac:dyDescent="0.2">
      <c r="B1774" s="27" t="s">
        <v>192</v>
      </c>
      <c r="C1774" s="28" t="s">
        <v>969</v>
      </c>
      <c r="D1774" s="29" t="s">
        <v>7</v>
      </c>
      <c r="E1774" s="30" t="s">
        <v>383</v>
      </c>
      <c r="F1774" s="28" t="s">
        <v>356</v>
      </c>
      <c r="G1774" s="30" t="s">
        <v>837</v>
      </c>
      <c r="H1774" t="str">
        <f>CONCATENATE(Prequal[[#This Row],[CITY]], ", ",Prequal[[#This Row],[STATE]])</f>
        <v>Jacksonville, IL</v>
      </c>
    </row>
    <row r="1775" spans="2:8" x14ac:dyDescent="0.2">
      <c r="B1775" s="27" t="s">
        <v>192</v>
      </c>
      <c r="C1775" s="28" t="s">
        <v>969</v>
      </c>
      <c r="D1775" s="29" t="s">
        <v>8</v>
      </c>
      <c r="E1775" s="30" t="s">
        <v>383</v>
      </c>
      <c r="F1775" s="28" t="s">
        <v>356</v>
      </c>
      <c r="G1775" s="30" t="s">
        <v>837</v>
      </c>
      <c r="H1775" t="str">
        <f>CONCATENATE(Prequal[[#This Row],[CITY]], ", ",Prequal[[#This Row],[STATE]])</f>
        <v>Jacksonville, IL</v>
      </c>
    </row>
    <row r="1776" spans="2:8" x14ac:dyDescent="0.2">
      <c r="B1776" s="27" t="s">
        <v>192</v>
      </c>
      <c r="C1776" s="28" t="s">
        <v>969</v>
      </c>
      <c r="D1776" s="29" t="s">
        <v>24</v>
      </c>
      <c r="E1776" s="30" t="s">
        <v>383</v>
      </c>
      <c r="F1776" s="28" t="s">
        <v>356</v>
      </c>
      <c r="G1776" s="30" t="s">
        <v>837</v>
      </c>
      <c r="H1776" t="str">
        <f>CONCATENATE(Prequal[[#This Row],[CITY]], ", ",Prequal[[#This Row],[STATE]])</f>
        <v>Jacksonville, IL</v>
      </c>
    </row>
    <row r="1777" spans="2:8" x14ac:dyDescent="0.2">
      <c r="B1777" s="27" t="s">
        <v>192</v>
      </c>
      <c r="C1777" s="28" t="s">
        <v>969</v>
      </c>
      <c r="D1777" s="29" t="s">
        <v>25</v>
      </c>
      <c r="E1777" s="30" t="s">
        <v>383</v>
      </c>
      <c r="F1777" s="28" t="s">
        <v>356</v>
      </c>
      <c r="G1777" s="30" t="s">
        <v>837</v>
      </c>
      <c r="H1777" t="str">
        <f>CONCATENATE(Prequal[[#This Row],[CITY]], ", ",Prequal[[#This Row],[STATE]])</f>
        <v>Jacksonville, IL</v>
      </c>
    </row>
    <row r="1778" spans="2:8" x14ac:dyDescent="0.2">
      <c r="B1778" s="27" t="s">
        <v>192</v>
      </c>
      <c r="C1778" s="28" t="s">
        <v>969</v>
      </c>
      <c r="D1778" s="29" t="s">
        <v>9</v>
      </c>
      <c r="E1778" s="30" t="s">
        <v>383</v>
      </c>
      <c r="F1778" s="28" t="s">
        <v>356</v>
      </c>
      <c r="G1778" s="30" t="s">
        <v>837</v>
      </c>
      <c r="H1778" t="str">
        <f>CONCATENATE(Prequal[[#This Row],[CITY]], ", ",Prequal[[#This Row],[STATE]])</f>
        <v>Jacksonville, IL</v>
      </c>
    </row>
    <row r="1779" spans="2:8" x14ac:dyDescent="0.2">
      <c r="B1779" s="27" t="s">
        <v>192</v>
      </c>
      <c r="C1779" s="28" t="s">
        <v>969</v>
      </c>
      <c r="D1779" s="29" t="s">
        <v>27</v>
      </c>
      <c r="E1779" s="30" t="s">
        <v>383</v>
      </c>
      <c r="F1779" s="28" t="s">
        <v>356</v>
      </c>
      <c r="G1779" s="30" t="s">
        <v>837</v>
      </c>
      <c r="H1779" t="str">
        <f>CONCATENATE(Prequal[[#This Row],[CITY]], ", ",Prequal[[#This Row],[STATE]])</f>
        <v>Jacksonville, IL</v>
      </c>
    </row>
    <row r="1780" spans="2:8" x14ac:dyDescent="0.2">
      <c r="B1780" s="27" t="s">
        <v>192</v>
      </c>
      <c r="C1780" s="28" t="s">
        <v>969</v>
      </c>
      <c r="D1780" s="29" t="s">
        <v>10</v>
      </c>
      <c r="E1780" s="30" t="s">
        <v>383</v>
      </c>
      <c r="F1780" s="28" t="s">
        <v>356</v>
      </c>
      <c r="G1780" s="30" t="s">
        <v>837</v>
      </c>
      <c r="H1780" t="str">
        <f>CONCATENATE(Prequal[[#This Row],[CITY]], ", ",Prequal[[#This Row],[STATE]])</f>
        <v>Jacksonville, IL</v>
      </c>
    </row>
    <row r="1781" spans="2:8" x14ac:dyDescent="0.2">
      <c r="B1781" s="27" t="s">
        <v>192</v>
      </c>
      <c r="C1781" s="28" t="s">
        <v>969</v>
      </c>
      <c r="D1781" s="29" t="s">
        <v>12</v>
      </c>
      <c r="E1781" s="30" t="s">
        <v>383</v>
      </c>
      <c r="F1781" s="28" t="s">
        <v>356</v>
      </c>
      <c r="G1781" s="30" t="s">
        <v>837</v>
      </c>
      <c r="H1781" t="str">
        <f>CONCATENATE(Prequal[[#This Row],[CITY]], ", ",Prequal[[#This Row],[STATE]])</f>
        <v>Jacksonville, IL</v>
      </c>
    </row>
    <row r="1782" spans="2:8" x14ac:dyDescent="0.2">
      <c r="B1782" s="27" t="s">
        <v>192</v>
      </c>
      <c r="C1782" s="28" t="s">
        <v>969</v>
      </c>
      <c r="D1782" s="29" t="s">
        <v>29</v>
      </c>
      <c r="E1782" s="30" t="s">
        <v>383</v>
      </c>
      <c r="F1782" s="28" t="s">
        <v>356</v>
      </c>
      <c r="G1782" s="30" t="s">
        <v>837</v>
      </c>
      <c r="H1782" t="str">
        <f>CONCATENATE(Prequal[[#This Row],[CITY]], ", ",Prequal[[#This Row],[STATE]])</f>
        <v>Jacksonville, IL</v>
      </c>
    </row>
    <row r="1783" spans="2:8" x14ac:dyDescent="0.2">
      <c r="B1783" s="27" t="s">
        <v>192</v>
      </c>
      <c r="C1783" s="28" t="s">
        <v>969</v>
      </c>
      <c r="D1783" s="29" t="s">
        <v>37</v>
      </c>
      <c r="E1783" s="30" t="s">
        <v>383</v>
      </c>
      <c r="F1783" s="28" t="s">
        <v>356</v>
      </c>
      <c r="G1783" s="30" t="s">
        <v>837</v>
      </c>
      <c r="H1783" t="str">
        <f>CONCATENATE(Prequal[[#This Row],[CITY]], ", ",Prequal[[#This Row],[STATE]])</f>
        <v>Jacksonville, IL</v>
      </c>
    </row>
    <row r="1784" spans="2:8" x14ac:dyDescent="0.2">
      <c r="B1784" s="27" t="s">
        <v>192</v>
      </c>
      <c r="C1784" s="28" t="s">
        <v>969</v>
      </c>
      <c r="D1784" s="29" t="s">
        <v>13</v>
      </c>
      <c r="E1784" s="30" t="s">
        <v>383</v>
      </c>
      <c r="F1784" s="28" t="s">
        <v>356</v>
      </c>
      <c r="G1784" s="30" t="s">
        <v>837</v>
      </c>
      <c r="H1784" t="str">
        <f>CONCATENATE(Prequal[[#This Row],[CITY]], ", ",Prequal[[#This Row],[STATE]])</f>
        <v>Jacksonville, IL</v>
      </c>
    </row>
    <row r="1785" spans="2:8" x14ac:dyDescent="0.2">
      <c r="B1785" s="27" t="s">
        <v>192</v>
      </c>
      <c r="C1785" s="28" t="s">
        <v>969</v>
      </c>
      <c r="D1785" s="29" t="s">
        <v>14</v>
      </c>
      <c r="E1785" s="30" t="s">
        <v>383</v>
      </c>
      <c r="F1785" s="28" t="s">
        <v>356</v>
      </c>
      <c r="G1785" s="30" t="s">
        <v>837</v>
      </c>
      <c r="H1785" t="str">
        <f>CONCATENATE(Prequal[[#This Row],[CITY]], ", ",Prequal[[#This Row],[STATE]])</f>
        <v>Jacksonville, IL</v>
      </c>
    </row>
    <row r="1786" spans="2:8" x14ac:dyDescent="0.2">
      <c r="B1786" s="27" t="s">
        <v>192</v>
      </c>
      <c r="C1786" s="28" t="s">
        <v>969</v>
      </c>
      <c r="D1786" s="29" t="s">
        <v>15</v>
      </c>
      <c r="E1786" s="30" t="s">
        <v>383</v>
      </c>
      <c r="F1786" s="28" t="s">
        <v>356</v>
      </c>
      <c r="G1786" s="30" t="s">
        <v>837</v>
      </c>
      <c r="H1786" t="str">
        <f>CONCATENATE(Prequal[[#This Row],[CITY]], ", ",Prequal[[#This Row],[STATE]])</f>
        <v>Jacksonville, IL</v>
      </c>
    </row>
    <row r="1787" spans="2:8" x14ac:dyDescent="0.2">
      <c r="B1787" s="31" t="s">
        <v>192</v>
      </c>
      <c r="C1787" s="32" t="s">
        <v>969</v>
      </c>
      <c r="D1787" s="33" t="s">
        <v>30</v>
      </c>
      <c r="E1787" s="30" t="s">
        <v>383</v>
      </c>
      <c r="F1787" s="32" t="s">
        <v>356</v>
      </c>
      <c r="G1787" s="30" t="s">
        <v>837</v>
      </c>
      <c r="H1787" t="str">
        <f>CONCATENATE(Prequal[[#This Row],[CITY]], ", ",Prequal[[#This Row],[STATE]])</f>
        <v>Jacksonville, IL</v>
      </c>
    </row>
    <row r="1788" spans="2:8" x14ac:dyDescent="0.2">
      <c r="B1788" s="31" t="s">
        <v>192</v>
      </c>
      <c r="C1788" s="32" t="s">
        <v>969</v>
      </c>
      <c r="D1788" s="33" t="s">
        <v>31</v>
      </c>
      <c r="E1788" s="30" t="s">
        <v>383</v>
      </c>
      <c r="F1788" s="32" t="s">
        <v>356</v>
      </c>
      <c r="G1788" s="30" t="s">
        <v>837</v>
      </c>
      <c r="H1788" t="str">
        <f>CONCATENATE(Prequal[[#This Row],[CITY]], ", ",Prequal[[#This Row],[STATE]])</f>
        <v>Jacksonville, IL</v>
      </c>
    </row>
    <row r="1789" spans="2:8" x14ac:dyDescent="0.2">
      <c r="B1789" s="31" t="s">
        <v>192</v>
      </c>
      <c r="C1789" s="32" t="s">
        <v>969</v>
      </c>
      <c r="D1789" s="33" t="s">
        <v>32</v>
      </c>
      <c r="E1789" s="30" t="s">
        <v>383</v>
      </c>
      <c r="F1789" s="32" t="s">
        <v>356</v>
      </c>
      <c r="G1789" s="30" t="s">
        <v>837</v>
      </c>
      <c r="H1789" t="str">
        <f>CONCATENATE(Prequal[[#This Row],[CITY]], ", ",Prequal[[#This Row],[STATE]])</f>
        <v>Jacksonville, IL</v>
      </c>
    </row>
    <row r="1790" spans="2:8" x14ac:dyDescent="0.2">
      <c r="B1790" s="31" t="s">
        <v>193</v>
      </c>
      <c r="C1790" s="32" t="s">
        <v>970</v>
      </c>
      <c r="D1790" s="33" t="s">
        <v>10</v>
      </c>
      <c r="E1790" s="30" t="s">
        <v>442</v>
      </c>
      <c r="F1790" s="32" t="s">
        <v>356</v>
      </c>
      <c r="G1790" s="30" t="s">
        <v>675</v>
      </c>
      <c r="H1790" t="str">
        <f>CONCATENATE(Prequal[[#This Row],[CITY]], ", ",Prequal[[#This Row],[STATE]])</f>
        <v>Wheeling, IL</v>
      </c>
    </row>
    <row r="1791" spans="2:8" x14ac:dyDescent="0.2">
      <c r="B1791" s="27" t="s">
        <v>193</v>
      </c>
      <c r="C1791" s="28" t="s">
        <v>970</v>
      </c>
      <c r="D1791" s="29" t="s">
        <v>107</v>
      </c>
      <c r="E1791" s="30" t="s">
        <v>442</v>
      </c>
      <c r="F1791" s="28" t="s">
        <v>356</v>
      </c>
      <c r="G1791" s="30" t="s">
        <v>675</v>
      </c>
      <c r="H1791" t="str">
        <f>CONCATENATE(Prequal[[#This Row],[CITY]], ", ",Prequal[[#This Row],[STATE]])</f>
        <v>Wheeling, IL</v>
      </c>
    </row>
    <row r="1792" spans="2:8" x14ac:dyDescent="0.2">
      <c r="B1792" s="27" t="s">
        <v>193</v>
      </c>
      <c r="C1792" s="28" t="s">
        <v>970</v>
      </c>
      <c r="D1792" s="29" t="s">
        <v>108</v>
      </c>
      <c r="E1792" s="30" t="s">
        <v>442</v>
      </c>
      <c r="F1792" s="28" t="s">
        <v>356</v>
      </c>
      <c r="G1792" s="30" t="s">
        <v>675</v>
      </c>
      <c r="H1792" t="str">
        <f>CONCATENATE(Prequal[[#This Row],[CITY]], ", ",Prequal[[#This Row],[STATE]])</f>
        <v>Wheeling, IL</v>
      </c>
    </row>
    <row r="1793" spans="2:8" x14ac:dyDescent="0.2">
      <c r="B1793" s="27" t="s">
        <v>194</v>
      </c>
      <c r="C1793" s="28" t="s">
        <v>970</v>
      </c>
      <c r="D1793" s="29" t="s">
        <v>39</v>
      </c>
      <c r="E1793" s="30" t="s">
        <v>402</v>
      </c>
      <c r="F1793" s="28" t="s">
        <v>356</v>
      </c>
      <c r="G1793" s="30" t="s">
        <v>676</v>
      </c>
      <c r="H1793" t="str">
        <f>CONCATENATE(Prequal[[#This Row],[CITY]], ", ",Prequal[[#This Row],[STATE]])</f>
        <v>Naperville, IL</v>
      </c>
    </row>
    <row r="1794" spans="2:8" x14ac:dyDescent="0.2">
      <c r="B1794" s="27" t="s">
        <v>872</v>
      </c>
      <c r="C1794" s="28" t="s">
        <v>969</v>
      </c>
      <c r="D1794" s="29" t="s">
        <v>36</v>
      </c>
      <c r="E1794" s="30" t="s">
        <v>416</v>
      </c>
      <c r="F1794" s="28" t="s">
        <v>356</v>
      </c>
      <c r="G1794" s="30" t="s">
        <v>873</v>
      </c>
      <c r="H1794" t="str">
        <f>CONCATENATE(Prequal[[#This Row],[CITY]], ", ",Prequal[[#This Row],[STATE]])</f>
        <v>Rockford, IL</v>
      </c>
    </row>
    <row r="1795" spans="2:8" x14ac:dyDescent="0.2">
      <c r="B1795" s="27" t="s">
        <v>872</v>
      </c>
      <c r="C1795" s="28" t="s">
        <v>969</v>
      </c>
      <c r="D1795" s="29" t="s">
        <v>46</v>
      </c>
      <c r="E1795" s="30" t="s">
        <v>416</v>
      </c>
      <c r="F1795" s="28" t="s">
        <v>356</v>
      </c>
      <c r="G1795" s="30" t="s">
        <v>873</v>
      </c>
      <c r="H1795" t="str">
        <f>CONCATENATE(Prequal[[#This Row],[CITY]], ", ",Prequal[[#This Row],[STATE]])</f>
        <v>Rockford, IL</v>
      </c>
    </row>
    <row r="1796" spans="2:8" x14ac:dyDescent="0.2">
      <c r="B1796" s="27" t="s">
        <v>872</v>
      </c>
      <c r="C1796" s="28" t="s">
        <v>969</v>
      </c>
      <c r="D1796" s="29" t="s">
        <v>47</v>
      </c>
      <c r="E1796" s="30" t="s">
        <v>416</v>
      </c>
      <c r="F1796" s="28" t="s">
        <v>356</v>
      </c>
      <c r="G1796" s="30" t="s">
        <v>873</v>
      </c>
      <c r="H1796" t="str">
        <f>CONCATENATE(Prequal[[#This Row],[CITY]], ", ",Prequal[[#This Row],[STATE]])</f>
        <v>Rockford, IL</v>
      </c>
    </row>
    <row r="1797" spans="2:8" x14ac:dyDescent="0.2">
      <c r="B1797" s="27" t="s">
        <v>872</v>
      </c>
      <c r="C1797" s="28" t="s">
        <v>969</v>
      </c>
      <c r="D1797" s="29" t="s">
        <v>48</v>
      </c>
      <c r="E1797" s="30" t="s">
        <v>416</v>
      </c>
      <c r="F1797" s="28" t="s">
        <v>356</v>
      </c>
      <c r="G1797" s="30" t="s">
        <v>873</v>
      </c>
      <c r="H1797" t="str">
        <f>CONCATENATE(Prequal[[#This Row],[CITY]], ", ",Prequal[[#This Row],[STATE]])</f>
        <v>Rockford, IL</v>
      </c>
    </row>
    <row r="1798" spans="2:8" x14ac:dyDescent="0.2">
      <c r="B1798" s="27" t="s">
        <v>872</v>
      </c>
      <c r="C1798" s="28" t="s">
        <v>969</v>
      </c>
      <c r="D1798" s="29" t="s">
        <v>4</v>
      </c>
      <c r="E1798" s="30" t="s">
        <v>416</v>
      </c>
      <c r="F1798" s="28" t="s">
        <v>356</v>
      </c>
      <c r="G1798" s="30" t="s">
        <v>873</v>
      </c>
      <c r="H1798" t="str">
        <f>CONCATENATE(Prequal[[#This Row],[CITY]], ", ",Prequal[[#This Row],[STATE]])</f>
        <v>Rockford, IL</v>
      </c>
    </row>
    <row r="1799" spans="2:8" x14ac:dyDescent="0.2">
      <c r="B1799" s="27" t="s">
        <v>872</v>
      </c>
      <c r="C1799" s="28" t="s">
        <v>969</v>
      </c>
      <c r="D1799" s="29" t="s">
        <v>5</v>
      </c>
      <c r="E1799" s="30" t="s">
        <v>416</v>
      </c>
      <c r="F1799" s="28" t="s">
        <v>356</v>
      </c>
      <c r="G1799" s="30" t="s">
        <v>873</v>
      </c>
      <c r="H1799" t="str">
        <f>CONCATENATE(Prequal[[#This Row],[CITY]], ", ",Prequal[[#This Row],[STATE]])</f>
        <v>Rockford, IL</v>
      </c>
    </row>
    <row r="1800" spans="2:8" x14ac:dyDescent="0.2">
      <c r="B1800" s="27" t="s">
        <v>872</v>
      </c>
      <c r="C1800" s="28" t="s">
        <v>969</v>
      </c>
      <c r="D1800" s="29" t="s">
        <v>6</v>
      </c>
      <c r="E1800" s="30" t="s">
        <v>416</v>
      </c>
      <c r="F1800" s="28" t="s">
        <v>356</v>
      </c>
      <c r="G1800" s="30" t="s">
        <v>873</v>
      </c>
      <c r="H1800" t="str">
        <f>CONCATENATE(Prequal[[#This Row],[CITY]], ", ",Prequal[[#This Row],[STATE]])</f>
        <v>Rockford, IL</v>
      </c>
    </row>
    <row r="1801" spans="2:8" x14ac:dyDescent="0.2">
      <c r="B1801" s="27" t="s">
        <v>872</v>
      </c>
      <c r="C1801" s="28" t="s">
        <v>969</v>
      </c>
      <c r="D1801" s="29" t="s">
        <v>7</v>
      </c>
      <c r="E1801" s="30" t="s">
        <v>416</v>
      </c>
      <c r="F1801" s="28" t="s">
        <v>356</v>
      </c>
      <c r="G1801" s="30" t="s">
        <v>873</v>
      </c>
      <c r="H1801" t="str">
        <f>CONCATENATE(Prequal[[#This Row],[CITY]], ", ",Prequal[[#This Row],[STATE]])</f>
        <v>Rockford, IL</v>
      </c>
    </row>
    <row r="1802" spans="2:8" x14ac:dyDescent="0.2">
      <c r="B1802" s="27" t="s">
        <v>872</v>
      </c>
      <c r="C1802" s="28" t="s">
        <v>969</v>
      </c>
      <c r="D1802" s="29" t="s">
        <v>8</v>
      </c>
      <c r="E1802" s="30" t="s">
        <v>416</v>
      </c>
      <c r="F1802" s="28" t="s">
        <v>356</v>
      </c>
      <c r="G1802" s="30" t="s">
        <v>873</v>
      </c>
      <c r="H1802" t="str">
        <f>CONCATENATE(Prequal[[#This Row],[CITY]], ", ",Prequal[[#This Row],[STATE]])</f>
        <v>Rockford, IL</v>
      </c>
    </row>
    <row r="1803" spans="2:8" x14ac:dyDescent="0.2">
      <c r="B1803" s="27" t="s">
        <v>872</v>
      </c>
      <c r="C1803" s="28" t="s">
        <v>969</v>
      </c>
      <c r="D1803" s="29" t="s">
        <v>24</v>
      </c>
      <c r="E1803" s="30" t="s">
        <v>416</v>
      </c>
      <c r="F1803" s="28" t="s">
        <v>356</v>
      </c>
      <c r="G1803" s="30" t="s">
        <v>873</v>
      </c>
      <c r="H1803" t="str">
        <f>CONCATENATE(Prequal[[#This Row],[CITY]], ", ",Prequal[[#This Row],[STATE]])</f>
        <v>Rockford, IL</v>
      </c>
    </row>
    <row r="1804" spans="2:8" x14ac:dyDescent="0.2">
      <c r="B1804" s="27" t="s">
        <v>872</v>
      </c>
      <c r="C1804" s="28" t="s">
        <v>969</v>
      </c>
      <c r="D1804" s="29" t="s">
        <v>25</v>
      </c>
      <c r="E1804" s="30" t="s">
        <v>416</v>
      </c>
      <c r="F1804" s="28" t="s">
        <v>356</v>
      </c>
      <c r="G1804" s="30" t="s">
        <v>873</v>
      </c>
      <c r="H1804" t="str">
        <f>CONCATENATE(Prequal[[#This Row],[CITY]], ", ",Prequal[[#This Row],[STATE]])</f>
        <v>Rockford, IL</v>
      </c>
    </row>
    <row r="1805" spans="2:8" x14ac:dyDescent="0.2">
      <c r="B1805" s="27" t="s">
        <v>872</v>
      </c>
      <c r="C1805" s="28" t="s">
        <v>969</v>
      </c>
      <c r="D1805" s="29" t="s">
        <v>9</v>
      </c>
      <c r="E1805" s="30" t="s">
        <v>416</v>
      </c>
      <c r="F1805" s="28" t="s">
        <v>356</v>
      </c>
      <c r="G1805" s="30" t="s">
        <v>873</v>
      </c>
      <c r="H1805" t="str">
        <f>CONCATENATE(Prequal[[#This Row],[CITY]], ", ",Prequal[[#This Row],[STATE]])</f>
        <v>Rockford, IL</v>
      </c>
    </row>
    <row r="1806" spans="2:8" x14ac:dyDescent="0.2">
      <c r="B1806" s="27" t="s">
        <v>872</v>
      </c>
      <c r="C1806" s="28" t="s">
        <v>969</v>
      </c>
      <c r="D1806" s="29" t="s">
        <v>49</v>
      </c>
      <c r="E1806" s="30" t="s">
        <v>416</v>
      </c>
      <c r="F1806" s="28" t="s">
        <v>356</v>
      </c>
      <c r="G1806" s="30" t="s">
        <v>873</v>
      </c>
      <c r="H1806" t="str">
        <f>CONCATENATE(Prequal[[#This Row],[CITY]], ", ",Prequal[[#This Row],[STATE]])</f>
        <v>Rockford, IL</v>
      </c>
    </row>
    <row r="1807" spans="2:8" x14ac:dyDescent="0.2">
      <c r="B1807" s="27" t="s">
        <v>872</v>
      </c>
      <c r="C1807" s="28" t="s">
        <v>969</v>
      </c>
      <c r="D1807" s="29" t="s">
        <v>27</v>
      </c>
      <c r="E1807" s="30" t="s">
        <v>416</v>
      </c>
      <c r="F1807" s="28" t="s">
        <v>356</v>
      </c>
      <c r="G1807" s="30" t="s">
        <v>873</v>
      </c>
      <c r="H1807" t="str">
        <f>CONCATENATE(Prequal[[#This Row],[CITY]], ", ",Prequal[[#This Row],[STATE]])</f>
        <v>Rockford, IL</v>
      </c>
    </row>
    <row r="1808" spans="2:8" x14ac:dyDescent="0.2">
      <c r="B1808" s="27" t="s">
        <v>872</v>
      </c>
      <c r="C1808" s="28" t="s">
        <v>969</v>
      </c>
      <c r="D1808" s="29" t="s">
        <v>10</v>
      </c>
      <c r="E1808" s="30" t="s">
        <v>416</v>
      </c>
      <c r="F1808" s="28" t="s">
        <v>356</v>
      </c>
      <c r="G1808" s="30" t="s">
        <v>873</v>
      </c>
      <c r="H1808" t="str">
        <f>CONCATENATE(Prequal[[#This Row],[CITY]], ", ",Prequal[[#This Row],[STATE]])</f>
        <v>Rockford, IL</v>
      </c>
    </row>
    <row r="1809" spans="2:8" x14ac:dyDescent="0.2">
      <c r="B1809" s="27" t="s">
        <v>872</v>
      </c>
      <c r="C1809" s="28" t="s">
        <v>969</v>
      </c>
      <c r="D1809" s="29" t="s">
        <v>21</v>
      </c>
      <c r="E1809" s="30" t="s">
        <v>416</v>
      </c>
      <c r="F1809" s="28" t="s">
        <v>356</v>
      </c>
      <c r="G1809" s="30" t="s">
        <v>873</v>
      </c>
      <c r="H1809" t="str">
        <f>CONCATENATE(Prequal[[#This Row],[CITY]], ", ",Prequal[[#This Row],[STATE]])</f>
        <v>Rockford, IL</v>
      </c>
    </row>
    <row r="1810" spans="2:8" x14ac:dyDescent="0.2">
      <c r="B1810" s="27" t="s">
        <v>872</v>
      </c>
      <c r="C1810" s="28" t="s">
        <v>969</v>
      </c>
      <c r="D1810" s="29" t="s">
        <v>11</v>
      </c>
      <c r="E1810" s="30" t="s">
        <v>416</v>
      </c>
      <c r="F1810" s="28" t="s">
        <v>356</v>
      </c>
      <c r="G1810" s="30" t="s">
        <v>873</v>
      </c>
      <c r="H1810" t="str">
        <f>CONCATENATE(Prequal[[#This Row],[CITY]], ", ",Prequal[[#This Row],[STATE]])</f>
        <v>Rockford, IL</v>
      </c>
    </row>
    <row r="1811" spans="2:8" x14ac:dyDescent="0.2">
      <c r="B1811" s="27" t="s">
        <v>872</v>
      </c>
      <c r="C1811" s="28" t="s">
        <v>969</v>
      </c>
      <c r="D1811" s="29" t="s">
        <v>22</v>
      </c>
      <c r="E1811" s="30" t="s">
        <v>416</v>
      </c>
      <c r="F1811" s="28" t="s">
        <v>356</v>
      </c>
      <c r="G1811" s="30" t="s">
        <v>873</v>
      </c>
      <c r="H1811" t="str">
        <f>CONCATENATE(Prequal[[#This Row],[CITY]], ", ",Prequal[[#This Row],[STATE]])</f>
        <v>Rockford, IL</v>
      </c>
    </row>
    <row r="1812" spans="2:8" x14ac:dyDescent="0.2">
      <c r="B1812" s="27" t="s">
        <v>872</v>
      </c>
      <c r="C1812" s="28" t="s">
        <v>969</v>
      </c>
      <c r="D1812" s="29" t="s">
        <v>12</v>
      </c>
      <c r="E1812" s="30" t="s">
        <v>416</v>
      </c>
      <c r="F1812" s="28" t="s">
        <v>356</v>
      </c>
      <c r="G1812" s="30" t="s">
        <v>873</v>
      </c>
      <c r="H1812" t="str">
        <f>CONCATENATE(Prequal[[#This Row],[CITY]], ", ",Prequal[[#This Row],[STATE]])</f>
        <v>Rockford, IL</v>
      </c>
    </row>
    <row r="1813" spans="2:8" x14ac:dyDescent="0.2">
      <c r="B1813" s="27" t="s">
        <v>872</v>
      </c>
      <c r="C1813" s="28" t="s">
        <v>969</v>
      </c>
      <c r="D1813" s="29" t="s">
        <v>28</v>
      </c>
      <c r="E1813" s="30" t="s">
        <v>416</v>
      </c>
      <c r="F1813" s="28" t="s">
        <v>356</v>
      </c>
      <c r="G1813" s="30" t="s">
        <v>873</v>
      </c>
      <c r="H1813" t="str">
        <f>CONCATENATE(Prequal[[#This Row],[CITY]], ", ",Prequal[[#This Row],[STATE]])</f>
        <v>Rockford, IL</v>
      </c>
    </row>
    <row r="1814" spans="2:8" x14ac:dyDescent="0.2">
      <c r="B1814" s="27" t="s">
        <v>872</v>
      </c>
      <c r="C1814" s="28" t="s">
        <v>969</v>
      </c>
      <c r="D1814" s="29" t="s">
        <v>29</v>
      </c>
      <c r="E1814" s="30" t="s">
        <v>416</v>
      </c>
      <c r="F1814" s="28" t="s">
        <v>356</v>
      </c>
      <c r="G1814" s="30" t="s">
        <v>873</v>
      </c>
      <c r="H1814" t="str">
        <f>CONCATENATE(Prequal[[#This Row],[CITY]], ", ",Prequal[[#This Row],[STATE]])</f>
        <v>Rockford, IL</v>
      </c>
    </row>
    <row r="1815" spans="2:8" x14ac:dyDescent="0.2">
      <c r="B1815" s="27" t="s">
        <v>872</v>
      </c>
      <c r="C1815" s="28" t="s">
        <v>969</v>
      </c>
      <c r="D1815" s="29" t="s">
        <v>14</v>
      </c>
      <c r="E1815" s="30" t="s">
        <v>416</v>
      </c>
      <c r="F1815" s="28" t="s">
        <v>356</v>
      </c>
      <c r="G1815" s="30" t="s">
        <v>873</v>
      </c>
      <c r="H1815" t="str">
        <f>CONCATENATE(Prequal[[#This Row],[CITY]], ", ",Prequal[[#This Row],[STATE]])</f>
        <v>Rockford, IL</v>
      </c>
    </row>
    <row r="1816" spans="2:8" x14ac:dyDescent="0.2">
      <c r="B1816" s="27" t="s">
        <v>872</v>
      </c>
      <c r="C1816" s="28" t="s">
        <v>969</v>
      </c>
      <c r="D1816" s="29" t="s">
        <v>15</v>
      </c>
      <c r="E1816" s="30" t="s">
        <v>416</v>
      </c>
      <c r="F1816" s="28" t="s">
        <v>356</v>
      </c>
      <c r="G1816" s="30" t="s">
        <v>873</v>
      </c>
      <c r="H1816" t="str">
        <f>CONCATENATE(Prequal[[#This Row],[CITY]], ", ",Prequal[[#This Row],[STATE]])</f>
        <v>Rockford, IL</v>
      </c>
    </row>
    <row r="1817" spans="2:8" x14ac:dyDescent="0.2">
      <c r="B1817" s="27" t="s">
        <v>872</v>
      </c>
      <c r="C1817" s="28" t="s">
        <v>969</v>
      </c>
      <c r="D1817" s="29" t="s">
        <v>30</v>
      </c>
      <c r="E1817" s="30" t="s">
        <v>416</v>
      </c>
      <c r="F1817" s="28" t="s">
        <v>356</v>
      </c>
      <c r="G1817" s="30" t="s">
        <v>873</v>
      </c>
      <c r="H1817" t="str">
        <f>CONCATENATE(Prequal[[#This Row],[CITY]], ", ",Prequal[[#This Row],[STATE]])</f>
        <v>Rockford, IL</v>
      </c>
    </row>
    <row r="1818" spans="2:8" x14ac:dyDescent="0.2">
      <c r="B1818" s="27" t="s">
        <v>872</v>
      </c>
      <c r="C1818" s="28" t="s">
        <v>969</v>
      </c>
      <c r="D1818" s="29" t="s">
        <v>31</v>
      </c>
      <c r="E1818" s="30" t="s">
        <v>416</v>
      </c>
      <c r="F1818" s="28" t="s">
        <v>356</v>
      </c>
      <c r="G1818" s="30" t="s">
        <v>873</v>
      </c>
      <c r="H1818" t="str">
        <f>CONCATENATE(Prequal[[#This Row],[CITY]], ", ",Prequal[[#This Row],[STATE]])</f>
        <v>Rockford, IL</v>
      </c>
    </row>
    <row r="1819" spans="2:8" x14ac:dyDescent="0.2">
      <c r="B1819" s="27" t="s">
        <v>872</v>
      </c>
      <c r="C1819" s="28" t="s">
        <v>969</v>
      </c>
      <c r="D1819" s="29" t="s">
        <v>32</v>
      </c>
      <c r="E1819" s="30" t="s">
        <v>416</v>
      </c>
      <c r="F1819" s="28" t="s">
        <v>356</v>
      </c>
      <c r="G1819" s="30" t="s">
        <v>873</v>
      </c>
      <c r="H1819" t="str">
        <f>CONCATENATE(Prequal[[#This Row],[CITY]], ", ",Prequal[[#This Row],[STATE]])</f>
        <v>Rockford, IL</v>
      </c>
    </row>
    <row r="1820" spans="2:8" x14ac:dyDescent="0.2">
      <c r="B1820" s="27" t="s">
        <v>909</v>
      </c>
      <c r="C1820" s="28" t="s">
        <v>970</v>
      </c>
      <c r="D1820" s="29" t="s">
        <v>11</v>
      </c>
      <c r="E1820" s="30" t="s">
        <v>910</v>
      </c>
      <c r="F1820" s="28" t="s">
        <v>356</v>
      </c>
      <c r="G1820" s="30" t="s">
        <v>911</v>
      </c>
      <c r="H1820" t="str">
        <f>CONCATENATE(Prequal[[#This Row],[CITY]], ", ",Prequal[[#This Row],[STATE]])</f>
        <v>Tower Lakes, IL</v>
      </c>
    </row>
    <row r="1821" spans="2:8" x14ac:dyDescent="0.2">
      <c r="B1821" s="27" t="s">
        <v>1055</v>
      </c>
      <c r="C1821" s="28" t="s">
        <v>969</v>
      </c>
      <c r="D1821" s="29" t="s">
        <v>993</v>
      </c>
      <c r="E1821" s="30" t="s">
        <v>1056</v>
      </c>
      <c r="F1821" s="28" t="s">
        <v>588</v>
      </c>
      <c r="G1821" s="30" t="s">
        <v>1057</v>
      </c>
      <c r="H1821" t="str">
        <f>CONCATENATE(Prequal[[#This Row],[CITY]], ", ",Prequal[[#This Row],[STATE]])</f>
        <v>Woburn, MA</v>
      </c>
    </row>
    <row r="1822" spans="2:8" x14ac:dyDescent="0.2">
      <c r="B1822" s="27" t="s">
        <v>195</v>
      </c>
      <c r="C1822" s="28" t="s">
        <v>970</v>
      </c>
      <c r="D1822" s="29" t="s">
        <v>4</v>
      </c>
      <c r="E1822" s="30" t="s">
        <v>947</v>
      </c>
      <c r="F1822" s="28" t="s">
        <v>356</v>
      </c>
      <c r="G1822" s="30" t="s">
        <v>859</v>
      </c>
      <c r="H1822" t="str">
        <f>CONCATENATE(Prequal[[#This Row],[CITY]], ", ",Prequal[[#This Row],[STATE]])</f>
        <v>Chicago, IL</v>
      </c>
    </row>
    <row r="1823" spans="2:8" x14ac:dyDescent="0.2">
      <c r="B1823" s="27" t="s">
        <v>195</v>
      </c>
      <c r="C1823" s="28" t="s">
        <v>970</v>
      </c>
      <c r="D1823" s="29" t="s">
        <v>5</v>
      </c>
      <c r="E1823" s="30" t="s">
        <v>947</v>
      </c>
      <c r="F1823" s="28" t="s">
        <v>356</v>
      </c>
      <c r="G1823" s="30" t="s">
        <v>859</v>
      </c>
      <c r="H1823" t="str">
        <f>CONCATENATE(Prequal[[#This Row],[CITY]], ", ",Prequal[[#This Row],[STATE]])</f>
        <v>Chicago, IL</v>
      </c>
    </row>
    <row r="1824" spans="2:8" x14ac:dyDescent="0.2">
      <c r="B1824" s="27" t="s">
        <v>195</v>
      </c>
      <c r="C1824" s="28" t="s">
        <v>970</v>
      </c>
      <c r="D1824" s="29" t="s">
        <v>7</v>
      </c>
      <c r="E1824" s="30" t="s">
        <v>947</v>
      </c>
      <c r="F1824" s="28" t="s">
        <v>356</v>
      </c>
      <c r="G1824" s="30" t="s">
        <v>859</v>
      </c>
      <c r="H1824" t="str">
        <f>CONCATENATE(Prequal[[#This Row],[CITY]], ", ",Prequal[[#This Row],[STATE]])</f>
        <v>Chicago, IL</v>
      </c>
    </row>
    <row r="1825" spans="2:8" x14ac:dyDescent="0.2">
      <c r="B1825" s="27" t="s">
        <v>195</v>
      </c>
      <c r="C1825" s="28" t="s">
        <v>970</v>
      </c>
      <c r="D1825" s="29" t="s">
        <v>8</v>
      </c>
      <c r="E1825" s="30" t="s">
        <v>947</v>
      </c>
      <c r="F1825" s="28" t="s">
        <v>356</v>
      </c>
      <c r="G1825" s="30" t="s">
        <v>859</v>
      </c>
      <c r="H1825" t="str">
        <f>CONCATENATE(Prequal[[#This Row],[CITY]], ", ",Prequal[[#This Row],[STATE]])</f>
        <v>Chicago, IL</v>
      </c>
    </row>
    <row r="1826" spans="2:8" x14ac:dyDescent="0.2">
      <c r="B1826" s="27" t="s">
        <v>195</v>
      </c>
      <c r="C1826" s="28" t="s">
        <v>970</v>
      </c>
      <c r="D1826" s="29" t="s">
        <v>24</v>
      </c>
      <c r="E1826" s="30" t="s">
        <v>947</v>
      </c>
      <c r="F1826" s="28" t="s">
        <v>356</v>
      </c>
      <c r="G1826" s="30" t="s">
        <v>859</v>
      </c>
      <c r="H1826" t="str">
        <f>CONCATENATE(Prequal[[#This Row],[CITY]], ", ",Prequal[[#This Row],[STATE]])</f>
        <v>Chicago, IL</v>
      </c>
    </row>
    <row r="1827" spans="2:8" x14ac:dyDescent="0.2">
      <c r="B1827" s="31" t="s">
        <v>195</v>
      </c>
      <c r="C1827" s="32" t="s">
        <v>970</v>
      </c>
      <c r="D1827" s="33" t="s">
        <v>25</v>
      </c>
      <c r="E1827" s="30" t="s">
        <v>947</v>
      </c>
      <c r="F1827" s="32" t="s">
        <v>356</v>
      </c>
      <c r="G1827" s="30" t="s">
        <v>859</v>
      </c>
      <c r="H1827" t="str">
        <f>CONCATENATE(Prequal[[#This Row],[CITY]], ", ",Prequal[[#This Row],[STATE]])</f>
        <v>Chicago, IL</v>
      </c>
    </row>
    <row r="1828" spans="2:8" x14ac:dyDescent="0.2">
      <c r="B1828" s="27" t="s">
        <v>195</v>
      </c>
      <c r="C1828" s="28" t="s">
        <v>970</v>
      </c>
      <c r="D1828" s="29" t="s">
        <v>9</v>
      </c>
      <c r="E1828" s="30" t="s">
        <v>947</v>
      </c>
      <c r="F1828" s="28" t="s">
        <v>356</v>
      </c>
      <c r="G1828" s="30" t="s">
        <v>859</v>
      </c>
      <c r="H1828" t="str">
        <f>CONCATENATE(Prequal[[#This Row],[CITY]], ", ",Prequal[[#This Row],[STATE]])</f>
        <v>Chicago, IL</v>
      </c>
    </row>
    <row r="1829" spans="2:8" x14ac:dyDescent="0.2">
      <c r="B1829" s="27" t="s">
        <v>195</v>
      </c>
      <c r="C1829" s="28" t="s">
        <v>970</v>
      </c>
      <c r="D1829" s="29" t="s">
        <v>27</v>
      </c>
      <c r="E1829" s="30" t="s">
        <v>947</v>
      </c>
      <c r="F1829" s="28" t="s">
        <v>356</v>
      </c>
      <c r="G1829" s="30" t="s">
        <v>859</v>
      </c>
      <c r="H1829" t="str">
        <f>CONCATENATE(Prequal[[#This Row],[CITY]], ", ",Prequal[[#This Row],[STATE]])</f>
        <v>Chicago, IL</v>
      </c>
    </row>
    <row r="1830" spans="2:8" x14ac:dyDescent="0.2">
      <c r="B1830" s="27" t="s">
        <v>195</v>
      </c>
      <c r="C1830" s="28" t="s">
        <v>970</v>
      </c>
      <c r="D1830" s="29" t="s">
        <v>10</v>
      </c>
      <c r="E1830" s="30" t="s">
        <v>947</v>
      </c>
      <c r="F1830" s="28" t="s">
        <v>356</v>
      </c>
      <c r="G1830" s="30" t="s">
        <v>859</v>
      </c>
      <c r="H1830" t="str">
        <f>CONCATENATE(Prequal[[#This Row],[CITY]], ", ",Prequal[[#This Row],[STATE]])</f>
        <v>Chicago, IL</v>
      </c>
    </row>
    <row r="1831" spans="2:8" x14ac:dyDescent="0.2">
      <c r="B1831" s="27" t="s">
        <v>195</v>
      </c>
      <c r="C1831" s="28" t="s">
        <v>970</v>
      </c>
      <c r="D1831" s="29" t="s">
        <v>12</v>
      </c>
      <c r="E1831" s="30" t="s">
        <v>947</v>
      </c>
      <c r="F1831" s="28" t="s">
        <v>356</v>
      </c>
      <c r="G1831" s="30" t="s">
        <v>859</v>
      </c>
      <c r="H1831" t="str">
        <f>CONCATENATE(Prequal[[#This Row],[CITY]], ", ",Prequal[[#This Row],[STATE]])</f>
        <v>Chicago, IL</v>
      </c>
    </row>
    <row r="1832" spans="2:8" x14ac:dyDescent="0.2">
      <c r="B1832" s="27" t="s">
        <v>195</v>
      </c>
      <c r="C1832" s="28" t="s">
        <v>970</v>
      </c>
      <c r="D1832" s="29" t="s">
        <v>37</v>
      </c>
      <c r="E1832" s="30" t="s">
        <v>947</v>
      </c>
      <c r="F1832" s="28" t="s">
        <v>356</v>
      </c>
      <c r="G1832" s="30" t="s">
        <v>859</v>
      </c>
      <c r="H1832" t="str">
        <f>CONCATENATE(Prequal[[#This Row],[CITY]], ", ",Prequal[[#This Row],[STATE]])</f>
        <v>Chicago, IL</v>
      </c>
    </row>
    <row r="1833" spans="2:8" x14ac:dyDescent="0.2">
      <c r="B1833" s="27" t="s">
        <v>195</v>
      </c>
      <c r="C1833" s="28" t="s">
        <v>970</v>
      </c>
      <c r="D1833" s="29" t="s">
        <v>13</v>
      </c>
      <c r="E1833" s="30" t="s">
        <v>947</v>
      </c>
      <c r="F1833" s="28" t="s">
        <v>356</v>
      </c>
      <c r="G1833" s="30" t="s">
        <v>859</v>
      </c>
      <c r="H1833" t="str">
        <f>CONCATENATE(Prequal[[#This Row],[CITY]], ", ",Prequal[[#This Row],[STATE]])</f>
        <v>Chicago, IL</v>
      </c>
    </row>
    <row r="1834" spans="2:8" x14ac:dyDescent="0.2">
      <c r="B1834" s="27" t="s">
        <v>195</v>
      </c>
      <c r="C1834" s="28" t="s">
        <v>970</v>
      </c>
      <c r="D1834" s="29" t="s">
        <v>14</v>
      </c>
      <c r="E1834" s="30" t="s">
        <v>947</v>
      </c>
      <c r="F1834" s="28" t="s">
        <v>356</v>
      </c>
      <c r="G1834" s="30" t="s">
        <v>859</v>
      </c>
      <c r="H1834" t="str">
        <f>CONCATENATE(Prequal[[#This Row],[CITY]], ", ",Prequal[[#This Row],[STATE]])</f>
        <v>Chicago, IL</v>
      </c>
    </row>
    <row r="1835" spans="2:8" x14ac:dyDescent="0.2">
      <c r="B1835" s="27" t="s">
        <v>195</v>
      </c>
      <c r="C1835" s="28" t="s">
        <v>970</v>
      </c>
      <c r="D1835" s="29" t="s">
        <v>15</v>
      </c>
      <c r="E1835" s="30" t="s">
        <v>947</v>
      </c>
      <c r="F1835" s="28" t="s">
        <v>356</v>
      </c>
      <c r="G1835" s="30" t="s">
        <v>859</v>
      </c>
      <c r="H1835" t="str">
        <f>CONCATENATE(Prequal[[#This Row],[CITY]], ", ",Prequal[[#This Row],[STATE]])</f>
        <v>Chicago, IL</v>
      </c>
    </row>
    <row r="1836" spans="2:8" x14ac:dyDescent="0.2">
      <c r="B1836" s="27" t="s">
        <v>195</v>
      </c>
      <c r="C1836" s="28" t="s">
        <v>970</v>
      </c>
      <c r="D1836" s="29" t="s">
        <v>30</v>
      </c>
      <c r="E1836" s="30" t="s">
        <v>947</v>
      </c>
      <c r="F1836" s="28" t="s">
        <v>356</v>
      </c>
      <c r="G1836" s="30" t="s">
        <v>859</v>
      </c>
      <c r="H1836" t="str">
        <f>CONCATENATE(Prequal[[#This Row],[CITY]], ", ",Prequal[[#This Row],[STATE]])</f>
        <v>Chicago, IL</v>
      </c>
    </row>
    <row r="1837" spans="2:8" x14ac:dyDescent="0.2">
      <c r="B1837" s="27" t="s">
        <v>195</v>
      </c>
      <c r="C1837" s="28" t="s">
        <v>970</v>
      </c>
      <c r="D1837" s="29" t="s">
        <v>31</v>
      </c>
      <c r="E1837" s="30" t="s">
        <v>947</v>
      </c>
      <c r="F1837" s="28" t="s">
        <v>356</v>
      </c>
      <c r="G1837" s="30" t="s">
        <v>859</v>
      </c>
      <c r="H1837" t="str">
        <f>CONCATENATE(Prequal[[#This Row],[CITY]], ", ",Prequal[[#This Row],[STATE]])</f>
        <v>Chicago, IL</v>
      </c>
    </row>
    <row r="1838" spans="2:8" x14ac:dyDescent="0.2">
      <c r="B1838" s="27" t="s">
        <v>195</v>
      </c>
      <c r="C1838" s="28" t="s">
        <v>970</v>
      </c>
      <c r="D1838" s="29" t="s">
        <v>32</v>
      </c>
      <c r="E1838" s="30" t="s">
        <v>947</v>
      </c>
      <c r="F1838" s="28" t="s">
        <v>356</v>
      </c>
      <c r="G1838" s="30" t="s">
        <v>859</v>
      </c>
      <c r="H1838" t="str">
        <f>CONCATENATE(Prequal[[#This Row],[CITY]], ", ",Prequal[[#This Row],[STATE]])</f>
        <v>Chicago, IL</v>
      </c>
    </row>
    <row r="1839" spans="2:8" x14ac:dyDescent="0.2">
      <c r="B1839" s="27" t="s">
        <v>196</v>
      </c>
      <c r="C1839" s="28" t="s">
        <v>970</v>
      </c>
      <c r="D1839" s="29" t="s">
        <v>21</v>
      </c>
      <c r="E1839" s="30" t="s">
        <v>445</v>
      </c>
      <c r="F1839" s="28" t="s">
        <v>356</v>
      </c>
      <c r="G1839" s="30" t="s">
        <v>677</v>
      </c>
      <c r="H1839" t="str">
        <f>CONCATENATE(Prequal[[#This Row],[CITY]], ", ",Prequal[[#This Row],[STATE]])</f>
        <v>Rolling Meadows, IL</v>
      </c>
    </row>
    <row r="1840" spans="2:8" x14ac:dyDescent="0.2">
      <c r="B1840" s="27" t="s">
        <v>838</v>
      </c>
      <c r="C1840" s="28" t="s">
        <v>970</v>
      </c>
      <c r="D1840" s="29" t="s">
        <v>5</v>
      </c>
      <c r="E1840" s="30" t="s">
        <v>368</v>
      </c>
      <c r="F1840" s="28" t="s">
        <v>356</v>
      </c>
      <c r="G1840" s="30" t="s">
        <v>839</v>
      </c>
      <c r="H1840" t="str">
        <f>CONCATENATE(Prequal[[#This Row],[CITY]], ", ",Prequal[[#This Row],[STATE]])</f>
        <v>Lincolnwood, IL</v>
      </c>
    </row>
    <row r="1841" spans="2:8" x14ac:dyDescent="0.2">
      <c r="B1841" s="27" t="s">
        <v>838</v>
      </c>
      <c r="C1841" s="28" t="s">
        <v>970</v>
      </c>
      <c r="D1841" s="29" t="s">
        <v>27</v>
      </c>
      <c r="E1841" s="30" t="s">
        <v>368</v>
      </c>
      <c r="F1841" s="28" t="s">
        <v>356</v>
      </c>
      <c r="G1841" s="30" t="s">
        <v>839</v>
      </c>
      <c r="H1841" t="str">
        <f>CONCATENATE(Prequal[[#This Row],[CITY]], ", ",Prequal[[#This Row],[STATE]])</f>
        <v>Lincolnwood, IL</v>
      </c>
    </row>
    <row r="1842" spans="2:8" x14ac:dyDescent="0.2">
      <c r="B1842" s="27" t="s">
        <v>838</v>
      </c>
      <c r="C1842" s="28" t="s">
        <v>970</v>
      </c>
      <c r="D1842" s="29" t="s">
        <v>10</v>
      </c>
      <c r="E1842" s="30" t="s">
        <v>368</v>
      </c>
      <c r="F1842" s="28" t="s">
        <v>356</v>
      </c>
      <c r="G1842" s="30" t="s">
        <v>839</v>
      </c>
      <c r="H1842" t="str">
        <f>CONCATENATE(Prequal[[#This Row],[CITY]], ", ",Prequal[[#This Row],[STATE]])</f>
        <v>Lincolnwood, IL</v>
      </c>
    </row>
    <row r="1843" spans="2:8" x14ac:dyDescent="0.2">
      <c r="B1843" s="27" t="s">
        <v>838</v>
      </c>
      <c r="C1843" s="28" t="s">
        <v>970</v>
      </c>
      <c r="D1843" s="29" t="s">
        <v>11</v>
      </c>
      <c r="E1843" s="30" t="s">
        <v>368</v>
      </c>
      <c r="F1843" s="28" t="s">
        <v>356</v>
      </c>
      <c r="G1843" s="30" t="s">
        <v>839</v>
      </c>
      <c r="H1843" t="str">
        <f>CONCATENATE(Prequal[[#This Row],[CITY]], ", ",Prequal[[#This Row],[STATE]])</f>
        <v>Lincolnwood, IL</v>
      </c>
    </row>
    <row r="1844" spans="2:8" x14ac:dyDescent="0.2">
      <c r="B1844" s="27" t="s">
        <v>838</v>
      </c>
      <c r="C1844" s="28" t="s">
        <v>970</v>
      </c>
      <c r="D1844" s="29" t="s">
        <v>29</v>
      </c>
      <c r="E1844" s="30" t="s">
        <v>368</v>
      </c>
      <c r="F1844" s="28" t="s">
        <v>356</v>
      </c>
      <c r="G1844" s="30" t="s">
        <v>839</v>
      </c>
      <c r="H1844" t="str">
        <f>CONCATENATE(Prequal[[#This Row],[CITY]], ", ",Prequal[[#This Row],[STATE]])</f>
        <v>Lincolnwood, IL</v>
      </c>
    </row>
    <row r="1845" spans="2:8" x14ac:dyDescent="0.2">
      <c r="B1845" s="27" t="s">
        <v>838</v>
      </c>
      <c r="C1845" s="28" t="s">
        <v>970</v>
      </c>
      <c r="D1845" s="29" t="s">
        <v>13</v>
      </c>
      <c r="E1845" s="30" t="s">
        <v>368</v>
      </c>
      <c r="F1845" s="28" t="s">
        <v>356</v>
      </c>
      <c r="G1845" s="30" t="s">
        <v>839</v>
      </c>
      <c r="H1845" t="str">
        <f>CONCATENATE(Prequal[[#This Row],[CITY]], ", ",Prequal[[#This Row],[STATE]])</f>
        <v>Lincolnwood, IL</v>
      </c>
    </row>
    <row r="1846" spans="2:8" x14ac:dyDescent="0.2">
      <c r="B1846" s="27" t="s">
        <v>838</v>
      </c>
      <c r="C1846" s="28" t="s">
        <v>970</v>
      </c>
      <c r="D1846" s="29" t="s">
        <v>14</v>
      </c>
      <c r="E1846" s="30" t="s">
        <v>368</v>
      </c>
      <c r="F1846" s="28" t="s">
        <v>356</v>
      </c>
      <c r="G1846" s="30" t="s">
        <v>839</v>
      </c>
      <c r="H1846" t="str">
        <f>CONCATENATE(Prequal[[#This Row],[CITY]], ", ",Prequal[[#This Row],[STATE]])</f>
        <v>Lincolnwood, IL</v>
      </c>
    </row>
    <row r="1847" spans="2:8" x14ac:dyDescent="0.2">
      <c r="B1847" s="27" t="s">
        <v>838</v>
      </c>
      <c r="C1847" s="28" t="s">
        <v>970</v>
      </c>
      <c r="D1847" s="29" t="s">
        <v>31</v>
      </c>
      <c r="E1847" s="30" t="s">
        <v>368</v>
      </c>
      <c r="F1847" s="28" t="s">
        <v>356</v>
      </c>
      <c r="G1847" s="30" t="s">
        <v>839</v>
      </c>
      <c r="H1847" t="str">
        <f>CONCATENATE(Prequal[[#This Row],[CITY]], ", ",Prequal[[#This Row],[STATE]])</f>
        <v>Lincolnwood, IL</v>
      </c>
    </row>
    <row r="1848" spans="2:8" x14ac:dyDescent="0.2">
      <c r="B1848" s="27" t="s">
        <v>197</v>
      </c>
      <c r="C1848" s="28" t="s">
        <v>970</v>
      </c>
      <c r="D1848" s="29" t="s">
        <v>35</v>
      </c>
      <c r="E1848" s="30" t="s">
        <v>446</v>
      </c>
      <c r="F1848" s="28" t="s">
        <v>356</v>
      </c>
      <c r="G1848" s="30" t="s">
        <v>678</v>
      </c>
      <c r="H1848" t="str">
        <f>CONCATENATE(Prequal[[#This Row],[CITY]], ", ",Prequal[[#This Row],[STATE]])</f>
        <v>Bolingbrook, IL</v>
      </c>
    </row>
    <row r="1849" spans="2:8" x14ac:dyDescent="0.2">
      <c r="B1849" s="27" t="s">
        <v>197</v>
      </c>
      <c r="C1849" s="28" t="s">
        <v>970</v>
      </c>
      <c r="D1849" s="29" t="s">
        <v>46</v>
      </c>
      <c r="E1849" s="30" t="s">
        <v>446</v>
      </c>
      <c r="F1849" s="28" t="s">
        <v>356</v>
      </c>
      <c r="G1849" s="30" t="s">
        <v>678</v>
      </c>
      <c r="H1849" t="str">
        <f>CONCATENATE(Prequal[[#This Row],[CITY]], ", ",Prequal[[#This Row],[STATE]])</f>
        <v>Bolingbrook, IL</v>
      </c>
    </row>
    <row r="1850" spans="2:8" x14ac:dyDescent="0.2">
      <c r="B1850" s="27" t="s">
        <v>197</v>
      </c>
      <c r="C1850" s="28" t="s">
        <v>970</v>
      </c>
      <c r="D1850" s="29" t="s">
        <v>47</v>
      </c>
      <c r="E1850" s="30" t="s">
        <v>446</v>
      </c>
      <c r="F1850" s="28" t="s">
        <v>356</v>
      </c>
      <c r="G1850" s="30" t="s">
        <v>678</v>
      </c>
      <c r="H1850" t="str">
        <f>CONCATENATE(Prequal[[#This Row],[CITY]], ", ",Prequal[[#This Row],[STATE]])</f>
        <v>Bolingbrook, IL</v>
      </c>
    </row>
    <row r="1851" spans="2:8" x14ac:dyDescent="0.2">
      <c r="B1851" s="27" t="s">
        <v>197</v>
      </c>
      <c r="C1851" s="28" t="s">
        <v>970</v>
      </c>
      <c r="D1851" s="29" t="s">
        <v>48</v>
      </c>
      <c r="E1851" s="30" t="s">
        <v>446</v>
      </c>
      <c r="F1851" s="28" t="s">
        <v>356</v>
      </c>
      <c r="G1851" s="30" t="s">
        <v>678</v>
      </c>
      <c r="H1851" t="str">
        <f>CONCATENATE(Prequal[[#This Row],[CITY]], ", ",Prequal[[#This Row],[STATE]])</f>
        <v>Bolingbrook, IL</v>
      </c>
    </row>
    <row r="1852" spans="2:8" x14ac:dyDescent="0.2">
      <c r="B1852" s="27" t="s">
        <v>197</v>
      </c>
      <c r="C1852" s="28" t="s">
        <v>970</v>
      </c>
      <c r="D1852" s="29" t="s">
        <v>10</v>
      </c>
      <c r="E1852" s="30" t="s">
        <v>446</v>
      </c>
      <c r="F1852" s="28" t="s">
        <v>356</v>
      </c>
      <c r="G1852" s="30" t="s">
        <v>678</v>
      </c>
      <c r="H1852" t="str">
        <f>CONCATENATE(Prequal[[#This Row],[CITY]], ", ",Prequal[[#This Row],[STATE]])</f>
        <v>Bolingbrook, IL</v>
      </c>
    </row>
    <row r="1853" spans="2:8" x14ac:dyDescent="0.2">
      <c r="B1853" s="27" t="s">
        <v>197</v>
      </c>
      <c r="C1853" s="28" t="s">
        <v>970</v>
      </c>
      <c r="D1853" s="29" t="s">
        <v>107</v>
      </c>
      <c r="E1853" s="30" t="s">
        <v>446</v>
      </c>
      <c r="F1853" s="28" t="s">
        <v>356</v>
      </c>
      <c r="G1853" s="30" t="s">
        <v>678</v>
      </c>
      <c r="H1853" t="str">
        <f>CONCATENATE(Prequal[[#This Row],[CITY]], ", ",Prequal[[#This Row],[STATE]])</f>
        <v>Bolingbrook, IL</v>
      </c>
    </row>
    <row r="1854" spans="2:8" x14ac:dyDescent="0.2">
      <c r="B1854" s="27" t="s">
        <v>197</v>
      </c>
      <c r="C1854" s="28" t="s">
        <v>970</v>
      </c>
      <c r="D1854" s="29" t="s">
        <v>108</v>
      </c>
      <c r="E1854" s="30" t="s">
        <v>446</v>
      </c>
      <c r="F1854" s="28" t="s">
        <v>356</v>
      </c>
      <c r="G1854" s="30" t="s">
        <v>678</v>
      </c>
      <c r="H1854" t="str">
        <f>CONCATENATE(Prequal[[#This Row],[CITY]], ", ",Prequal[[#This Row],[STATE]])</f>
        <v>Bolingbrook, IL</v>
      </c>
    </row>
    <row r="1855" spans="2:8" x14ac:dyDescent="0.2">
      <c r="B1855" s="27" t="s">
        <v>198</v>
      </c>
      <c r="C1855" s="28" t="s">
        <v>969</v>
      </c>
      <c r="D1855" s="29" t="s">
        <v>27</v>
      </c>
      <c r="E1855" s="30" t="s">
        <v>828</v>
      </c>
      <c r="F1855" s="28" t="s">
        <v>356</v>
      </c>
      <c r="G1855" s="30" t="s">
        <v>679</v>
      </c>
      <c r="H1855" t="str">
        <f>CONCATENATE(Prequal[[#This Row],[CITY]], ", ",Prequal[[#This Row],[STATE]])</f>
        <v>Geneva, IL</v>
      </c>
    </row>
    <row r="1856" spans="2:8" x14ac:dyDescent="0.2">
      <c r="B1856" s="27" t="s">
        <v>198</v>
      </c>
      <c r="C1856" s="28" t="s">
        <v>969</v>
      </c>
      <c r="D1856" s="29" t="s">
        <v>37</v>
      </c>
      <c r="E1856" s="30" t="s">
        <v>828</v>
      </c>
      <c r="F1856" s="28" t="s">
        <v>356</v>
      </c>
      <c r="G1856" s="30" t="s">
        <v>679</v>
      </c>
      <c r="H1856" t="str">
        <f>CONCATENATE(Prequal[[#This Row],[CITY]], ", ",Prequal[[#This Row],[STATE]])</f>
        <v>Geneva, IL</v>
      </c>
    </row>
    <row r="1857" spans="2:8" x14ac:dyDescent="0.2">
      <c r="B1857" s="27" t="s">
        <v>198</v>
      </c>
      <c r="C1857" s="28" t="s">
        <v>969</v>
      </c>
      <c r="D1857" s="29" t="s">
        <v>13</v>
      </c>
      <c r="E1857" s="30" t="s">
        <v>828</v>
      </c>
      <c r="F1857" s="28" t="s">
        <v>356</v>
      </c>
      <c r="G1857" s="30" t="s">
        <v>679</v>
      </c>
      <c r="H1857" t="str">
        <f>CONCATENATE(Prequal[[#This Row],[CITY]], ", ",Prequal[[#This Row],[STATE]])</f>
        <v>Geneva, IL</v>
      </c>
    </row>
    <row r="1858" spans="2:8" x14ac:dyDescent="0.2">
      <c r="B1858" s="27" t="s">
        <v>198</v>
      </c>
      <c r="C1858" s="28" t="s">
        <v>969</v>
      </c>
      <c r="D1858" s="29" t="s">
        <v>52</v>
      </c>
      <c r="E1858" s="30" t="s">
        <v>828</v>
      </c>
      <c r="F1858" s="28" t="s">
        <v>356</v>
      </c>
      <c r="G1858" s="30" t="s">
        <v>679</v>
      </c>
      <c r="H1858" t="str">
        <f>CONCATENATE(Prequal[[#This Row],[CITY]], ", ",Prequal[[#This Row],[STATE]])</f>
        <v>Geneva, IL</v>
      </c>
    </row>
    <row r="1859" spans="2:8" x14ac:dyDescent="0.2">
      <c r="B1859" s="27" t="s">
        <v>198</v>
      </c>
      <c r="C1859" s="28" t="s">
        <v>969</v>
      </c>
      <c r="D1859" s="29" t="s">
        <v>14</v>
      </c>
      <c r="E1859" s="30" t="s">
        <v>828</v>
      </c>
      <c r="F1859" s="28" t="s">
        <v>356</v>
      </c>
      <c r="G1859" s="30" t="s">
        <v>679</v>
      </c>
      <c r="H1859" t="str">
        <f>CONCATENATE(Prequal[[#This Row],[CITY]], ", ",Prequal[[#This Row],[STATE]])</f>
        <v>Geneva, IL</v>
      </c>
    </row>
    <row r="1860" spans="2:8" x14ac:dyDescent="0.2">
      <c r="B1860" s="27" t="s">
        <v>199</v>
      </c>
      <c r="C1860" s="28" t="s">
        <v>969</v>
      </c>
      <c r="D1860" s="29" t="s">
        <v>10</v>
      </c>
      <c r="E1860" s="30" t="s">
        <v>447</v>
      </c>
      <c r="F1860" s="28" t="s">
        <v>356</v>
      </c>
      <c r="G1860" s="30" t="s">
        <v>680</v>
      </c>
      <c r="H1860" t="str">
        <f>CONCATENATE(Prequal[[#This Row],[CITY]], ", ",Prequal[[#This Row],[STATE]])</f>
        <v>Murphysboro, IL</v>
      </c>
    </row>
    <row r="1861" spans="2:8" x14ac:dyDescent="0.2">
      <c r="B1861" s="27" t="s">
        <v>199</v>
      </c>
      <c r="C1861" s="28" t="s">
        <v>969</v>
      </c>
      <c r="D1861" s="29" t="s">
        <v>21</v>
      </c>
      <c r="E1861" s="30" t="s">
        <v>447</v>
      </c>
      <c r="F1861" s="28" t="s">
        <v>356</v>
      </c>
      <c r="G1861" s="30" t="s">
        <v>680</v>
      </c>
      <c r="H1861" t="str">
        <f>CONCATENATE(Prequal[[#This Row],[CITY]], ", ",Prequal[[#This Row],[STATE]])</f>
        <v>Murphysboro, IL</v>
      </c>
    </row>
    <row r="1862" spans="2:8" x14ac:dyDescent="0.2">
      <c r="B1862" s="27" t="s">
        <v>199</v>
      </c>
      <c r="C1862" s="28" t="s">
        <v>969</v>
      </c>
      <c r="D1862" s="29" t="s">
        <v>12</v>
      </c>
      <c r="E1862" s="30" t="s">
        <v>447</v>
      </c>
      <c r="F1862" s="28" t="s">
        <v>356</v>
      </c>
      <c r="G1862" s="30" t="s">
        <v>680</v>
      </c>
      <c r="H1862" t="str">
        <f>CONCATENATE(Prequal[[#This Row],[CITY]], ", ",Prequal[[#This Row],[STATE]])</f>
        <v>Murphysboro, IL</v>
      </c>
    </row>
    <row r="1863" spans="2:8" x14ac:dyDescent="0.2">
      <c r="B1863" s="27" t="s">
        <v>200</v>
      </c>
      <c r="C1863" s="28" t="s">
        <v>969</v>
      </c>
      <c r="D1863" s="29" t="s">
        <v>124</v>
      </c>
      <c r="E1863" s="30" t="s">
        <v>947</v>
      </c>
      <c r="F1863" s="28" t="s">
        <v>356</v>
      </c>
      <c r="G1863" s="30" t="s">
        <v>1014</v>
      </c>
      <c r="H1863" t="str">
        <f>CONCATENATE(Prequal[[#This Row],[CITY]], ", ",Prequal[[#This Row],[STATE]])</f>
        <v>Chicago, IL</v>
      </c>
    </row>
    <row r="1864" spans="2:8" x14ac:dyDescent="0.2">
      <c r="B1864" s="27" t="s">
        <v>200</v>
      </c>
      <c r="C1864" s="28" t="s">
        <v>969</v>
      </c>
      <c r="D1864" s="29" t="s">
        <v>36</v>
      </c>
      <c r="E1864" s="30" t="s">
        <v>947</v>
      </c>
      <c r="F1864" s="28" t="s">
        <v>356</v>
      </c>
      <c r="G1864" s="30" t="s">
        <v>1014</v>
      </c>
      <c r="H1864" t="str">
        <f>CONCATENATE(Prequal[[#This Row],[CITY]], ", ",Prequal[[#This Row],[STATE]])</f>
        <v>Chicago, IL</v>
      </c>
    </row>
    <row r="1865" spans="2:8" x14ac:dyDescent="0.2">
      <c r="B1865" s="27" t="s">
        <v>200</v>
      </c>
      <c r="C1865" s="28" t="s">
        <v>969</v>
      </c>
      <c r="D1865" s="29" t="s">
        <v>125</v>
      </c>
      <c r="E1865" s="30" t="s">
        <v>947</v>
      </c>
      <c r="F1865" s="28" t="s">
        <v>356</v>
      </c>
      <c r="G1865" s="30" t="s">
        <v>1014</v>
      </c>
      <c r="H1865" t="str">
        <f>CONCATENATE(Prequal[[#This Row],[CITY]], ", ",Prequal[[#This Row],[STATE]])</f>
        <v>Chicago, IL</v>
      </c>
    </row>
    <row r="1866" spans="2:8" x14ac:dyDescent="0.2">
      <c r="B1866" s="27" t="s">
        <v>200</v>
      </c>
      <c r="C1866" s="28" t="s">
        <v>969</v>
      </c>
      <c r="D1866" s="29" t="s">
        <v>42</v>
      </c>
      <c r="E1866" s="30" t="s">
        <v>947</v>
      </c>
      <c r="F1866" s="28" t="s">
        <v>356</v>
      </c>
      <c r="G1866" s="30" t="s">
        <v>1014</v>
      </c>
      <c r="H1866" t="str">
        <f>CONCATENATE(Prequal[[#This Row],[CITY]], ", ",Prequal[[#This Row],[STATE]])</f>
        <v>Chicago, IL</v>
      </c>
    </row>
    <row r="1867" spans="2:8" x14ac:dyDescent="0.2">
      <c r="B1867" s="27" t="s">
        <v>200</v>
      </c>
      <c r="C1867" s="28" t="s">
        <v>969</v>
      </c>
      <c r="D1867" s="29" t="s">
        <v>43</v>
      </c>
      <c r="E1867" s="30" t="s">
        <v>947</v>
      </c>
      <c r="F1867" s="28" t="s">
        <v>356</v>
      </c>
      <c r="G1867" s="30" t="s">
        <v>1014</v>
      </c>
      <c r="H1867" t="str">
        <f>CONCATENATE(Prequal[[#This Row],[CITY]], ", ",Prequal[[#This Row],[STATE]])</f>
        <v>Chicago, IL</v>
      </c>
    </row>
    <row r="1868" spans="2:8" x14ac:dyDescent="0.2">
      <c r="B1868" s="27" t="s">
        <v>200</v>
      </c>
      <c r="C1868" s="28" t="s">
        <v>969</v>
      </c>
      <c r="D1868" s="29" t="s">
        <v>44</v>
      </c>
      <c r="E1868" s="30" t="s">
        <v>947</v>
      </c>
      <c r="F1868" s="28" t="s">
        <v>356</v>
      </c>
      <c r="G1868" s="30" t="s">
        <v>1014</v>
      </c>
      <c r="H1868" t="str">
        <f>CONCATENATE(Prequal[[#This Row],[CITY]], ", ",Prequal[[#This Row],[STATE]])</f>
        <v>Chicago, IL</v>
      </c>
    </row>
    <row r="1869" spans="2:8" x14ac:dyDescent="0.2">
      <c r="B1869" s="27" t="s">
        <v>200</v>
      </c>
      <c r="C1869" s="28" t="s">
        <v>969</v>
      </c>
      <c r="D1869" s="29" t="s">
        <v>45</v>
      </c>
      <c r="E1869" s="30" t="s">
        <v>947</v>
      </c>
      <c r="F1869" s="28" t="s">
        <v>356</v>
      </c>
      <c r="G1869" s="30" t="s">
        <v>1014</v>
      </c>
      <c r="H1869" t="str">
        <f>CONCATENATE(Prequal[[#This Row],[CITY]], ", ",Prequal[[#This Row],[STATE]])</f>
        <v>Chicago, IL</v>
      </c>
    </row>
    <row r="1870" spans="2:8" x14ac:dyDescent="0.2">
      <c r="B1870" s="27" t="s">
        <v>200</v>
      </c>
      <c r="C1870" s="28" t="s">
        <v>969</v>
      </c>
      <c r="D1870" s="29" t="s">
        <v>46</v>
      </c>
      <c r="E1870" s="30" t="s">
        <v>947</v>
      </c>
      <c r="F1870" s="28" t="s">
        <v>356</v>
      </c>
      <c r="G1870" s="30" t="s">
        <v>1014</v>
      </c>
      <c r="H1870" t="str">
        <f>CONCATENATE(Prequal[[#This Row],[CITY]], ", ",Prequal[[#This Row],[STATE]])</f>
        <v>Chicago, IL</v>
      </c>
    </row>
    <row r="1871" spans="2:8" x14ac:dyDescent="0.2">
      <c r="B1871" s="27" t="s">
        <v>200</v>
      </c>
      <c r="C1871" s="28" t="s">
        <v>969</v>
      </c>
      <c r="D1871" s="29" t="s">
        <v>47</v>
      </c>
      <c r="E1871" s="30" t="s">
        <v>947</v>
      </c>
      <c r="F1871" s="28" t="s">
        <v>356</v>
      </c>
      <c r="G1871" s="30" t="s">
        <v>1014</v>
      </c>
      <c r="H1871" t="str">
        <f>CONCATENATE(Prequal[[#This Row],[CITY]], ", ",Prequal[[#This Row],[STATE]])</f>
        <v>Chicago, IL</v>
      </c>
    </row>
    <row r="1872" spans="2:8" x14ac:dyDescent="0.2">
      <c r="B1872" s="27" t="s">
        <v>200</v>
      </c>
      <c r="C1872" s="28" t="s">
        <v>969</v>
      </c>
      <c r="D1872" s="29" t="s">
        <v>4</v>
      </c>
      <c r="E1872" s="30" t="s">
        <v>947</v>
      </c>
      <c r="F1872" s="28" t="s">
        <v>356</v>
      </c>
      <c r="G1872" s="30" t="s">
        <v>1014</v>
      </c>
      <c r="H1872" t="str">
        <f>CONCATENATE(Prequal[[#This Row],[CITY]], ", ",Prequal[[#This Row],[STATE]])</f>
        <v>Chicago, IL</v>
      </c>
    </row>
    <row r="1873" spans="2:8" x14ac:dyDescent="0.2">
      <c r="B1873" s="27" t="s">
        <v>200</v>
      </c>
      <c r="C1873" s="28" t="s">
        <v>969</v>
      </c>
      <c r="D1873" s="29" t="s">
        <v>5</v>
      </c>
      <c r="E1873" s="30" t="s">
        <v>947</v>
      </c>
      <c r="F1873" s="28" t="s">
        <v>356</v>
      </c>
      <c r="G1873" s="30" t="s">
        <v>1014</v>
      </c>
      <c r="H1873" t="str">
        <f>CONCATENATE(Prequal[[#This Row],[CITY]], ", ",Prequal[[#This Row],[STATE]])</f>
        <v>Chicago, IL</v>
      </c>
    </row>
    <row r="1874" spans="2:8" x14ac:dyDescent="0.2">
      <c r="B1874" s="27" t="s">
        <v>200</v>
      </c>
      <c r="C1874" s="28" t="s">
        <v>969</v>
      </c>
      <c r="D1874" s="29" t="s">
        <v>6</v>
      </c>
      <c r="E1874" s="30" t="s">
        <v>947</v>
      </c>
      <c r="F1874" s="28" t="s">
        <v>356</v>
      </c>
      <c r="G1874" s="30" t="s">
        <v>1014</v>
      </c>
      <c r="H1874" t="str">
        <f>CONCATENATE(Prequal[[#This Row],[CITY]], ", ",Prequal[[#This Row],[STATE]])</f>
        <v>Chicago, IL</v>
      </c>
    </row>
    <row r="1875" spans="2:8" x14ac:dyDescent="0.2">
      <c r="B1875" s="27" t="s">
        <v>200</v>
      </c>
      <c r="C1875" s="28" t="s">
        <v>969</v>
      </c>
      <c r="D1875" s="29" t="s">
        <v>7</v>
      </c>
      <c r="E1875" s="30" t="s">
        <v>947</v>
      </c>
      <c r="F1875" s="28" t="s">
        <v>356</v>
      </c>
      <c r="G1875" s="30" t="s">
        <v>1014</v>
      </c>
      <c r="H1875" t="str">
        <f>CONCATENATE(Prequal[[#This Row],[CITY]], ", ",Prequal[[#This Row],[STATE]])</f>
        <v>Chicago, IL</v>
      </c>
    </row>
    <row r="1876" spans="2:8" x14ac:dyDescent="0.2">
      <c r="B1876" s="27" t="s">
        <v>200</v>
      </c>
      <c r="C1876" s="28" t="s">
        <v>969</v>
      </c>
      <c r="D1876" s="29" t="s">
        <v>8</v>
      </c>
      <c r="E1876" s="30" t="s">
        <v>947</v>
      </c>
      <c r="F1876" s="28" t="s">
        <v>356</v>
      </c>
      <c r="G1876" s="30" t="s">
        <v>1014</v>
      </c>
      <c r="H1876" t="str">
        <f>CONCATENATE(Prequal[[#This Row],[CITY]], ", ",Prequal[[#This Row],[STATE]])</f>
        <v>Chicago, IL</v>
      </c>
    </row>
    <row r="1877" spans="2:8" x14ac:dyDescent="0.2">
      <c r="B1877" s="27" t="s">
        <v>200</v>
      </c>
      <c r="C1877" s="28" t="s">
        <v>969</v>
      </c>
      <c r="D1877" s="29" t="s">
        <v>24</v>
      </c>
      <c r="E1877" s="30" t="s">
        <v>947</v>
      </c>
      <c r="F1877" s="28" t="s">
        <v>356</v>
      </c>
      <c r="G1877" s="30" t="s">
        <v>1014</v>
      </c>
      <c r="H1877" t="str">
        <f>CONCATENATE(Prequal[[#This Row],[CITY]], ", ",Prequal[[#This Row],[STATE]])</f>
        <v>Chicago, IL</v>
      </c>
    </row>
    <row r="1878" spans="2:8" x14ac:dyDescent="0.2">
      <c r="B1878" s="27" t="s">
        <v>200</v>
      </c>
      <c r="C1878" s="28" t="s">
        <v>969</v>
      </c>
      <c r="D1878" s="29" t="s">
        <v>25</v>
      </c>
      <c r="E1878" s="30" t="s">
        <v>947</v>
      </c>
      <c r="F1878" s="28" t="s">
        <v>356</v>
      </c>
      <c r="G1878" s="30" t="s">
        <v>1014</v>
      </c>
      <c r="H1878" t="str">
        <f>CONCATENATE(Prequal[[#This Row],[CITY]], ", ",Prequal[[#This Row],[STATE]])</f>
        <v>Chicago, IL</v>
      </c>
    </row>
    <row r="1879" spans="2:8" x14ac:dyDescent="0.2">
      <c r="B1879" s="27" t="s">
        <v>200</v>
      </c>
      <c r="C1879" s="28" t="s">
        <v>969</v>
      </c>
      <c r="D1879" s="29" t="s">
        <v>9</v>
      </c>
      <c r="E1879" s="30" t="s">
        <v>947</v>
      </c>
      <c r="F1879" s="28" t="s">
        <v>356</v>
      </c>
      <c r="G1879" s="30" t="s">
        <v>1014</v>
      </c>
      <c r="H1879" t="str">
        <f>CONCATENATE(Prequal[[#This Row],[CITY]], ", ",Prequal[[#This Row],[STATE]])</f>
        <v>Chicago, IL</v>
      </c>
    </row>
    <row r="1880" spans="2:8" x14ac:dyDescent="0.2">
      <c r="B1880" s="27" t="s">
        <v>200</v>
      </c>
      <c r="C1880" s="28" t="s">
        <v>969</v>
      </c>
      <c r="D1880" s="29" t="s">
        <v>26</v>
      </c>
      <c r="E1880" s="30" t="s">
        <v>947</v>
      </c>
      <c r="F1880" s="28" t="s">
        <v>356</v>
      </c>
      <c r="G1880" s="30" t="s">
        <v>1014</v>
      </c>
      <c r="H1880" t="str">
        <f>CONCATENATE(Prequal[[#This Row],[CITY]], ", ",Prequal[[#This Row],[STATE]])</f>
        <v>Chicago, IL</v>
      </c>
    </row>
    <row r="1881" spans="2:8" x14ac:dyDescent="0.2">
      <c r="B1881" s="27" t="s">
        <v>200</v>
      </c>
      <c r="C1881" s="28" t="s">
        <v>969</v>
      </c>
      <c r="D1881" s="29" t="s">
        <v>20</v>
      </c>
      <c r="E1881" s="30" t="s">
        <v>947</v>
      </c>
      <c r="F1881" s="28" t="s">
        <v>356</v>
      </c>
      <c r="G1881" s="30" t="s">
        <v>1014</v>
      </c>
      <c r="H1881" t="str">
        <f>CONCATENATE(Prequal[[#This Row],[CITY]], ", ",Prequal[[#This Row],[STATE]])</f>
        <v>Chicago, IL</v>
      </c>
    </row>
    <row r="1882" spans="2:8" x14ac:dyDescent="0.2">
      <c r="B1882" s="27" t="s">
        <v>200</v>
      </c>
      <c r="C1882" s="28" t="s">
        <v>969</v>
      </c>
      <c r="D1882" s="29" t="s">
        <v>49</v>
      </c>
      <c r="E1882" s="30" t="s">
        <v>947</v>
      </c>
      <c r="F1882" s="28" t="s">
        <v>356</v>
      </c>
      <c r="G1882" s="30" t="s">
        <v>1014</v>
      </c>
      <c r="H1882" t="str">
        <f>CONCATENATE(Prequal[[#This Row],[CITY]], ", ",Prequal[[#This Row],[STATE]])</f>
        <v>Chicago, IL</v>
      </c>
    </row>
    <row r="1883" spans="2:8" x14ac:dyDescent="0.2">
      <c r="B1883" s="27" t="s">
        <v>200</v>
      </c>
      <c r="C1883" s="28" t="s">
        <v>969</v>
      </c>
      <c r="D1883" s="29" t="s">
        <v>27</v>
      </c>
      <c r="E1883" s="30" t="s">
        <v>947</v>
      </c>
      <c r="F1883" s="28" t="s">
        <v>356</v>
      </c>
      <c r="G1883" s="30" t="s">
        <v>1014</v>
      </c>
      <c r="H1883" t="str">
        <f>CONCATENATE(Prequal[[#This Row],[CITY]], ", ",Prequal[[#This Row],[STATE]])</f>
        <v>Chicago, IL</v>
      </c>
    </row>
    <row r="1884" spans="2:8" x14ac:dyDescent="0.2">
      <c r="B1884" s="27" t="s">
        <v>200</v>
      </c>
      <c r="C1884" s="28" t="s">
        <v>969</v>
      </c>
      <c r="D1884" s="29" t="s">
        <v>10</v>
      </c>
      <c r="E1884" s="30" t="s">
        <v>947</v>
      </c>
      <c r="F1884" s="28" t="s">
        <v>356</v>
      </c>
      <c r="G1884" s="30" t="s">
        <v>1014</v>
      </c>
      <c r="H1884" t="str">
        <f>CONCATENATE(Prequal[[#This Row],[CITY]], ", ",Prequal[[#This Row],[STATE]])</f>
        <v>Chicago, IL</v>
      </c>
    </row>
    <row r="1885" spans="2:8" x14ac:dyDescent="0.2">
      <c r="B1885" s="27" t="s">
        <v>200</v>
      </c>
      <c r="C1885" s="28" t="s">
        <v>969</v>
      </c>
      <c r="D1885" s="29" t="s">
        <v>21</v>
      </c>
      <c r="E1885" s="30" t="s">
        <v>947</v>
      </c>
      <c r="F1885" s="28" t="s">
        <v>356</v>
      </c>
      <c r="G1885" s="30" t="s">
        <v>1014</v>
      </c>
      <c r="H1885" t="str">
        <f>CONCATENATE(Prequal[[#This Row],[CITY]], ", ",Prequal[[#This Row],[STATE]])</f>
        <v>Chicago, IL</v>
      </c>
    </row>
    <row r="1886" spans="2:8" x14ac:dyDescent="0.2">
      <c r="B1886" s="27" t="s">
        <v>200</v>
      </c>
      <c r="C1886" s="28" t="s">
        <v>969</v>
      </c>
      <c r="D1886" s="29" t="s">
        <v>11</v>
      </c>
      <c r="E1886" s="30" t="s">
        <v>947</v>
      </c>
      <c r="F1886" s="28" t="s">
        <v>356</v>
      </c>
      <c r="G1886" s="30" t="s">
        <v>1014</v>
      </c>
      <c r="H1886" t="str">
        <f>CONCATENATE(Prequal[[#This Row],[CITY]], ", ",Prequal[[#This Row],[STATE]])</f>
        <v>Chicago, IL</v>
      </c>
    </row>
    <row r="1887" spans="2:8" x14ac:dyDescent="0.2">
      <c r="B1887" s="27" t="s">
        <v>200</v>
      </c>
      <c r="C1887" s="28" t="s">
        <v>969</v>
      </c>
      <c r="D1887" s="29" t="s">
        <v>22</v>
      </c>
      <c r="E1887" s="30" t="s">
        <v>947</v>
      </c>
      <c r="F1887" s="28" t="s">
        <v>356</v>
      </c>
      <c r="G1887" s="30" t="s">
        <v>1014</v>
      </c>
      <c r="H1887" t="str">
        <f>CONCATENATE(Prequal[[#This Row],[CITY]], ", ",Prequal[[#This Row],[STATE]])</f>
        <v>Chicago, IL</v>
      </c>
    </row>
    <row r="1888" spans="2:8" x14ac:dyDescent="0.2">
      <c r="B1888" s="27" t="s">
        <v>200</v>
      </c>
      <c r="C1888" s="28" t="s">
        <v>969</v>
      </c>
      <c r="D1888" s="29" t="s">
        <v>39</v>
      </c>
      <c r="E1888" s="30" t="s">
        <v>947</v>
      </c>
      <c r="F1888" s="28" t="s">
        <v>356</v>
      </c>
      <c r="G1888" s="30" t="s">
        <v>1014</v>
      </c>
      <c r="H1888" t="str">
        <f>CONCATENATE(Prequal[[#This Row],[CITY]], ", ",Prequal[[#This Row],[STATE]])</f>
        <v>Chicago, IL</v>
      </c>
    </row>
    <row r="1889" spans="2:8" x14ac:dyDescent="0.2">
      <c r="B1889" s="27" t="s">
        <v>200</v>
      </c>
      <c r="C1889" s="28" t="s">
        <v>969</v>
      </c>
      <c r="D1889" s="29" t="s">
        <v>12</v>
      </c>
      <c r="E1889" s="30" t="s">
        <v>947</v>
      </c>
      <c r="F1889" s="28" t="s">
        <v>356</v>
      </c>
      <c r="G1889" s="30" t="s">
        <v>1014</v>
      </c>
      <c r="H1889" t="str">
        <f>CONCATENATE(Prequal[[#This Row],[CITY]], ", ",Prequal[[#This Row],[STATE]])</f>
        <v>Chicago, IL</v>
      </c>
    </row>
    <row r="1890" spans="2:8" x14ac:dyDescent="0.2">
      <c r="B1890" s="27" t="s">
        <v>200</v>
      </c>
      <c r="C1890" s="28" t="s">
        <v>969</v>
      </c>
      <c r="D1890" s="29" t="s">
        <v>37</v>
      </c>
      <c r="E1890" s="30" t="s">
        <v>947</v>
      </c>
      <c r="F1890" s="28" t="s">
        <v>356</v>
      </c>
      <c r="G1890" s="30" t="s">
        <v>1014</v>
      </c>
      <c r="H1890" t="str">
        <f>CONCATENATE(Prequal[[#This Row],[CITY]], ", ",Prequal[[#This Row],[STATE]])</f>
        <v>Chicago, IL</v>
      </c>
    </row>
    <row r="1891" spans="2:8" x14ac:dyDescent="0.2">
      <c r="B1891" s="27" t="s">
        <v>200</v>
      </c>
      <c r="C1891" s="28" t="s">
        <v>969</v>
      </c>
      <c r="D1891" s="29" t="s">
        <v>13</v>
      </c>
      <c r="E1891" s="30" t="s">
        <v>947</v>
      </c>
      <c r="F1891" s="28" t="s">
        <v>356</v>
      </c>
      <c r="G1891" s="30" t="s">
        <v>1014</v>
      </c>
      <c r="H1891" t="str">
        <f>CONCATENATE(Prequal[[#This Row],[CITY]], ", ",Prequal[[#This Row],[STATE]])</f>
        <v>Chicago, IL</v>
      </c>
    </row>
    <row r="1892" spans="2:8" x14ac:dyDescent="0.2">
      <c r="B1892" s="27" t="s">
        <v>200</v>
      </c>
      <c r="C1892" s="28" t="s">
        <v>969</v>
      </c>
      <c r="D1892" s="29" t="s">
        <v>52</v>
      </c>
      <c r="E1892" s="30" t="s">
        <v>947</v>
      </c>
      <c r="F1892" s="28" t="s">
        <v>356</v>
      </c>
      <c r="G1892" s="30" t="s">
        <v>1014</v>
      </c>
      <c r="H1892" t="str">
        <f>CONCATENATE(Prequal[[#This Row],[CITY]], ", ",Prequal[[#This Row],[STATE]])</f>
        <v>Chicago, IL</v>
      </c>
    </row>
    <row r="1893" spans="2:8" x14ac:dyDescent="0.2">
      <c r="B1893" s="27" t="s">
        <v>200</v>
      </c>
      <c r="C1893" s="28" t="s">
        <v>969</v>
      </c>
      <c r="D1893" s="29" t="s">
        <v>14</v>
      </c>
      <c r="E1893" s="30" t="s">
        <v>947</v>
      </c>
      <c r="F1893" s="28" t="s">
        <v>356</v>
      </c>
      <c r="G1893" s="30" t="s">
        <v>1014</v>
      </c>
      <c r="H1893" t="str">
        <f>CONCATENATE(Prequal[[#This Row],[CITY]], ", ",Prequal[[#This Row],[STATE]])</f>
        <v>Chicago, IL</v>
      </c>
    </row>
    <row r="1894" spans="2:8" x14ac:dyDescent="0.2">
      <c r="B1894" s="27" t="s">
        <v>200</v>
      </c>
      <c r="C1894" s="28" t="s">
        <v>969</v>
      </c>
      <c r="D1894" s="29" t="s">
        <v>15</v>
      </c>
      <c r="E1894" s="30" t="s">
        <v>947</v>
      </c>
      <c r="F1894" s="28" t="s">
        <v>356</v>
      </c>
      <c r="G1894" s="30" t="s">
        <v>1014</v>
      </c>
      <c r="H1894" t="str">
        <f>CONCATENATE(Prequal[[#This Row],[CITY]], ", ",Prequal[[#This Row],[STATE]])</f>
        <v>Chicago, IL</v>
      </c>
    </row>
    <row r="1895" spans="2:8" x14ac:dyDescent="0.2">
      <c r="B1895" s="27" t="s">
        <v>200</v>
      </c>
      <c r="C1895" s="28" t="s">
        <v>969</v>
      </c>
      <c r="D1895" s="29" t="s">
        <v>30</v>
      </c>
      <c r="E1895" s="30" t="s">
        <v>947</v>
      </c>
      <c r="F1895" s="28" t="s">
        <v>356</v>
      </c>
      <c r="G1895" s="30" t="s">
        <v>1014</v>
      </c>
      <c r="H1895" t="str">
        <f>CONCATENATE(Prequal[[#This Row],[CITY]], ", ",Prequal[[#This Row],[STATE]])</f>
        <v>Chicago, IL</v>
      </c>
    </row>
    <row r="1896" spans="2:8" x14ac:dyDescent="0.2">
      <c r="B1896" s="27" t="s">
        <v>200</v>
      </c>
      <c r="C1896" s="28" t="s">
        <v>969</v>
      </c>
      <c r="D1896" s="29" t="s">
        <v>53</v>
      </c>
      <c r="E1896" s="30" t="s">
        <v>947</v>
      </c>
      <c r="F1896" s="28" t="s">
        <v>356</v>
      </c>
      <c r="G1896" s="30" t="s">
        <v>1014</v>
      </c>
      <c r="H1896" t="str">
        <f>CONCATENATE(Prequal[[#This Row],[CITY]], ", ",Prequal[[#This Row],[STATE]])</f>
        <v>Chicago, IL</v>
      </c>
    </row>
    <row r="1897" spans="2:8" x14ac:dyDescent="0.2">
      <c r="B1897" s="27" t="s">
        <v>200</v>
      </c>
      <c r="C1897" s="28" t="s">
        <v>969</v>
      </c>
      <c r="D1897" s="29" t="s">
        <v>31</v>
      </c>
      <c r="E1897" s="30" t="s">
        <v>947</v>
      </c>
      <c r="F1897" s="28" t="s">
        <v>356</v>
      </c>
      <c r="G1897" s="30" t="s">
        <v>1014</v>
      </c>
      <c r="H1897" t="str">
        <f>CONCATENATE(Prequal[[#This Row],[CITY]], ", ",Prequal[[#This Row],[STATE]])</f>
        <v>Chicago, IL</v>
      </c>
    </row>
    <row r="1898" spans="2:8" x14ac:dyDescent="0.2">
      <c r="B1898" s="27" t="s">
        <v>200</v>
      </c>
      <c r="C1898" s="28" t="s">
        <v>969</v>
      </c>
      <c r="D1898" s="29" t="s">
        <v>32</v>
      </c>
      <c r="E1898" s="30" t="s">
        <v>947</v>
      </c>
      <c r="F1898" s="28" t="s">
        <v>356</v>
      </c>
      <c r="G1898" s="30" t="s">
        <v>1014</v>
      </c>
      <c r="H1898" t="str">
        <f>CONCATENATE(Prequal[[#This Row],[CITY]], ", ",Prequal[[#This Row],[STATE]])</f>
        <v>Chicago, IL</v>
      </c>
    </row>
    <row r="1899" spans="2:8" x14ac:dyDescent="0.2">
      <c r="B1899" s="27" t="s">
        <v>200</v>
      </c>
      <c r="C1899" s="28" t="s">
        <v>969</v>
      </c>
      <c r="D1899" s="29" t="s">
        <v>54</v>
      </c>
      <c r="E1899" s="30" t="s">
        <v>947</v>
      </c>
      <c r="F1899" s="28" t="s">
        <v>356</v>
      </c>
      <c r="G1899" s="30" t="s">
        <v>1014</v>
      </c>
      <c r="H1899" t="str">
        <f>CONCATENATE(Prequal[[#This Row],[CITY]], ", ",Prequal[[#This Row],[STATE]])</f>
        <v>Chicago, IL</v>
      </c>
    </row>
    <row r="1900" spans="2:8" x14ac:dyDescent="0.2">
      <c r="B1900" s="27" t="s">
        <v>200</v>
      </c>
      <c r="C1900" s="28" t="s">
        <v>969</v>
      </c>
      <c r="D1900" s="29" t="s">
        <v>38</v>
      </c>
      <c r="E1900" s="30" t="s">
        <v>947</v>
      </c>
      <c r="F1900" s="28" t="s">
        <v>356</v>
      </c>
      <c r="G1900" s="30" t="s">
        <v>1014</v>
      </c>
      <c r="H1900" t="str">
        <f>CONCATENATE(Prequal[[#This Row],[CITY]], ", ",Prequal[[#This Row],[STATE]])</f>
        <v>Chicago, IL</v>
      </c>
    </row>
    <row r="1901" spans="2:8" x14ac:dyDescent="0.2">
      <c r="B1901" s="27" t="s">
        <v>200</v>
      </c>
      <c r="C1901" s="28" t="s">
        <v>969</v>
      </c>
      <c r="D1901" s="29" t="s">
        <v>55</v>
      </c>
      <c r="E1901" s="30" t="s">
        <v>947</v>
      </c>
      <c r="F1901" s="28" t="s">
        <v>356</v>
      </c>
      <c r="G1901" s="30" t="s">
        <v>1014</v>
      </c>
      <c r="H1901" t="str">
        <f>CONCATENATE(Prequal[[#This Row],[CITY]], ", ",Prequal[[#This Row],[STATE]])</f>
        <v>Chicago, IL</v>
      </c>
    </row>
    <row r="1902" spans="2:8" x14ac:dyDescent="0.2">
      <c r="B1902" s="27" t="s">
        <v>200</v>
      </c>
      <c r="C1902" s="28" t="s">
        <v>969</v>
      </c>
      <c r="D1902" s="29" t="s">
        <v>56</v>
      </c>
      <c r="E1902" s="30" t="s">
        <v>947</v>
      </c>
      <c r="F1902" s="28" t="s">
        <v>356</v>
      </c>
      <c r="G1902" s="30" t="s">
        <v>1014</v>
      </c>
      <c r="H1902" t="str">
        <f>CONCATENATE(Prequal[[#This Row],[CITY]], ", ",Prequal[[#This Row],[STATE]])</f>
        <v>Chicago, IL</v>
      </c>
    </row>
    <row r="1903" spans="2:8" x14ac:dyDescent="0.2">
      <c r="B1903" s="27" t="s">
        <v>200</v>
      </c>
      <c r="C1903" s="28" t="s">
        <v>969</v>
      </c>
      <c r="D1903" s="29" t="s">
        <v>33</v>
      </c>
      <c r="E1903" s="30" t="s">
        <v>947</v>
      </c>
      <c r="F1903" s="28" t="s">
        <v>356</v>
      </c>
      <c r="G1903" s="30" t="s">
        <v>1014</v>
      </c>
      <c r="H1903" t="str">
        <f>CONCATENATE(Prequal[[#This Row],[CITY]], ", ",Prequal[[#This Row],[STATE]])</f>
        <v>Chicago, IL</v>
      </c>
    </row>
    <row r="1904" spans="2:8" x14ac:dyDescent="0.2">
      <c r="B1904" s="27" t="s">
        <v>200</v>
      </c>
      <c r="C1904" s="28" t="s">
        <v>969</v>
      </c>
      <c r="D1904" s="29" t="s">
        <v>57</v>
      </c>
      <c r="E1904" s="30" t="s">
        <v>947</v>
      </c>
      <c r="F1904" s="28" t="s">
        <v>356</v>
      </c>
      <c r="G1904" s="30" t="s">
        <v>1014</v>
      </c>
      <c r="H1904" t="str">
        <f>CONCATENATE(Prequal[[#This Row],[CITY]], ", ",Prequal[[#This Row],[STATE]])</f>
        <v>Chicago, IL</v>
      </c>
    </row>
    <row r="1905" spans="2:8" x14ac:dyDescent="0.2">
      <c r="B1905" s="27" t="s">
        <v>538</v>
      </c>
      <c r="C1905" s="28" t="s">
        <v>970</v>
      </c>
      <c r="D1905" s="29" t="s">
        <v>11</v>
      </c>
      <c r="E1905" s="30" t="s">
        <v>947</v>
      </c>
      <c r="F1905" s="28" t="s">
        <v>356</v>
      </c>
      <c r="G1905" s="30" t="s">
        <v>681</v>
      </c>
      <c r="H1905" t="str">
        <f>CONCATENATE(Prequal[[#This Row],[CITY]], ", ",Prequal[[#This Row],[STATE]])</f>
        <v>Chicago, IL</v>
      </c>
    </row>
    <row r="1906" spans="2:8" x14ac:dyDescent="0.2">
      <c r="B1906" s="27" t="s">
        <v>201</v>
      </c>
      <c r="C1906" s="28" t="s">
        <v>969</v>
      </c>
      <c r="D1906" s="29" t="s">
        <v>4</v>
      </c>
      <c r="E1906" s="30" t="s">
        <v>448</v>
      </c>
      <c r="F1906" s="28" t="s">
        <v>365</v>
      </c>
      <c r="G1906" s="30" t="s">
        <v>682</v>
      </c>
      <c r="H1906" t="str">
        <f>CONCATENATE(Prequal[[#This Row],[CITY]], ", ",Prequal[[#This Row],[STATE]])</f>
        <v>Indianapoils, IN</v>
      </c>
    </row>
    <row r="1907" spans="2:8" x14ac:dyDescent="0.2">
      <c r="B1907" s="27" t="s">
        <v>201</v>
      </c>
      <c r="C1907" s="28" t="s">
        <v>969</v>
      </c>
      <c r="D1907" s="29" t="s">
        <v>5</v>
      </c>
      <c r="E1907" s="30" t="s">
        <v>448</v>
      </c>
      <c r="F1907" s="28" t="s">
        <v>365</v>
      </c>
      <c r="G1907" s="30" t="s">
        <v>682</v>
      </c>
      <c r="H1907" t="str">
        <f>CONCATENATE(Prequal[[#This Row],[CITY]], ", ",Prequal[[#This Row],[STATE]])</f>
        <v>Indianapoils, IN</v>
      </c>
    </row>
    <row r="1908" spans="2:8" x14ac:dyDescent="0.2">
      <c r="B1908" s="27" t="s">
        <v>201</v>
      </c>
      <c r="C1908" s="28" t="s">
        <v>969</v>
      </c>
      <c r="D1908" s="29" t="s">
        <v>9</v>
      </c>
      <c r="E1908" s="30" t="s">
        <v>448</v>
      </c>
      <c r="F1908" s="28" t="s">
        <v>365</v>
      </c>
      <c r="G1908" s="30" t="s">
        <v>682</v>
      </c>
      <c r="H1908" t="str">
        <f>CONCATENATE(Prequal[[#This Row],[CITY]], ", ",Prequal[[#This Row],[STATE]])</f>
        <v>Indianapoils, IN</v>
      </c>
    </row>
    <row r="1909" spans="2:8" x14ac:dyDescent="0.2">
      <c r="B1909" s="27" t="s">
        <v>201</v>
      </c>
      <c r="C1909" s="28" t="s">
        <v>969</v>
      </c>
      <c r="D1909" s="29" t="s">
        <v>30</v>
      </c>
      <c r="E1909" s="30" t="s">
        <v>448</v>
      </c>
      <c r="F1909" s="28" t="s">
        <v>365</v>
      </c>
      <c r="G1909" s="30" t="s">
        <v>682</v>
      </c>
      <c r="H1909" t="str">
        <f>CONCATENATE(Prequal[[#This Row],[CITY]], ", ",Prequal[[#This Row],[STATE]])</f>
        <v>Indianapoils, IN</v>
      </c>
    </row>
    <row r="1910" spans="2:8" x14ac:dyDescent="0.2">
      <c r="B1910" s="27" t="s">
        <v>201</v>
      </c>
      <c r="C1910" s="28" t="s">
        <v>969</v>
      </c>
      <c r="D1910" s="29" t="s">
        <v>53</v>
      </c>
      <c r="E1910" s="30" t="s">
        <v>448</v>
      </c>
      <c r="F1910" s="28" t="s">
        <v>365</v>
      </c>
      <c r="G1910" s="30" t="s">
        <v>682</v>
      </c>
      <c r="H1910" t="str">
        <f>CONCATENATE(Prequal[[#This Row],[CITY]], ", ",Prequal[[#This Row],[STATE]])</f>
        <v>Indianapoils, IN</v>
      </c>
    </row>
    <row r="1911" spans="2:8" x14ac:dyDescent="0.2">
      <c r="B1911" s="27" t="s">
        <v>201</v>
      </c>
      <c r="C1911" s="28" t="s">
        <v>969</v>
      </c>
      <c r="D1911" s="29" t="s">
        <v>31</v>
      </c>
      <c r="E1911" s="30" t="s">
        <v>448</v>
      </c>
      <c r="F1911" s="28" t="s">
        <v>365</v>
      </c>
      <c r="G1911" s="30" t="s">
        <v>682</v>
      </c>
      <c r="H1911" t="str">
        <f>CONCATENATE(Prequal[[#This Row],[CITY]], ", ",Prequal[[#This Row],[STATE]])</f>
        <v>Indianapoils, IN</v>
      </c>
    </row>
    <row r="1912" spans="2:8" x14ac:dyDescent="0.2">
      <c r="B1912" s="27" t="s">
        <v>201</v>
      </c>
      <c r="C1912" s="28" t="s">
        <v>969</v>
      </c>
      <c r="D1912" s="29" t="s">
        <v>32</v>
      </c>
      <c r="E1912" s="30" t="s">
        <v>448</v>
      </c>
      <c r="F1912" s="28" t="s">
        <v>365</v>
      </c>
      <c r="G1912" s="30" t="s">
        <v>682</v>
      </c>
      <c r="H1912" t="str">
        <f>CONCATENATE(Prequal[[#This Row],[CITY]], ", ",Prequal[[#This Row],[STATE]])</f>
        <v>Indianapoils, IN</v>
      </c>
    </row>
    <row r="1913" spans="2:8" x14ac:dyDescent="0.2">
      <c r="B1913" s="27" t="s">
        <v>201</v>
      </c>
      <c r="C1913" s="28" t="s">
        <v>969</v>
      </c>
      <c r="D1913" s="29" t="s">
        <v>38</v>
      </c>
      <c r="E1913" s="30" t="s">
        <v>448</v>
      </c>
      <c r="F1913" s="28" t="s">
        <v>365</v>
      </c>
      <c r="G1913" s="30" t="s">
        <v>682</v>
      </c>
      <c r="H1913" t="str">
        <f>CONCATENATE(Prequal[[#This Row],[CITY]], ", ",Prequal[[#This Row],[STATE]])</f>
        <v>Indianapoils, IN</v>
      </c>
    </row>
    <row r="1914" spans="2:8" x14ac:dyDescent="0.2">
      <c r="B1914" s="27" t="s">
        <v>201</v>
      </c>
      <c r="C1914" s="28" t="s">
        <v>969</v>
      </c>
      <c r="D1914" s="29" t="s">
        <v>55</v>
      </c>
      <c r="E1914" s="30" t="s">
        <v>448</v>
      </c>
      <c r="F1914" s="28" t="s">
        <v>365</v>
      </c>
      <c r="G1914" s="30" t="s">
        <v>682</v>
      </c>
      <c r="H1914" t="str">
        <f>CONCATENATE(Prequal[[#This Row],[CITY]], ", ",Prequal[[#This Row],[STATE]])</f>
        <v>Indianapoils, IN</v>
      </c>
    </row>
    <row r="1915" spans="2:8" x14ac:dyDescent="0.2">
      <c r="B1915" s="27" t="s">
        <v>1058</v>
      </c>
      <c r="C1915" s="28" t="s">
        <v>969</v>
      </c>
      <c r="D1915" s="29" t="s">
        <v>976</v>
      </c>
      <c r="E1915" s="30" t="s">
        <v>1059</v>
      </c>
      <c r="F1915" s="28" t="s">
        <v>356</v>
      </c>
      <c r="G1915" s="30" t="s">
        <v>1060</v>
      </c>
      <c r="H1915" t="str">
        <f>CONCATENATE(Prequal[[#This Row],[CITY]], ", ",Prequal[[#This Row],[STATE]])</f>
        <v>Morris, IL</v>
      </c>
    </row>
    <row r="1916" spans="2:8" x14ac:dyDescent="0.2">
      <c r="B1916" s="27" t="s">
        <v>1058</v>
      </c>
      <c r="C1916" s="28" t="s">
        <v>969</v>
      </c>
      <c r="D1916" s="29" t="s">
        <v>978</v>
      </c>
      <c r="E1916" s="30" t="s">
        <v>1059</v>
      </c>
      <c r="F1916" s="28" t="s">
        <v>356</v>
      </c>
      <c r="G1916" s="30" t="s">
        <v>1060</v>
      </c>
      <c r="H1916" t="str">
        <f>CONCATENATE(Prequal[[#This Row],[CITY]], ", ",Prequal[[#This Row],[STATE]])</f>
        <v>Morris, IL</v>
      </c>
    </row>
    <row r="1917" spans="2:8" x14ac:dyDescent="0.2">
      <c r="B1917" s="27" t="s">
        <v>1069</v>
      </c>
      <c r="C1917" s="28" t="s">
        <v>970</v>
      </c>
      <c r="D1917" s="29" t="s">
        <v>59</v>
      </c>
      <c r="E1917" s="30" t="s">
        <v>947</v>
      </c>
      <c r="F1917" s="28" t="s">
        <v>356</v>
      </c>
      <c r="G1917" s="30" t="s">
        <v>1070</v>
      </c>
      <c r="H1917" t="str">
        <f>CONCATENATE(Prequal[[#This Row],[CITY]], ", ",Prequal[[#This Row],[STATE]])</f>
        <v>Chicago, IL</v>
      </c>
    </row>
    <row r="1918" spans="2:8" x14ac:dyDescent="0.2">
      <c r="B1918" s="27" t="s">
        <v>985</v>
      </c>
      <c r="C1918" s="28" t="s">
        <v>969</v>
      </c>
      <c r="D1918" s="29" t="s">
        <v>976</v>
      </c>
      <c r="E1918" s="30" t="s">
        <v>947</v>
      </c>
      <c r="F1918" s="28" t="s">
        <v>356</v>
      </c>
      <c r="G1918" s="30" t="s">
        <v>986</v>
      </c>
      <c r="H1918" t="str">
        <f>CONCATENATE(Prequal[[#This Row],[CITY]], ", ",Prequal[[#This Row],[STATE]])</f>
        <v>Chicago, IL</v>
      </c>
    </row>
    <row r="1919" spans="2:8" x14ac:dyDescent="0.2">
      <c r="B1919" s="27" t="s">
        <v>202</v>
      </c>
      <c r="C1919" s="28" t="s">
        <v>970</v>
      </c>
      <c r="D1919" s="29" t="s">
        <v>59</v>
      </c>
      <c r="E1919" s="30" t="s">
        <v>947</v>
      </c>
      <c r="F1919" s="28" t="s">
        <v>356</v>
      </c>
      <c r="G1919" s="30" t="s">
        <v>683</v>
      </c>
      <c r="H1919" t="str">
        <f>CONCATENATE(Prequal[[#This Row],[CITY]], ", ",Prequal[[#This Row],[STATE]])</f>
        <v>Chicago, IL</v>
      </c>
    </row>
    <row r="1920" spans="2:8" x14ac:dyDescent="0.2">
      <c r="B1920" s="27" t="s">
        <v>203</v>
      </c>
      <c r="C1920" s="28" t="s">
        <v>969</v>
      </c>
      <c r="D1920" s="29" t="s">
        <v>29</v>
      </c>
      <c r="E1920" s="30" t="s">
        <v>449</v>
      </c>
      <c r="F1920" s="28" t="s">
        <v>356</v>
      </c>
      <c r="G1920" s="30" t="s">
        <v>942</v>
      </c>
      <c r="H1920" t="str">
        <f>CONCATENATE(Prequal[[#This Row],[CITY]], ", ",Prequal[[#This Row],[STATE]])</f>
        <v>Lake Villa, IL</v>
      </c>
    </row>
    <row r="1921" spans="2:8" x14ac:dyDescent="0.2">
      <c r="B1921" s="27" t="s">
        <v>204</v>
      </c>
      <c r="C1921" s="28" t="s">
        <v>969</v>
      </c>
      <c r="D1921" s="29" t="s">
        <v>25</v>
      </c>
      <c r="E1921" s="30" t="s">
        <v>450</v>
      </c>
      <c r="F1921" s="28" t="s">
        <v>378</v>
      </c>
      <c r="G1921" s="30" t="s">
        <v>684</v>
      </c>
      <c r="H1921" t="str">
        <f>CONCATENATE(Prequal[[#This Row],[CITY]], ", ",Prequal[[#This Row],[STATE]])</f>
        <v>Hobart, WI</v>
      </c>
    </row>
    <row r="1922" spans="2:8" x14ac:dyDescent="0.2">
      <c r="B1922" s="27" t="s">
        <v>204</v>
      </c>
      <c r="C1922" s="28" t="s">
        <v>969</v>
      </c>
      <c r="D1922" s="29" t="s">
        <v>9</v>
      </c>
      <c r="E1922" s="30" t="s">
        <v>450</v>
      </c>
      <c r="F1922" s="28" t="s">
        <v>378</v>
      </c>
      <c r="G1922" s="30" t="s">
        <v>684</v>
      </c>
      <c r="H1922" t="str">
        <f>CONCATENATE(Prequal[[#This Row],[CITY]], ", ",Prequal[[#This Row],[STATE]])</f>
        <v>Hobart, WI</v>
      </c>
    </row>
    <row r="1923" spans="2:8" x14ac:dyDescent="0.2">
      <c r="B1923" s="27" t="s">
        <v>204</v>
      </c>
      <c r="C1923" s="28" t="s">
        <v>969</v>
      </c>
      <c r="D1923" s="29" t="s">
        <v>37</v>
      </c>
      <c r="E1923" s="30" t="s">
        <v>450</v>
      </c>
      <c r="F1923" s="28" t="s">
        <v>378</v>
      </c>
      <c r="G1923" s="30" t="s">
        <v>684</v>
      </c>
      <c r="H1923" t="str">
        <f>CONCATENATE(Prequal[[#This Row],[CITY]], ", ",Prequal[[#This Row],[STATE]])</f>
        <v>Hobart, WI</v>
      </c>
    </row>
    <row r="1924" spans="2:8" x14ac:dyDescent="0.2">
      <c r="B1924" s="27" t="s">
        <v>205</v>
      </c>
      <c r="C1924" s="28" t="s">
        <v>970</v>
      </c>
      <c r="D1924" s="29" t="s">
        <v>11</v>
      </c>
      <c r="E1924" s="30" t="s">
        <v>947</v>
      </c>
      <c r="F1924" s="28" t="s">
        <v>356</v>
      </c>
      <c r="G1924" s="30" t="s">
        <v>685</v>
      </c>
      <c r="H1924" t="str">
        <f>CONCATENATE(Prequal[[#This Row],[CITY]], ", ",Prequal[[#This Row],[STATE]])</f>
        <v>Chicago, IL</v>
      </c>
    </row>
    <row r="1925" spans="2:8" x14ac:dyDescent="0.2">
      <c r="B1925" s="27" t="s">
        <v>206</v>
      </c>
      <c r="C1925" s="28" t="s">
        <v>969</v>
      </c>
      <c r="D1925" s="29" t="s">
        <v>5</v>
      </c>
      <c r="E1925" s="30" t="s">
        <v>451</v>
      </c>
      <c r="F1925" s="28" t="s">
        <v>356</v>
      </c>
      <c r="G1925" s="30" t="s">
        <v>686</v>
      </c>
      <c r="H1925" t="str">
        <f>CONCATENATE(Prequal[[#This Row],[CITY]], ", ",Prequal[[#This Row],[STATE]])</f>
        <v>Granite City, IL</v>
      </c>
    </row>
    <row r="1926" spans="2:8" x14ac:dyDescent="0.2">
      <c r="B1926" s="27" t="s">
        <v>206</v>
      </c>
      <c r="C1926" s="28" t="s">
        <v>969</v>
      </c>
      <c r="D1926" s="29" t="s">
        <v>6</v>
      </c>
      <c r="E1926" s="30" t="s">
        <v>451</v>
      </c>
      <c r="F1926" s="28" t="s">
        <v>356</v>
      </c>
      <c r="G1926" s="30" t="s">
        <v>686</v>
      </c>
      <c r="H1926" t="str">
        <f>CONCATENATE(Prequal[[#This Row],[CITY]], ", ",Prequal[[#This Row],[STATE]])</f>
        <v>Granite City, IL</v>
      </c>
    </row>
    <row r="1927" spans="2:8" x14ac:dyDescent="0.2">
      <c r="B1927" s="27" t="s">
        <v>206</v>
      </c>
      <c r="C1927" s="28" t="s">
        <v>969</v>
      </c>
      <c r="D1927" s="29" t="s">
        <v>7</v>
      </c>
      <c r="E1927" s="30" t="s">
        <v>451</v>
      </c>
      <c r="F1927" s="28" t="s">
        <v>356</v>
      </c>
      <c r="G1927" s="30" t="s">
        <v>686</v>
      </c>
      <c r="H1927" t="str">
        <f>CONCATENATE(Prequal[[#This Row],[CITY]], ", ",Prequal[[#This Row],[STATE]])</f>
        <v>Granite City, IL</v>
      </c>
    </row>
    <row r="1928" spans="2:8" x14ac:dyDescent="0.2">
      <c r="B1928" s="27" t="s">
        <v>206</v>
      </c>
      <c r="C1928" s="28" t="s">
        <v>969</v>
      </c>
      <c r="D1928" s="29" t="s">
        <v>8</v>
      </c>
      <c r="E1928" s="30" t="s">
        <v>451</v>
      </c>
      <c r="F1928" s="28" t="s">
        <v>356</v>
      </c>
      <c r="G1928" s="30" t="s">
        <v>686</v>
      </c>
      <c r="H1928" t="str">
        <f>CONCATENATE(Prequal[[#This Row],[CITY]], ", ",Prequal[[#This Row],[STATE]])</f>
        <v>Granite City, IL</v>
      </c>
    </row>
    <row r="1929" spans="2:8" x14ac:dyDescent="0.2">
      <c r="B1929" s="27" t="s">
        <v>206</v>
      </c>
      <c r="C1929" s="28" t="s">
        <v>969</v>
      </c>
      <c r="D1929" s="29" t="s">
        <v>24</v>
      </c>
      <c r="E1929" s="30" t="s">
        <v>451</v>
      </c>
      <c r="F1929" s="28" t="s">
        <v>356</v>
      </c>
      <c r="G1929" s="30" t="s">
        <v>686</v>
      </c>
      <c r="H1929" t="str">
        <f>CONCATENATE(Prequal[[#This Row],[CITY]], ", ",Prequal[[#This Row],[STATE]])</f>
        <v>Granite City, IL</v>
      </c>
    </row>
    <row r="1930" spans="2:8" x14ac:dyDescent="0.2">
      <c r="B1930" s="27" t="s">
        <v>206</v>
      </c>
      <c r="C1930" s="28" t="s">
        <v>969</v>
      </c>
      <c r="D1930" s="29" t="s">
        <v>25</v>
      </c>
      <c r="E1930" s="30" t="s">
        <v>451</v>
      </c>
      <c r="F1930" s="28" t="s">
        <v>356</v>
      </c>
      <c r="G1930" s="30" t="s">
        <v>686</v>
      </c>
      <c r="H1930" t="str">
        <f>CONCATENATE(Prequal[[#This Row],[CITY]], ", ",Prequal[[#This Row],[STATE]])</f>
        <v>Granite City, IL</v>
      </c>
    </row>
    <row r="1931" spans="2:8" x14ac:dyDescent="0.2">
      <c r="B1931" s="27" t="s">
        <v>206</v>
      </c>
      <c r="C1931" s="28" t="s">
        <v>969</v>
      </c>
      <c r="D1931" s="29" t="s">
        <v>9</v>
      </c>
      <c r="E1931" s="30" t="s">
        <v>451</v>
      </c>
      <c r="F1931" s="28" t="s">
        <v>356</v>
      </c>
      <c r="G1931" s="30" t="s">
        <v>686</v>
      </c>
      <c r="H1931" t="str">
        <f>CONCATENATE(Prequal[[#This Row],[CITY]], ", ",Prequal[[#This Row],[STATE]])</f>
        <v>Granite City, IL</v>
      </c>
    </row>
    <row r="1932" spans="2:8" x14ac:dyDescent="0.2">
      <c r="B1932" s="27" t="s">
        <v>206</v>
      </c>
      <c r="C1932" s="28" t="s">
        <v>969</v>
      </c>
      <c r="D1932" s="29" t="s">
        <v>27</v>
      </c>
      <c r="E1932" s="30" t="s">
        <v>451</v>
      </c>
      <c r="F1932" s="28" t="s">
        <v>356</v>
      </c>
      <c r="G1932" s="30" t="s">
        <v>686</v>
      </c>
      <c r="H1932" t="str">
        <f>CONCATENATE(Prequal[[#This Row],[CITY]], ", ",Prequal[[#This Row],[STATE]])</f>
        <v>Granite City, IL</v>
      </c>
    </row>
    <row r="1933" spans="2:8" x14ac:dyDescent="0.2">
      <c r="B1933" s="27" t="s">
        <v>206</v>
      </c>
      <c r="C1933" s="28" t="s">
        <v>969</v>
      </c>
      <c r="D1933" s="29" t="s">
        <v>10</v>
      </c>
      <c r="E1933" s="30" t="s">
        <v>451</v>
      </c>
      <c r="F1933" s="28" t="s">
        <v>356</v>
      </c>
      <c r="G1933" s="30" t="s">
        <v>686</v>
      </c>
      <c r="H1933" t="str">
        <f>CONCATENATE(Prequal[[#This Row],[CITY]], ", ",Prequal[[#This Row],[STATE]])</f>
        <v>Granite City, IL</v>
      </c>
    </row>
    <row r="1934" spans="2:8" x14ac:dyDescent="0.2">
      <c r="B1934" s="27" t="s">
        <v>206</v>
      </c>
      <c r="C1934" s="28" t="s">
        <v>969</v>
      </c>
      <c r="D1934" s="29" t="s">
        <v>51</v>
      </c>
      <c r="E1934" s="30" t="s">
        <v>451</v>
      </c>
      <c r="F1934" s="28" t="s">
        <v>356</v>
      </c>
      <c r="G1934" s="30" t="s">
        <v>686</v>
      </c>
      <c r="H1934" t="str">
        <f>CONCATENATE(Prequal[[#This Row],[CITY]], ", ",Prequal[[#This Row],[STATE]])</f>
        <v>Granite City, IL</v>
      </c>
    </row>
    <row r="1935" spans="2:8" x14ac:dyDescent="0.2">
      <c r="B1935" s="27" t="s">
        <v>206</v>
      </c>
      <c r="C1935" s="28" t="s">
        <v>969</v>
      </c>
      <c r="D1935" s="29" t="s">
        <v>12</v>
      </c>
      <c r="E1935" s="30" t="s">
        <v>451</v>
      </c>
      <c r="F1935" s="28" t="s">
        <v>356</v>
      </c>
      <c r="G1935" s="30" t="s">
        <v>686</v>
      </c>
      <c r="H1935" t="str">
        <f>CONCATENATE(Prequal[[#This Row],[CITY]], ", ",Prequal[[#This Row],[STATE]])</f>
        <v>Granite City, IL</v>
      </c>
    </row>
    <row r="1936" spans="2:8" x14ac:dyDescent="0.2">
      <c r="B1936" s="27" t="s">
        <v>206</v>
      </c>
      <c r="C1936" s="28" t="s">
        <v>969</v>
      </c>
      <c r="D1936" s="29" t="s">
        <v>29</v>
      </c>
      <c r="E1936" s="30" t="s">
        <v>451</v>
      </c>
      <c r="F1936" s="28" t="s">
        <v>356</v>
      </c>
      <c r="G1936" s="30" t="s">
        <v>686</v>
      </c>
      <c r="H1936" t="str">
        <f>CONCATENATE(Prequal[[#This Row],[CITY]], ", ",Prequal[[#This Row],[STATE]])</f>
        <v>Granite City, IL</v>
      </c>
    </row>
    <row r="1937" spans="2:8" x14ac:dyDescent="0.2">
      <c r="B1937" s="27" t="s">
        <v>206</v>
      </c>
      <c r="C1937" s="28" t="s">
        <v>969</v>
      </c>
      <c r="D1937" s="29" t="s">
        <v>37</v>
      </c>
      <c r="E1937" s="30" t="s">
        <v>451</v>
      </c>
      <c r="F1937" s="28" t="s">
        <v>356</v>
      </c>
      <c r="G1937" s="30" t="s">
        <v>686</v>
      </c>
      <c r="H1937" t="str">
        <f>CONCATENATE(Prequal[[#This Row],[CITY]], ", ",Prequal[[#This Row],[STATE]])</f>
        <v>Granite City, IL</v>
      </c>
    </row>
    <row r="1938" spans="2:8" x14ac:dyDescent="0.2">
      <c r="B1938" s="27" t="s">
        <v>206</v>
      </c>
      <c r="C1938" s="28" t="s">
        <v>969</v>
      </c>
      <c r="D1938" s="29" t="s">
        <v>13</v>
      </c>
      <c r="E1938" s="30" t="s">
        <v>451</v>
      </c>
      <c r="F1938" s="28" t="s">
        <v>356</v>
      </c>
      <c r="G1938" s="30" t="s">
        <v>686</v>
      </c>
      <c r="H1938" t="str">
        <f>CONCATENATE(Prequal[[#This Row],[CITY]], ", ",Prequal[[#This Row],[STATE]])</f>
        <v>Granite City, IL</v>
      </c>
    </row>
    <row r="1939" spans="2:8" x14ac:dyDescent="0.2">
      <c r="B1939" s="27" t="s">
        <v>206</v>
      </c>
      <c r="C1939" s="28" t="s">
        <v>969</v>
      </c>
      <c r="D1939" s="29" t="s">
        <v>14</v>
      </c>
      <c r="E1939" s="30" t="s">
        <v>451</v>
      </c>
      <c r="F1939" s="28" t="s">
        <v>356</v>
      </c>
      <c r="G1939" s="30" t="s">
        <v>686</v>
      </c>
      <c r="H1939" t="str">
        <f>CONCATENATE(Prequal[[#This Row],[CITY]], ", ",Prequal[[#This Row],[STATE]])</f>
        <v>Granite City, IL</v>
      </c>
    </row>
    <row r="1940" spans="2:8" x14ac:dyDescent="0.2">
      <c r="B1940" s="27" t="s">
        <v>206</v>
      </c>
      <c r="C1940" s="28" t="s">
        <v>969</v>
      </c>
      <c r="D1940" s="29" t="s">
        <v>15</v>
      </c>
      <c r="E1940" s="30" t="s">
        <v>451</v>
      </c>
      <c r="F1940" s="28" t="s">
        <v>356</v>
      </c>
      <c r="G1940" s="30" t="s">
        <v>686</v>
      </c>
      <c r="H1940" t="str">
        <f>CONCATENATE(Prequal[[#This Row],[CITY]], ", ",Prequal[[#This Row],[STATE]])</f>
        <v>Granite City, IL</v>
      </c>
    </row>
    <row r="1941" spans="2:8" x14ac:dyDescent="0.2">
      <c r="B1941" s="27" t="s">
        <v>206</v>
      </c>
      <c r="C1941" s="28" t="s">
        <v>969</v>
      </c>
      <c r="D1941" s="29" t="s">
        <v>31</v>
      </c>
      <c r="E1941" s="30" t="s">
        <v>451</v>
      </c>
      <c r="F1941" s="28" t="s">
        <v>356</v>
      </c>
      <c r="G1941" s="30" t="s">
        <v>686</v>
      </c>
      <c r="H1941" t="str">
        <f>CONCATENATE(Prequal[[#This Row],[CITY]], ", ",Prequal[[#This Row],[STATE]])</f>
        <v>Granite City, IL</v>
      </c>
    </row>
    <row r="1942" spans="2:8" x14ac:dyDescent="0.2">
      <c r="B1942" s="27" t="s">
        <v>206</v>
      </c>
      <c r="C1942" s="28" t="s">
        <v>969</v>
      </c>
      <c r="D1942" s="29" t="s">
        <v>32</v>
      </c>
      <c r="E1942" s="30" t="s">
        <v>451</v>
      </c>
      <c r="F1942" s="28" t="s">
        <v>356</v>
      </c>
      <c r="G1942" s="30" t="s">
        <v>686</v>
      </c>
      <c r="H1942" t="str">
        <f>CONCATENATE(Prequal[[#This Row],[CITY]], ", ",Prequal[[#This Row],[STATE]])</f>
        <v>Granite City, IL</v>
      </c>
    </row>
    <row r="1943" spans="2:8" x14ac:dyDescent="0.2">
      <c r="B1943" s="27" t="s">
        <v>517</v>
      </c>
      <c r="C1943" s="28" t="s">
        <v>970</v>
      </c>
      <c r="D1943" s="29" t="s">
        <v>9</v>
      </c>
      <c r="E1943" s="30" t="s">
        <v>418</v>
      </c>
      <c r="F1943" s="28" t="s">
        <v>356</v>
      </c>
      <c r="G1943" s="30" t="s">
        <v>687</v>
      </c>
      <c r="H1943" t="str">
        <f>CONCATENATE(Prequal[[#This Row],[CITY]], ", ",Prequal[[#This Row],[STATE]])</f>
        <v>Downers Grove, IL</v>
      </c>
    </row>
    <row r="1944" spans="2:8" x14ac:dyDescent="0.2">
      <c r="B1944" s="27" t="s">
        <v>517</v>
      </c>
      <c r="C1944" s="28" t="s">
        <v>970</v>
      </c>
      <c r="D1944" s="29" t="s">
        <v>10</v>
      </c>
      <c r="E1944" s="30" t="s">
        <v>418</v>
      </c>
      <c r="F1944" s="28" t="s">
        <v>356</v>
      </c>
      <c r="G1944" s="30" t="s">
        <v>687</v>
      </c>
      <c r="H1944" t="str">
        <f>CONCATENATE(Prequal[[#This Row],[CITY]], ", ",Prequal[[#This Row],[STATE]])</f>
        <v>Downers Grove, IL</v>
      </c>
    </row>
    <row r="1945" spans="2:8" x14ac:dyDescent="0.2">
      <c r="B1945" s="27" t="s">
        <v>207</v>
      </c>
      <c r="C1945" s="28" t="s">
        <v>970</v>
      </c>
      <c r="D1945" s="29" t="s">
        <v>5</v>
      </c>
      <c r="E1945" s="30" t="s">
        <v>527</v>
      </c>
      <c r="F1945" s="28" t="s">
        <v>356</v>
      </c>
      <c r="G1945" s="30" t="s">
        <v>688</v>
      </c>
      <c r="H1945" t="str">
        <f>CONCATENATE(Prequal[[#This Row],[CITY]], ", ",Prequal[[#This Row],[STATE]])</f>
        <v>AURORA, IL</v>
      </c>
    </row>
    <row r="1946" spans="2:8" x14ac:dyDescent="0.2">
      <c r="B1946" s="27" t="s">
        <v>207</v>
      </c>
      <c r="C1946" s="28" t="s">
        <v>970</v>
      </c>
      <c r="D1946" s="29" t="s">
        <v>12</v>
      </c>
      <c r="E1946" s="30" t="s">
        <v>527</v>
      </c>
      <c r="F1946" s="28" t="s">
        <v>356</v>
      </c>
      <c r="G1946" s="30" t="s">
        <v>688</v>
      </c>
      <c r="H1946" t="str">
        <f>CONCATENATE(Prequal[[#This Row],[CITY]], ", ",Prequal[[#This Row],[STATE]])</f>
        <v>AURORA, IL</v>
      </c>
    </row>
    <row r="1947" spans="2:8" x14ac:dyDescent="0.2">
      <c r="B1947" s="27" t="s">
        <v>533</v>
      </c>
      <c r="C1947" s="28" t="s">
        <v>970</v>
      </c>
      <c r="D1947" s="29" t="s">
        <v>46</v>
      </c>
      <c r="E1947" s="30" t="s">
        <v>493</v>
      </c>
      <c r="F1947" s="28" t="s">
        <v>356</v>
      </c>
      <c r="G1947" s="30" t="s">
        <v>689</v>
      </c>
      <c r="H1947" t="str">
        <f>CONCATENATE(Prequal[[#This Row],[CITY]], ", ",Prequal[[#This Row],[STATE]])</f>
        <v>Woodridge, IL</v>
      </c>
    </row>
    <row r="1948" spans="2:8" x14ac:dyDescent="0.2">
      <c r="B1948" s="27" t="s">
        <v>208</v>
      </c>
      <c r="C1948" s="28" t="s">
        <v>970</v>
      </c>
      <c r="D1948" s="29" t="s">
        <v>43</v>
      </c>
      <c r="E1948" s="30" t="s">
        <v>387</v>
      </c>
      <c r="F1948" s="28" t="s">
        <v>356</v>
      </c>
      <c r="G1948" s="30" t="s">
        <v>690</v>
      </c>
      <c r="H1948" t="str">
        <f>CONCATENATE(Prequal[[#This Row],[CITY]], ", ",Prequal[[#This Row],[STATE]])</f>
        <v>Belleville, IL</v>
      </c>
    </row>
    <row r="1949" spans="2:8" x14ac:dyDescent="0.2">
      <c r="B1949" s="27" t="s">
        <v>208</v>
      </c>
      <c r="C1949" s="28" t="s">
        <v>970</v>
      </c>
      <c r="D1949" s="29" t="s">
        <v>44</v>
      </c>
      <c r="E1949" s="30" t="s">
        <v>387</v>
      </c>
      <c r="F1949" s="28" t="s">
        <v>356</v>
      </c>
      <c r="G1949" s="30" t="s">
        <v>690</v>
      </c>
      <c r="H1949" t="str">
        <f>CONCATENATE(Prequal[[#This Row],[CITY]], ", ",Prequal[[#This Row],[STATE]])</f>
        <v>Belleville, IL</v>
      </c>
    </row>
    <row r="1950" spans="2:8" x14ac:dyDescent="0.2">
      <c r="B1950" s="27" t="s">
        <v>208</v>
      </c>
      <c r="C1950" s="28" t="s">
        <v>970</v>
      </c>
      <c r="D1950" s="29" t="s">
        <v>46</v>
      </c>
      <c r="E1950" s="30" t="s">
        <v>387</v>
      </c>
      <c r="F1950" s="28" t="s">
        <v>356</v>
      </c>
      <c r="G1950" s="30" t="s">
        <v>690</v>
      </c>
      <c r="H1950" t="str">
        <f>CONCATENATE(Prequal[[#This Row],[CITY]], ", ",Prequal[[#This Row],[STATE]])</f>
        <v>Belleville, IL</v>
      </c>
    </row>
    <row r="1951" spans="2:8" x14ac:dyDescent="0.2">
      <c r="B1951" s="27" t="s">
        <v>208</v>
      </c>
      <c r="C1951" s="28" t="s">
        <v>970</v>
      </c>
      <c r="D1951" s="29" t="s">
        <v>47</v>
      </c>
      <c r="E1951" s="30" t="s">
        <v>387</v>
      </c>
      <c r="F1951" s="28" t="s">
        <v>356</v>
      </c>
      <c r="G1951" s="30" t="s">
        <v>690</v>
      </c>
      <c r="H1951" t="str">
        <f>CONCATENATE(Prequal[[#This Row],[CITY]], ", ",Prequal[[#This Row],[STATE]])</f>
        <v>Belleville, IL</v>
      </c>
    </row>
    <row r="1952" spans="2:8" x14ac:dyDescent="0.2">
      <c r="B1952" s="27" t="s">
        <v>208</v>
      </c>
      <c r="C1952" s="28" t="s">
        <v>970</v>
      </c>
      <c r="D1952" s="29" t="s">
        <v>48</v>
      </c>
      <c r="E1952" s="30" t="s">
        <v>387</v>
      </c>
      <c r="F1952" s="28" t="s">
        <v>356</v>
      </c>
      <c r="G1952" s="30" t="s">
        <v>690</v>
      </c>
      <c r="H1952" t="str">
        <f>CONCATENATE(Prequal[[#This Row],[CITY]], ", ",Prequal[[#This Row],[STATE]])</f>
        <v>Belleville, IL</v>
      </c>
    </row>
    <row r="1953" spans="2:8" x14ac:dyDescent="0.2">
      <c r="B1953" s="27" t="s">
        <v>208</v>
      </c>
      <c r="C1953" s="28" t="s">
        <v>970</v>
      </c>
      <c r="D1953" s="29" t="s">
        <v>4</v>
      </c>
      <c r="E1953" s="30" t="s">
        <v>387</v>
      </c>
      <c r="F1953" s="28" t="s">
        <v>356</v>
      </c>
      <c r="G1953" s="30" t="s">
        <v>690</v>
      </c>
      <c r="H1953" t="str">
        <f>CONCATENATE(Prequal[[#This Row],[CITY]], ", ",Prequal[[#This Row],[STATE]])</f>
        <v>Belleville, IL</v>
      </c>
    </row>
    <row r="1954" spans="2:8" x14ac:dyDescent="0.2">
      <c r="B1954" s="27" t="s">
        <v>208</v>
      </c>
      <c r="C1954" s="28" t="s">
        <v>970</v>
      </c>
      <c r="D1954" s="29" t="s">
        <v>5</v>
      </c>
      <c r="E1954" s="30" t="s">
        <v>387</v>
      </c>
      <c r="F1954" s="28" t="s">
        <v>356</v>
      </c>
      <c r="G1954" s="30" t="s">
        <v>690</v>
      </c>
      <c r="H1954" t="str">
        <f>CONCATENATE(Prequal[[#This Row],[CITY]], ", ",Prequal[[#This Row],[STATE]])</f>
        <v>Belleville, IL</v>
      </c>
    </row>
    <row r="1955" spans="2:8" x14ac:dyDescent="0.2">
      <c r="B1955" s="27" t="s">
        <v>208</v>
      </c>
      <c r="C1955" s="28" t="s">
        <v>970</v>
      </c>
      <c r="D1955" s="29" t="s">
        <v>7</v>
      </c>
      <c r="E1955" s="30" t="s">
        <v>387</v>
      </c>
      <c r="F1955" s="28" t="s">
        <v>356</v>
      </c>
      <c r="G1955" s="30" t="s">
        <v>690</v>
      </c>
      <c r="H1955" t="str">
        <f>CONCATENATE(Prequal[[#This Row],[CITY]], ", ",Prequal[[#This Row],[STATE]])</f>
        <v>Belleville, IL</v>
      </c>
    </row>
    <row r="1956" spans="2:8" x14ac:dyDescent="0.2">
      <c r="B1956" s="27" t="s">
        <v>208</v>
      </c>
      <c r="C1956" s="28" t="s">
        <v>970</v>
      </c>
      <c r="D1956" s="29" t="s">
        <v>8</v>
      </c>
      <c r="E1956" s="30" t="s">
        <v>387</v>
      </c>
      <c r="F1956" s="28" t="s">
        <v>356</v>
      </c>
      <c r="G1956" s="30" t="s">
        <v>690</v>
      </c>
      <c r="H1956" t="str">
        <f>CONCATENATE(Prequal[[#This Row],[CITY]], ", ",Prequal[[#This Row],[STATE]])</f>
        <v>Belleville, IL</v>
      </c>
    </row>
    <row r="1957" spans="2:8" x14ac:dyDescent="0.2">
      <c r="B1957" s="27" t="s">
        <v>208</v>
      </c>
      <c r="C1957" s="28" t="s">
        <v>970</v>
      </c>
      <c r="D1957" s="29" t="s">
        <v>24</v>
      </c>
      <c r="E1957" s="30" t="s">
        <v>387</v>
      </c>
      <c r="F1957" s="28" t="s">
        <v>356</v>
      </c>
      <c r="G1957" s="30" t="s">
        <v>690</v>
      </c>
      <c r="H1957" t="str">
        <f>CONCATENATE(Prequal[[#This Row],[CITY]], ", ",Prequal[[#This Row],[STATE]])</f>
        <v>Belleville, IL</v>
      </c>
    </row>
    <row r="1958" spans="2:8" x14ac:dyDescent="0.2">
      <c r="B1958" s="27" t="s">
        <v>208</v>
      </c>
      <c r="C1958" s="28" t="s">
        <v>970</v>
      </c>
      <c r="D1958" s="29" t="s">
        <v>25</v>
      </c>
      <c r="E1958" s="30" t="s">
        <v>387</v>
      </c>
      <c r="F1958" s="28" t="s">
        <v>356</v>
      </c>
      <c r="G1958" s="30" t="s">
        <v>690</v>
      </c>
      <c r="H1958" t="str">
        <f>CONCATENATE(Prequal[[#This Row],[CITY]], ", ",Prequal[[#This Row],[STATE]])</f>
        <v>Belleville, IL</v>
      </c>
    </row>
    <row r="1959" spans="2:8" x14ac:dyDescent="0.2">
      <c r="B1959" s="27" t="s">
        <v>208</v>
      </c>
      <c r="C1959" s="28" t="s">
        <v>970</v>
      </c>
      <c r="D1959" s="29" t="s">
        <v>9</v>
      </c>
      <c r="E1959" s="30" t="s">
        <v>387</v>
      </c>
      <c r="F1959" s="28" t="s">
        <v>356</v>
      </c>
      <c r="G1959" s="30" t="s">
        <v>690</v>
      </c>
      <c r="H1959" t="str">
        <f>CONCATENATE(Prequal[[#This Row],[CITY]], ", ",Prequal[[#This Row],[STATE]])</f>
        <v>Belleville, IL</v>
      </c>
    </row>
    <row r="1960" spans="2:8" x14ac:dyDescent="0.2">
      <c r="B1960" s="27" t="s">
        <v>208</v>
      </c>
      <c r="C1960" s="28" t="s">
        <v>970</v>
      </c>
      <c r="D1960" s="29" t="s">
        <v>27</v>
      </c>
      <c r="E1960" s="30" t="s">
        <v>387</v>
      </c>
      <c r="F1960" s="28" t="s">
        <v>356</v>
      </c>
      <c r="G1960" s="30" t="s">
        <v>690</v>
      </c>
      <c r="H1960" t="str">
        <f>CONCATENATE(Prequal[[#This Row],[CITY]], ", ",Prequal[[#This Row],[STATE]])</f>
        <v>Belleville, IL</v>
      </c>
    </row>
    <row r="1961" spans="2:8" x14ac:dyDescent="0.2">
      <c r="B1961" s="27" t="s">
        <v>208</v>
      </c>
      <c r="C1961" s="28" t="s">
        <v>970</v>
      </c>
      <c r="D1961" s="29" t="s">
        <v>10</v>
      </c>
      <c r="E1961" s="30" t="s">
        <v>387</v>
      </c>
      <c r="F1961" s="28" t="s">
        <v>356</v>
      </c>
      <c r="G1961" s="30" t="s">
        <v>690</v>
      </c>
      <c r="H1961" t="str">
        <f>CONCATENATE(Prequal[[#This Row],[CITY]], ", ",Prequal[[#This Row],[STATE]])</f>
        <v>Belleville, IL</v>
      </c>
    </row>
    <row r="1962" spans="2:8" x14ac:dyDescent="0.2">
      <c r="B1962" s="27" t="s">
        <v>208</v>
      </c>
      <c r="C1962" s="28" t="s">
        <v>970</v>
      </c>
      <c r="D1962" s="29" t="s">
        <v>39</v>
      </c>
      <c r="E1962" s="30" t="s">
        <v>387</v>
      </c>
      <c r="F1962" s="28" t="s">
        <v>356</v>
      </c>
      <c r="G1962" s="30" t="s">
        <v>690</v>
      </c>
      <c r="H1962" t="str">
        <f>CONCATENATE(Prequal[[#This Row],[CITY]], ", ",Prequal[[#This Row],[STATE]])</f>
        <v>Belleville, IL</v>
      </c>
    </row>
    <row r="1963" spans="2:8" x14ac:dyDescent="0.2">
      <c r="B1963" s="27" t="s">
        <v>208</v>
      </c>
      <c r="C1963" s="28" t="s">
        <v>970</v>
      </c>
      <c r="D1963" s="29" t="s">
        <v>37</v>
      </c>
      <c r="E1963" s="30" t="s">
        <v>387</v>
      </c>
      <c r="F1963" s="28" t="s">
        <v>356</v>
      </c>
      <c r="G1963" s="30" t="s">
        <v>690</v>
      </c>
      <c r="H1963" t="str">
        <f>CONCATENATE(Prequal[[#This Row],[CITY]], ", ",Prequal[[#This Row],[STATE]])</f>
        <v>Belleville, IL</v>
      </c>
    </row>
    <row r="1964" spans="2:8" x14ac:dyDescent="0.2">
      <c r="B1964" s="27" t="s">
        <v>208</v>
      </c>
      <c r="C1964" s="28" t="s">
        <v>970</v>
      </c>
      <c r="D1964" s="29" t="s">
        <v>13</v>
      </c>
      <c r="E1964" s="30" t="s">
        <v>387</v>
      </c>
      <c r="F1964" s="28" t="s">
        <v>356</v>
      </c>
      <c r="G1964" s="30" t="s">
        <v>690</v>
      </c>
      <c r="H1964" t="str">
        <f>CONCATENATE(Prequal[[#This Row],[CITY]], ", ",Prequal[[#This Row],[STATE]])</f>
        <v>Belleville, IL</v>
      </c>
    </row>
    <row r="1965" spans="2:8" x14ac:dyDescent="0.2">
      <c r="B1965" s="27" t="s">
        <v>208</v>
      </c>
      <c r="C1965" s="28" t="s">
        <v>970</v>
      </c>
      <c r="D1965" s="29" t="s">
        <v>14</v>
      </c>
      <c r="E1965" s="30" t="s">
        <v>387</v>
      </c>
      <c r="F1965" s="28" t="s">
        <v>356</v>
      </c>
      <c r="G1965" s="30" t="s">
        <v>690</v>
      </c>
      <c r="H1965" t="str">
        <f>CONCATENATE(Prequal[[#This Row],[CITY]], ", ",Prequal[[#This Row],[STATE]])</f>
        <v>Belleville, IL</v>
      </c>
    </row>
    <row r="1966" spans="2:8" x14ac:dyDescent="0.2">
      <c r="B1966" s="27" t="s">
        <v>208</v>
      </c>
      <c r="C1966" s="28" t="s">
        <v>970</v>
      </c>
      <c r="D1966" s="29" t="s">
        <v>15</v>
      </c>
      <c r="E1966" s="30" t="s">
        <v>387</v>
      </c>
      <c r="F1966" s="28" t="s">
        <v>356</v>
      </c>
      <c r="G1966" s="30" t="s">
        <v>690</v>
      </c>
      <c r="H1966" t="str">
        <f>CONCATENATE(Prequal[[#This Row],[CITY]], ", ",Prequal[[#This Row],[STATE]])</f>
        <v>Belleville, IL</v>
      </c>
    </row>
    <row r="1967" spans="2:8" x14ac:dyDescent="0.2">
      <c r="B1967" s="27" t="s">
        <v>208</v>
      </c>
      <c r="C1967" s="28" t="s">
        <v>970</v>
      </c>
      <c r="D1967" s="29" t="s">
        <v>1004</v>
      </c>
      <c r="E1967" s="30" t="s">
        <v>387</v>
      </c>
      <c r="F1967" s="28" t="s">
        <v>356</v>
      </c>
      <c r="G1967" s="30" t="s">
        <v>690</v>
      </c>
      <c r="H1967" t="str">
        <f>CONCATENATE(Prequal[[#This Row],[CITY]], ", ",Prequal[[#This Row],[STATE]])</f>
        <v>Belleville, IL</v>
      </c>
    </row>
    <row r="1968" spans="2:8" x14ac:dyDescent="0.2">
      <c r="B1968" s="27" t="s">
        <v>208</v>
      </c>
      <c r="C1968" s="28" t="s">
        <v>970</v>
      </c>
      <c r="D1968" s="29" t="s">
        <v>31</v>
      </c>
      <c r="E1968" s="30" t="s">
        <v>387</v>
      </c>
      <c r="F1968" s="28" t="s">
        <v>356</v>
      </c>
      <c r="G1968" s="30" t="s">
        <v>690</v>
      </c>
      <c r="H1968" t="str">
        <f>CONCATENATE(Prequal[[#This Row],[CITY]], ", ",Prequal[[#This Row],[STATE]])</f>
        <v>Belleville, IL</v>
      </c>
    </row>
    <row r="1969" spans="2:8" x14ac:dyDescent="0.2">
      <c r="B1969" s="27" t="s">
        <v>208</v>
      </c>
      <c r="C1969" s="28" t="s">
        <v>970</v>
      </c>
      <c r="D1969" s="29" t="s">
        <v>32</v>
      </c>
      <c r="E1969" s="30" t="s">
        <v>387</v>
      </c>
      <c r="F1969" s="28" t="s">
        <v>356</v>
      </c>
      <c r="G1969" s="30" t="s">
        <v>690</v>
      </c>
      <c r="H1969" t="str">
        <f>CONCATENATE(Prequal[[#This Row],[CITY]], ", ",Prequal[[#This Row],[STATE]])</f>
        <v>Belleville, IL</v>
      </c>
    </row>
    <row r="1970" spans="2:8" x14ac:dyDescent="0.2">
      <c r="B1970" s="27" t="s">
        <v>209</v>
      </c>
      <c r="C1970" s="28" t="s">
        <v>970</v>
      </c>
      <c r="D1970" s="29" t="s">
        <v>21</v>
      </c>
      <c r="E1970" s="30" t="s">
        <v>947</v>
      </c>
      <c r="F1970" s="28" t="s">
        <v>356</v>
      </c>
      <c r="G1970" s="30" t="s">
        <v>979</v>
      </c>
      <c r="H1970" t="str">
        <f>CONCATENATE(Prequal[[#This Row],[CITY]], ", ",Prequal[[#This Row],[STATE]])</f>
        <v>Chicago, IL</v>
      </c>
    </row>
    <row r="1971" spans="2:8" x14ac:dyDescent="0.2">
      <c r="B1971" s="27" t="s">
        <v>210</v>
      </c>
      <c r="C1971" s="28" t="s">
        <v>969</v>
      </c>
      <c r="D1971" s="29" t="s">
        <v>27</v>
      </c>
      <c r="E1971" s="30" t="s">
        <v>391</v>
      </c>
      <c r="F1971" s="28" t="s">
        <v>356</v>
      </c>
      <c r="G1971" s="30" t="s">
        <v>691</v>
      </c>
      <c r="H1971" t="str">
        <f>CONCATENATE(Prequal[[#This Row],[CITY]], ", ",Prequal[[#This Row],[STATE]])</f>
        <v>Rosemont, IL</v>
      </c>
    </row>
    <row r="1972" spans="2:8" x14ac:dyDescent="0.2">
      <c r="B1972" s="27" t="s">
        <v>210</v>
      </c>
      <c r="C1972" s="28" t="s">
        <v>969</v>
      </c>
      <c r="D1972" s="29" t="s">
        <v>13</v>
      </c>
      <c r="E1972" s="30" t="s">
        <v>391</v>
      </c>
      <c r="F1972" s="28" t="s">
        <v>356</v>
      </c>
      <c r="G1972" s="30" t="s">
        <v>691</v>
      </c>
      <c r="H1972" t="str">
        <f>CONCATENATE(Prequal[[#This Row],[CITY]], ", ",Prequal[[#This Row],[STATE]])</f>
        <v>Rosemont, IL</v>
      </c>
    </row>
    <row r="1973" spans="2:8" x14ac:dyDescent="0.2">
      <c r="B1973" s="27" t="s">
        <v>211</v>
      </c>
      <c r="C1973" s="28" t="s">
        <v>969</v>
      </c>
      <c r="D1973" s="29" t="s">
        <v>35</v>
      </c>
      <c r="E1973" s="30" t="s">
        <v>414</v>
      </c>
      <c r="F1973" s="28" t="s">
        <v>356</v>
      </c>
      <c r="G1973" s="30" t="s">
        <v>692</v>
      </c>
      <c r="H1973" t="str">
        <f>CONCATENATE(Prequal[[#This Row],[CITY]], ", ",Prequal[[#This Row],[STATE]])</f>
        <v>Warrenville, IL</v>
      </c>
    </row>
    <row r="1974" spans="2:8" x14ac:dyDescent="0.2">
      <c r="B1974" s="27" t="s">
        <v>211</v>
      </c>
      <c r="C1974" s="28" t="s">
        <v>969</v>
      </c>
      <c r="D1974" s="29" t="s">
        <v>124</v>
      </c>
      <c r="E1974" s="30" t="s">
        <v>414</v>
      </c>
      <c r="F1974" s="28" t="s">
        <v>356</v>
      </c>
      <c r="G1974" s="30" t="s">
        <v>692</v>
      </c>
      <c r="H1974" t="str">
        <f>CONCATENATE(Prequal[[#This Row],[CITY]], ", ",Prequal[[#This Row],[STATE]])</f>
        <v>Warrenville, IL</v>
      </c>
    </row>
    <row r="1975" spans="2:8" x14ac:dyDescent="0.2">
      <c r="B1975" s="27" t="s">
        <v>211</v>
      </c>
      <c r="C1975" s="28" t="s">
        <v>969</v>
      </c>
      <c r="D1975" s="29" t="s">
        <v>36</v>
      </c>
      <c r="E1975" s="30" t="s">
        <v>414</v>
      </c>
      <c r="F1975" s="28" t="s">
        <v>356</v>
      </c>
      <c r="G1975" s="30" t="s">
        <v>692</v>
      </c>
      <c r="H1975" t="str">
        <f>CONCATENATE(Prequal[[#This Row],[CITY]], ", ",Prequal[[#This Row],[STATE]])</f>
        <v>Warrenville, IL</v>
      </c>
    </row>
    <row r="1976" spans="2:8" x14ac:dyDescent="0.2">
      <c r="B1976" s="27" t="s">
        <v>211</v>
      </c>
      <c r="C1976" s="28" t="s">
        <v>969</v>
      </c>
      <c r="D1976" s="29" t="s">
        <v>125</v>
      </c>
      <c r="E1976" s="30" t="s">
        <v>414</v>
      </c>
      <c r="F1976" s="28" t="s">
        <v>356</v>
      </c>
      <c r="G1976" s="30" t="s">
        <v>692</v>
      </c>
      <c r="H1976" t="str">
        <f>CONCATENATE(Prequal[[#This Row],[CITY]], ", ",Prequal[[#This Row],[STATE]])</f>
        <v>Warrenville, IL</v>
      </c>
    </row>
    <row r="1977" spans="2:8" x14ac:dyDescent="0.2">
      <c r="B1977" s="27" t="s">
        <v>211</v>
      </c>
      <c r="C1977" s="28" t="s">
        <v>969</v>
      </c>
      <c r="D1977" s="29" t="s">
        <v>42</v>
      </c>
      <c r="E1977" s="30" t="s">
        <v>414</v>
      </c>
      <c r="F1977" s="28" t="s">
        <v>356</v>
      </c>
      <c r="G1977" s="30" t="s">
        <v>692</v>
      </c>
      <c r="H1977" t="str">
        <f>CONCATENATE(Prequal[[#This Row],[CITY]], ", ",Prequal[[#This Row],[STATE]])</f>
        <v>Warrenville, IL</v>
      </c>
    </row>
    <row r="1978" spans="2:8" x14ac:dyDescent="0.2">
      <c r="B1978" s="27" t="s">
        <v>211</v>
      </c>
      <c r="C1978" s="28" t="s">
        <v>969</v>
      </c>
      <c r="D1978" s="29" t="s">
        <v>4</v>
      </c>
      <c r="E1978" s="30" t="s">
        <v>414</v>
      </c>
      <c r="F1978" s="28" t="s">
        <v>356</v>
      </c>
      <c r="G1978" s="30" t="s">
        <v>692</v>
      </c>
      <c r="H1978" t="str">
        <f>CONCATENATE(Prequal[[#This Row],[CITY]], ", ",Prequal[[#This Row],[STATE]])</f>
        <v>Warrenville, IL</v>
      </c>
    </row>
    <row r="1979" spans="2:8" x14ac:dyDescent="0.2">
      <c r="B1979" s="31" t="s">
        <v>211</v>
      </c>
      <c r="C1979" s="32" t="s">
        <v>969</v>
      </c>
      <c r="D1979" s="33" t="s">
        <v>5</v>
      </c>
      <c r="E1979" s="30" t="s">
        <v>414</v>
      </c>
      <c r="F1979" s="32" t="s">
        <v>356</v>
      </c>
      <c r="G1979" s="30" t="s">
        <v>692</v>
      </c>
      <c r="H1979" t="str">
        <f>CONCATENATE(Prequal[[#This Row],[CITY]], ", ",Prequal[[#This Row],[STATE]])</f>
        <v>Warrenville, IL</v>
      </c>
    </row>
    <row r="1980" spans="2:8" x14ac:dyDescent="0.2">
      <c r="B1980" s="27" t="s">
        <v>211</v>
      </c>
      <c r="C1980" s="28" t="s">
        <v>969</v>
      </c>
      <c r="D1980" s="29" t="s">
        <v>7</v>
      </c>
      <c r="E1980" s="30" t="s">
        <v>414</v>
      </c>
      <c r="F1980" s="28" t="s">
        <v>356</v>
      </c>
      <c r="G1980" s="30" t="s">
        <v>692</v>
      </c>
      <c r="H1980" t="str">
        <f>CONCATENATE(Prequal[[#This Row],[CITY]], ", ",Prequal[[#This Row],[STATE]])</f>
        <v>Warrenville, IL</v>
      </c>
    </row>
    <row r="1981" spans="2:8" x14ac:dyDescent="0.2">
      <c r="B1981" s="27" t="s">
        <v>211</v>
      </c>
      <c r="C1981" s="28" t="s">
        <v>969</v>
      </c>
      <c r="D1981" s="29" t="s">
        <v>8</v>
      </c>
      <c r="E1981" s="30" t="s">
        <v>414</v>
      </c>
      <c r="F1981" s="28" t="s">
        <v>356</v>
      </c>
      <c r="G1981" s="30" t="s">
        <v>692</v>
      </c>
      <c r="H1981" t="str">
        <f>CONCATENATE(Prequal[[#This Row],[CITY]], ", ",Prequal[[#This Row],[STATE]])</f>
        <v>Warrenville, IL</v>
      </c>
    </row>
    <row r="1982" spans="2:8" x14ac:dyDescent="0.2">
      <c r="B1982" s="27" t="s">
        <v>211</v>
      </c>
      <c r="C1982" s="28" t="s">
        <v>969</v>
      </c>
      <c r="D1982" s="29" t="s">
        <v>24</v>
      </c>
      <c r="E1982" s="30" t="s">
        <v>414</v>
      </c>
      <c r="F1982" s="28" t="s">
        <v>356</v>
      </c>
      <c r="G1982" s="30" t="s">
        <v>692</v>
      </c>
      <c r="H1982" t="str">
        <f>CONCATENATE(Prequal[[#This Row],[CITY]], ", ",Prequal[[#This Row],[STATE]])</f>
        <v>Warrenville, IL</v>
      </c>
    </row>
    <row r="1983" spans="2:8" x14ac:dyDescent="0.2">
      <c r="B1983" s="27" t="s">
        <v>211</v>
      </c>
      <c r="C1983" s="28" t="s">
        <v>969</v>
      </c>
      <c r="D1983" s="29" t="s">
        <v>25</v>
      </c>
      <c r="E1983" s="30" t="s">
        <v>414</v>
      </c>
      <c r="F1983" s="28" t="s">
        <v>356</v>
      </c>
      <c r="G1983" s="30" t="s">
        <v>692</v>
      </c>
      <c r="H1983" t="str">
        <f>CONCATENATE(Prequal[[#This Row],[CITY]], ", ",Prequal[[#This Row],[STATE]])</f>
        <v>Warrenville, IL</v>
      </c>
    </row>
    <row r="1984" spans="2:8" x14ac:dyDescent="0.2">
      <c r="B1984" s="27" t="s">
        <v>211</v>
      </c>
      <c r="C1984" s="28" t="s">
        <v>969</v>
      </c>
      <c r="D1984" s="29" t="s">
        <v>9</v>
      </c>
      <c r="E1984" s="30" t="s">
        <v>414</v>
      </c>
      <c r="F1984" s="28" t="s">
        <v>356</v>
      </c>
      <c r="G1984" s="30" t="s">
        <v>692</v>
      </c>
      <c r="H1984" t="str">
        <f>CONCATENATE(Prequal[[#This Row],[CITY]], ", ",Prequal[[#This Row],[STATE]])</f>
        <v>Warrenville, IL</v>
      </c>
    </row>
    <row r="1985" spans="2:8" x14ac:dyDescent="0.2">
      <c r="B1985" s="27" t="s">
        <v>211</v>
      </c>
      <c r="C1985" s="28" t="s">
        <v>969</v>
      </c>
      <c r="D1985" s="29" t="s">
        <v>20</v>
      </c>
      <c r="E1985" s="30" t="s">
        <v>414</v>
      </c>
      <c r="F1985" s="28" t="s">
        <v>356</v>
      </c>
      <c r="G1985" s="30" t="s">
        <v>692</v>
      </c>
      <c r="H1985" t="str">
        <f>CONCATENATE(Prequal[[#This Row],[CITY]], ", ",Prequal[[#This Row],[STATE]])</f>
        <v>Warrenville, IL</v>
      </c>
    </row>
    <row r="1986" spans="2:8" x14ac:dyDescent="0.2">
      <c r="B1986" s="27" t="s">
        <v>211</v>
      </c>
      <c r="C1986" s="28" t="s">
        <v>969</v>
      </c>
      <c r="D1986" s="29" t="s">
        <v>27</v>
      </c>
      <c r="E1986" s="30" t="s">
        <v>414</v>
      </c>
      <c r="F1986" s="28" t="s">
        <v>356</v>
      </c>
      <c r="G1986" s="30" t="s">
        <v>692</v>
      </c>
      <c r="H1986" t="str">
        <f>CONCATENATE(Prequal[[#This Row],[CITY]], ", ",Prequal[[#This Row],[STATE]])</f>
        <v>Warrenville, IL</v>
      </c>
    </row>
    <row r="1987" spans="2:8" x14ac:dyDescent="0.2">
      <c r="B1987" s="27" t="s">
        <v>211</v>
      </c>
      <c r="C1987" s="28" t="s">
        <v>969</v>
      </c>
      <c r="D1987" s="29" t="s">
        <v>10</v>
      </c>
      <c r="E1987" s="30" t="s">
        <v>414</v>
      </c>
      <c r="F1987" s="28" t="s">
        <v>356</v>
      </c>
      <c r="G1987" s="30" t="s">
        <v>692</v>
      </c>
      <c r="H1987" t="str">
        <f>CONCATENATE(Prequal[[#This Row],[CITY]], ", ",Prequal[[#This Row],[STATE]])</f>
        <v>Warrenville, IL</v>
      </c>
    </row>
    <row r="1988" spans="2:8" x14ac:dyDescent="0.2">
      <c r="B1988" s="27" t="s">
        <v>211</v>
      </c>
      <c r="C1988" s="28" t="s">
        <v>969</v>
      </c>
      <c r="D1988" s="29" t="s">
        <v>21</v>
      </c>
      <c r="E1988" s="30" t="s">
        <v>414</v>
      </c>
      <c r="F1988" s="28" t="s">
        <v>356</v>
      </c>
      <c r="G1988" s="30" t="s">
        <v>692</v>
      </c>
      <c r="H1988" t="str">
        <f>CONCATENATE(Prequal[[#This Row],[CITY]], ", ",Prequal[[#This Row],[STATE]])</f>
        <v>Warrenville, IL</v>
      </c>
    </row>
    <row r="1989" spans="2:8" x14ac:dyDescent="0.2">
      <c r="B1989" s="27" t="s">
        <v>211</v>
      </c>
      <c r="C1989" s="28" t="s">
        <v>969</v>
      </c>
      <c r="D1989" s="29" t="s">
        <v>11</v>
      </c>
      <c r="E1989" s="30" t="s">
        <v>414</v>
      </c>
      <c r="F1989" s="28" t="s">
        <v>356</v>
      </c>
      <c r="G1989" s="30" t="s">
        <v>692</v>
      </c>
      <c r="H1989" t="str">
        <f>CONCATENATE(Prequal[[#This Row],[CITY]], ", ",Prequal[[#This Row],[STATE]])</f>
        <v>Warrenville, IL</v>
      </c>
    </row>
    <row r="1990" spans="2:8" x14ac:dyDescent="0.2">
      <c r="B1990" s="27" t="s">
        <v>211</v>
      </c>
      <c r="C1990" s="28" t="s">
        <v>969</v>
      </c>
      <c r="D1990" s="29" t="s">
        <v>39</v>
      </c>
      <c r="E1990" s="30" t="s">
        <v>414</v>
      </c>
      <c r="F1990" s="28" t="s">
        <v>356</v>
      </c>
      <c r="G1990" s="30" t="s">
        <v>692</v>
      </c>
      <c r="H1990" t="str">
        <f>CONCATENATE(Prequal[[#This Row],[CITY]], ", ",Prequal[[#This Row],[STATE]])</f>
        <v>Warrenville, IL</v>
      </c>
    </row>
    <row r="1991" spans="2:8" x14ac:dyDescent="0.2">
      <c r="B1991" s="27" t="s">
        <v>211</v>
      </c>
      <c r="C1991" s="28" t="s">
        <v>969</v>
      </c>
      <c r="D1991" s="29" t="s">
        <v>37</v>
      </c>
      <c r="E1991" s="30" t="s">
        <v>414</v>
      </c>
      <c r="F1991" s="28" t="s">
        <v>356</v>
      </c>
      <c r="G1991" s="30" t="s">
        <v>692</v>
      </c>
      <c r="H1991" t="str">
        <f>CONCATENATE(Prequal[[#This Row],[CITY]], ", ",Prequal[[#This Row],[STATE]])</f>
        <v>Warrenville, IL</v>
      </c>
    </row>
    <row r="1992" spans="2:8" x14ac:dyDescent="0.2">
      <c r="B1992" s="27" t="s">
        <v>211</v>
      </c>
      <c r="C1992" s="28" t="s">
        <v>969</v>
      </c>
      <c r="D1992" s="29" t="s">
        <v>13</v>
      </c>
      <c r="E1992" s="30" t="s">
        <v>414</v>
      </c>
      <c r="F1992" s="28" t="s">
        <v>356</v>
      </c>
      <c r="G1992" s="30" t="s">
        <v>692</v>
      </c>
      <c r="H1992" t="str">
        <f>CONCATENATE(Prequal[[#This Row],[CITY]], ", ",Prequal[[#This Row],[STATE]])</f>
        <v>Warrenville, IL</v>
      </c>
    </row>
    <row r="1993" spans="2:8" x14ac:dyDescent="0.2">
      <c r="B1993" s="27" t="s">
        <v>211</v>
      </c>
      <c r="C1993" s="28" t="s">
        <v>969</v>
      </c>
      <c r="D1993" s="29" t="s">
        <v>52</v>
      </c>
      <c r="E1993" s="30" t="s">
        <v>414</v>
      </c>
      <c r="F1993" s="28" t="s">
        <v>356</v>
      </c>
      <c r="G1993" s="30" t="s">
        <v>692</v>
      </c>
      <c r="H1993" t="str">
        <f>CONCATENATE(Prequal[[#This Row],[CITY]], ", ",Prequal[[#This Row],[STATE]])</f>
        <v>Warrenville, IL</v>
      </c>
    </row>
    <row r="1994" spans="2:8" x14ac:dyDescent="0.2">
      <c r="B1994" s="27" t="s">
        <v>211</v>
      </c>
      <c r="C1994" s="28" t="s">
        <v>969</v>
      </c>
      <c r="D1994" s="29" t="s">
        <v>14</v>
      </c>
      <c r="E1994" s="30" t="s">
        <v>414</v>
      </c>
      <c r="F1994" s="28" t="s">
        <v>356</v>
      </c>
      <c r="G1994" s="30" t="s">
        <v>692</v>
      </c>
      <c r="H1994" t="str">
        <f>CONCATENATE(Prequal[[#This Row],[CITY]], ", ",Prequal[[#This Row],[STATE]])</f>
        <v>Warrenville, IL</v>
      </c>
    </row>
    <row r="1995" spans="2:8" x14ac:dyDescent="0.2">
      <c r="B1995" s="27" t="s">
        <v>211</v>
      </c>
      <c r="C1995" s="28" t="s">
        <v>969</v>
      </c>
      <c r="D1995" s="29" t="s">
        <v>15</v>
      </c>
      <c r="E1995" s="30" t="s">
        <v>414</v>
      </c>
      <c r="F1995" s="28" t="s">
        <v>356</v>
      </c>
      <c r="G1995" s="30" t="s">
        <v>692</v>
      </c>
      <c r="H1995" t="str">
        <f>CONCATENATE(Prequal[[#This Row],[CITY]], ", ",Prequal[[#This Row],[STATE]])</f>
        <v>Warrenville, IL</v>
      </c>
    </row>
    <row r="1996" spans="2:8" x14ac:dyDescent="0.2">
      <c r="B1996" s="27" t="s">
        <v>211</v>
      </c>
      <c r="C1996" s="28" t="s">
        <v>969</v>
      </c>
      <c r="D1996" s="29" t="s">
        <v>30</v>
      </c>
      <c r="E1996" s="30" t="s">
        <v>414</v>
      </c>
      <c r="F1996" s="28" t="s">
        <v>356</v>
      </c>
      <c r="G1996" s="30" t="s">
        <v>692</v>
      </c>
      <c r="H1996" t="str">
        <f>CONCATENATE(Prequal[[#This Row],[CITY]], ", ",Prequal[[#This Row],[STATE]])</f>
        <v>Warrenville, IL</v>
      </c>
    </row>
    <row r="1997" spans="2:8" x14ac:dyDescent="0.2">
      <c r="B1997" s="27" t="s">
        <v>211</v>
      </c>
      <c r="C1997" s="28" t="s">
        <v>969</v>
      </c>
      <c r="D1997" s="29" t="s">
        <v>53</v>
      </c>
      <c r="E1997" s="30" t="s">
        <v>414</v>
      </c>
      <c r="F1997" s="28" t="s">
        <v>356</v>
      </c>
      <c r="G1997" s="30" t="s">
        <v>692</v>
      </c>
      <c r="H1997" t="str">
        <f>CONCATENATE(Prequal[[#This Row],[CITY]], ", ",Prequal[[#This Row],[STATE]])</f>
        <v>Warrenville, IL</v>
      </c>
    </row>
    <row r="1998" spans="2:8" x14ac:dyDescent="0.2">
      <c r="B1998" s="27" t="s">
        <v>211</v>
      </c>
      <c r="C1998" s="28" t="s">
        <v>969</v>
      </c>
      <c r="D1998" s="29" t="s">
        <v>31</v>
      </c>
      <c r="E1998" s="30" t="s">
        <v>414</v>
      </c>
      <c r="F1998" s="28" t="s">
        <v>356</v>
      </c>
      <c r="G1998" s="30" t="s">
        <v>692</v>
      </c>
      <c r="H1998" t="str">
        <f>CONCATENATE(Prequal[[#This Row],[CITY]], ", ",Prequal[[#This Row],[STATE]])</f>
        <v>Warrenville, IL</v>
      </c>
    </row>
    <row r="1999" spans="2:8" x14ac:dyDescent="0.2">
      <c r="B1999" s="27" t="s">
        <v>211</v>
      </c>
      <c r="C1999" s="28" t="s">
        <v>969</v>
      </c>
      <c r="D1999" s="29" t="s">
        <v>32</v>
      </c>
      <c r="E1999" s="30" t="s">
        <v>414</v>
      </c>
      <c r="F1999" s="28" t="s">
        <v>356</v>
      </c>
      <c r="G1999" s="30" t="s">
        <v>692</v>
      </c>
      <c r="H1999" t="str">
        <f>CONCATENATE(Prequal[[#This Row],[CITY]], ", ",Prequal[[#This Row],[STATE]])</f>
        <v>Warrenville, IL</v>
      </c>
    </row>
    <row r="2000" spans="2:8" x14ac:dyDescent="0.2">
      <c r="B2000" s="27" t="s">
        <v>211</v>
      </c>
      <c r="C2000" s="28" t="s">
        <v>969</v>
      </c>
      <c r="D2000" s="29" t="s">
        <v>38</v>
      </c>
      <c r="E2000" s="30" t="s">
        <v>414</v>
      </c>
      <c r="F2000" s="28" t="s">
        <v>356</v>
      </c>
      <c r="G2000" s="30" t="s">
        <v>692</v>
      </c>
      <c r="H2000" t="str">
        <f>CONCATENATE(Prequal[[#This Row],[CITY]], ", ",Prequal[[#This Row],[STATE]])</f>
        <v>Warrenville, IL</v>
      </c>
    </row>
    <row r="2001" spans="2:8" x14ac:dyDescent="0.2">
      <c r="B2001" s="27" t="s">
        <v>211</v>
      </c>
      <c r="C2001" s="28" t="s">
        <v>969</v>
      </c>
      <c r="D2001" s="29" t="s">
        <v>56</v>
      </c>
      <c r="E2001" s="30" t="s">
        <v>414</v>
      </c>
      <c r="F2001" s="28" t="s">
        <v>356</v>
      </c>
      <c r="G2001" s="30" t="s">
        <v>692</v>
      </c>
      <c r="H2001" t="str">
        <f>CONCATENATE(Prequal[[#This Row],[CITY]], ", ",Prequal[[#This Row],[STATE]])</f>
        <v>Warrenville, IL</v>
      </c>
    </row>
    <row r="2002" spans="2:8" x14ac:dyDescent="0.2">
      <c r="B2002" s="27" t="s">
        <v>212</v>
      </c>
      <c r="C2002" s="28" t="s">
        <v>969</v>
      </c>
      <c r="D2002" s="29" t="s">
        <v>46</v>
      </c>
      <c r="E2002" s="30" t="s">
        <v>452</v>
      </c>
      <c r="F2002" s="28" t="s">
        <v>356</v>
      </c>
      <c r="G2002" s="30" t="s">
        <v>935</v>
      </c>
      <c r="H2002" t="str">
        <f>CONCATENATE(Prequal[[#This Row],[CITY]], ", ",Prequal[[#This Row],[STATE]])</f>
        <v>Quincy, IL</v>
      </c>
    </row>
    <row r="2003" spans="2:8" x14ac:dyDescent="0.2">
      <c r="B2003" s="27" t="s">
        <v>212</v>
      </c>
      <c r="C2003" s="28" t="s">
        <v>969</v>
      </c>
      <c r="D2003" s="29" t="s">
        <v>47</v>
      </c>
      <c r="E2003" s="30" t="s">
        <v>452</v>
      </c>
      <c r="F2003" s="28" t="s">
        <v>356</v>
      </c>
      <c r="G2003" s="30" t="s">
        <v>935</v>
      </c>
      <c r="H2003" t="str">
        <f>CONCATENATE(Prequal[[#This Row],[CITY]], ", ",Prequal[[#This Row],[STATE]])</f>
        <v>Quincy, IL</v>
      </c>
    </row>
    <row r="2004" spans="2:8" x14ac:dyDescent="0.2">
      <c r="B2004" s="27" t="s">
        <v>212</v>
      </c>
      <c r="C2004" s="28" t="s">
        <v>969</v>
      </c>
      <c r="D2004" s="29" t="s">
        <v>48</v>
      </c>
      <c r="E2004" s="30" t="s">
        <v>452</v>
      </c>
      <c r="F2004" s="28" t="s">
        <v>356</v>
      </c>
      <c r="G2004" s="30" t="s">
        <v>935</v>
      </c>
      <c r="H2004" t="str">
        <f>CONCATENATE(Prequal[[#This Row],[CITY]], ", ",Prequal[[#This Row],[STATE]])</f>
        <v>Quincy, IL</v>
      </c>
    </row>
    <row r="2005" spans="2:8" x14ac:dyDescent="0.2">
      <c r="B2005" s="27" t="s">
        <v>212</v>
      </c>
      <c r="C2005" s="28" t="s">
        <v>969</v>
      </c>
      <c r="D2005" s="29" t="s">
        <v>4</v>
      </c>
      <c r="E2005" s="30" t="s">
        <v>452</v>
      </c>
      <c r="F2005" s="28" t="s">
        <v>356</v>
      </c>
      <c r="G2005" s="30" t="s">
        <v>935</v>
      </c>
      <c r="H2005" t="str">
        <f>CONCATENATE(Prequal[[#This Row],[CITY]], ", ",Prequal[[#This Row],[STATE]])</f>
        <v>Quincy, IL</v>
      </c>
    </row>
    <row r="2006" spans="2:8" x14ac:dyDescent="0.2">
      <c r="B2006" s="27" t="s">
        <v>212</v>
      </c>
      <c r="C2006" s="28" t="s">
        <v>969</v>
      </c>
      <c r="D2006" s="29" t="s">
        <v>5</v>
      </c>
      <c r="E2006" s="30" t="s">
        <v>452</v>
      </c>
      <c r="F2006" s="28" t="s">
        <v>356</v>
      </c>
      <c r="G2006" s="30" t="s">
        <v>935</v>
      </c>
      <c r="H2006" t="str">
        <f>CONCATENATE(Prequal[[#This Row],[CITY]], ", ",Prequal[[#This Row],[STATE]])</f>
        <v>Quincy, IL</v>
      </c>
    </row>
    <row r="2007" spans="2:8" x14ac:dyDescent="0.2">
      <c r="B2007" s="27" t="s">
        <v>212</v>
      </c>
      <c r="C2007" s="28" t="s">
        <v>969</v>
      </c>
      <c r="D2007" s="29" t="s">
        <v>6</v>
      </c>
      <c r="E2007" s="30" t="s">
        <v>452</v>
      </c>
      <c r="F2007" s="28" t="s">
        <v>356</v>
      </c>
      <c r="G2007" s="30" t="s">
        <v>935</v>
      </c>
      <c r="H2007" t="str">
        <f>CONCATENATE(Prequal[[#This Row],[CITY]], ", ",Prequal[[#This Row],[STATE]])</f>
        <v>Quincy, IL</v>
      </c>
    </row>
    <row r="2008" spans="2:8" x14ac:dyDescent="0.2">
      <c r="B2008" s="27" t="s">
        <v>212</v>
      </c>
      <c r="C2008" s="28" t="s">
        <v>969</v>
      </c>
      <c r="D2008" s="29" t="s">
        <v>7</v>
      </c>
      <c r="E2008" s="30" t="s">
        <v>452</v>
      </c>
      <c r="F2008" s="28" t="s">
        <v>356</v>
      </c>
      <c r="G2008" s="30" t="s">
        <v>935</v>
      </c>
      <c r="H2008" t="str">
        <f>CONCATENATE(Prequal[[#This Row],[CITY]], ", ",Prequal[[#This Row],[STATE]])</f>
        <v>Quincy, IL</v>
      </c>
    </row>
    <row r="2009" spans="2:8" x14ac:dyDescent="0.2">
      <c r="B2009" s="27" t="s">
        <v>212</v>
      </c>
      <c r="C2009" s="28" t="s">
        <v>969</v>
      </c>
      <c r="D2009" s="29" t="s">
        <v>1013</v>
      </c>
      <c r="E2009" s="30" t="s">
        <v>452</v>
      </c>
      <c r="F2009" s="28" t="s">
        <v>356</v>
      </c>
      <c r="G2009" s="30" t="s">
        <v>935</v>
      </c>
      <c r="H2009" t="str">
        <f>CONCATENATE(Prequal[[#This Row],[CITY]], ", ",Prequal[[#This Row],[STATE]])</f>
        <v>Quincy, IL</v>
      </c>
    </row>
    <row r="2010" spans="2:8" x14ac:dyDescent="0.2">
      <c r="B2010" s="27" t="s">
        <v>212</v>
      </c>
      <c r="C2010" s="28" t="s">
        <v>969</v>
      </c>
      <c r="D2010" s="29" t="s">
        <v>8</v>
      </c>
      <c r="E2010" s="30" t="s">
        <v>452</v>
      </c>
      <c r="F2010" s="28" t="s">
        <v>356</v>
      </c>
      <c r="G2010" s="30" t="s">
        <v>935</v>
      </c>
      <c r="H2010" t="str">
        <f>CONCATENATE(Prequal[[#This Row],[CITY]], ", ",Prequal[[#This Row],[STATE]])</f>
        <v>Quincy, IL</v>
      </c>
    </row>
    <row r="2011" spans="2:8" x14ac:dyDescent="0.2">
      <c r="B2011" s="27" t="s">
        <v>212</v>
      </c>
      <c r="C2011" s="28" t="s">
        <v>969</v>
      </c>
      <c r="D2011" s="29" t="s">
        <v>25</v>
      </c>
      <c r="E2011" s="30" t="s">
        <v>452</v>
      </c>
      <c r="F2011" s="28" t="s">
        <v>356</v>
      </c>
      <c r="G2011" s="30" t="s">
        <v>935</v>
      </c>
      <c r="H2011" t="str">
        <f>CONCATENATE(Prequal[[#This Row],[CITY]], ", ",Prequal[[#This Row],[STATE]])</f>
        <v>Quincy, IL</v>
      </c>
    </row>
    <row r="2012" spans="2:8" x14ac:dyDescent="0.2">
      <c r="B2012" s="27" t="s">
        <v>212</v>
      </c>
      <c r="C2012" s="28" t="s">
        <v>969</v>
      </c>
      <c r="D2012" s="29" t="s">
        <v>9</v>
      </c>
      <c r="E2012" s="30" t="s">
        <v>452</v>
      </c>
      <c r="F2012" s="28" t="s">
        <v>356</v>
      </c>
      <c r="G2012" s="30" t="s">
        <v>935</v>
      </c>
      <c r="H2012" t="str">
        <f>CONCATENATE(Prequal[[#This Row],[CITY]], ", ",Prequal[[#This Row],[STATE]])</f>
        <v>Quincy, IL</v>
      </c>
    </row>
    <row r="2013" spans="2:8" x14ac:dyDescent="0.2">
      <c r="B2013" s="27" t="s">
        <v>212</v>
      </c>
      <c r="C2013" s="28" t="s">
        <v>969</v>
      </c>
      <c r="D2013" s="29" t="s">
        <v>49</v>
      </c>
      <c r="E2013" s="30" t="s">
        <v>452</v>
      </c>
      <c r="F2013" s="28" t="s">
        <v>356</v>
      </c>
      <c r="G2013" s="30" t="s">
        <v>935</v>
      </c>
      <c r="H2013" t="str">
        <f>CONCATENATE(Prequal[[#This Row],[CITY]], ", ",Prequal[[#This Row],[STATE]])</f>
        <v>Quincy, IL</v>
      </c>
    </row>
    <row r="2014" spans="2:8" x14ac:dyDescent="0.2">
      <c r="B2014" s="27" t="s">
        <v>212</v>
      </c>
      <c r="C2014" s="28" t="s">
        <v>969</v>
      </c>
      <c r="D2014" s="29" t="s">
        <v>27</v>
      </c>
      <c r="E2014" s="30" t="s">
        <v>452</v>
      </c>
      <c r="F2014" s="28" t="s">
        <v>356</v>
      </c>
      <c r="G2014" s="30" t="s">
        <v>935</v>
      </c>
      <c r="H2014" t="str">
        <f>CONCATENATE(Prequal[[#This Row],[CITY]], ", ",Prequal[[#This Row],[STATE]])</f>
        <v>Quincy, IL</v>
      </c>
    </row>
    <row r="2015" spans="2:8" x14ac:dyDescent="0.2">
      <c r="B2015" s="27" t="s">
        <v>212</v>
      </c>
      <c r="C2015" s="28" t="s">
        <v>969</v>
      </c>
      <c r="D2015" s="29" t="s">
        <v>59</v>
      </c>
      <c r="E2015" s="30" t="s">
        <v>452</v>
      </c>
      <c r="F2015" s="28" t="s">
        <v>356</v>
      </c>
      <c r="G2015" s="30" t="s">
        <v>935</v>
      </c>
      <c r="H2015" t="str">
        <f>CONCATENATE(Prequal[[#This Row],[CITY]], ", ",Prequal[[#This Row],[STATE]])</f>
        <v>Quincy, IL</v>
      </c>
    </row>
    <row r="2016" spans="2:8" x14ac:dyDescent="0.2">
      <c r="B2016" s="27" t="s">
        <v>212</v>
      </c>
      <c r="C2016" s="28" t="s">
        <v>969</v>
      </c>
      <c r="D2016" s="29" t="s">
        <v>75</v>
      </c>
      <c r="E2016" s="30" t="s">
        <v>452</v>
      </c>
      <c r="F2016" s="28" t="s">
        <v>356</v>
      </c>
      <c r="G2016" s="30" t="s">
        <v>935</v>
      </c>
      <c r="H2016" t="str">
        <f>CONCATENATE(Prequal[[#This Row],[CITY]], ", ",Prequal[[#This Row],[STATE]])</f>
        <v>Quincy, IL</v>
      </c>
    </row>
    <row r="2017" spans="2:8" x14ac:dyDescent="0.2">
      <c r="B2017" s="27" t="s">
        <v>212</v>
      </c>
      <c r="C2017" s="28" t="s">
        <v>969</v>
      </c>
      <c r="D2017" s="29" t="s">
        <v>10</v>
      </c>
      <c r="E2017" s="30" t="s">
        <v>452</v>
      </c>
      <c r="F2017" s="28" t="s">
        <v>356</v>
      </c>
      <c r="G2017" s="30" t="s">
        <v>935</v>
      </c>
      <c r="H2017" t="str">
        <f>CONCATENATE(Prequal[[#This Row],[CITY]], ", ",Prequal[[#This Row],[STATE]])</f>
        <v>Quincy, IL</v>
      </c>
    </row>
    <row r="2018" spans="2:8" x14ac:dyDescent="0.2">
      <c r="B2018" s="27" t="s">
        <v>212</v>
      </c>
      <c r="C2018" s="28" t="s">
        <v>969</v>
      </c>
      <c r="D2018" s="29" t="s">
        <v>21</v>
      </c>
      <c r="E2018" s="30" t="s">
        <v>452</v>
      </c>
      <c r="F2018" s="28" t="s">
        <v>356</v>
      </c>
      <c r="G2018" s="30" t="s">
        <v>935</v>
      </c>
      <c r="H2018" t="str">
        <f>CONCATENATE(Prequal[[#This Row],[CITY]], ", ",Prequal[[#This Row],[STATE]])</f>
        <v>Quincy, IL</v>
      </c>
    </row>
    <row r="2019" spans="2:8" x14ac:dyDescent="0.2">
      <c r="B2019" s="27" t="s">
        <v>212</v>
      </c>
      <c r="C2019" s="28" t="s">
        <v>969</v>
      </c>
      <c r="D2019" s="29" t="s">
        <v>11</v>
      </c>
      <c r="E2019" s="30" t="s">
        <v>452</v>
      </c>
      <c r="F2019" s="28" t="s">
        <v>356</v>
      </c>
      <c r="G2019" s="30" t="s">
        <v>935</v>
      </c>
      <c r="H2019" t="str">
        <f>CONCATENATE(Prequal[[#This Row],[CITY]], ", ",Prequal[[#This Row],[STATE]])</f>
        <v>Quincy, IL</v>
      </c>
    </row>
    <row r="2020" spans="2:8" x14ac:dyDescent="0.2">
      <c r="B2020" s="27" t="s">
        <v>212</v>
      </c>
      <c r="C2020" s="28" t="s">
        <v>969</v>
      </c>
      <c r="D2020" s="29" t="s">
        <v>22</v>
      </c>
      <c r="E2020" s="30" t="s">
        <v>452</v>
      </c>
      <c r="F2020" s="28" t="s">
        <v>356</v>
      </c>
      <c r="G2020" s="30" t="s">
        <v>935</v>
      </c>
      <c r="H2020" t="str">
        <f>CONCATENATE(Prequal[[#This Row],[CITY]], ", ",Prequal[[#This Row],[STATE]])</f>
        <v>Quincy, IL</v>
      </c>
    </row>
    <row r="2021" spans="2:8" x14ac:dyDescent="0.2">
      <c r="B2021" s="27" t="s">
        <v>212</v>
      </c>
      <c r="C2021" s="28" t="s">
        <v>969</v>
      </c>
      <c r="D2021" s="29" t="s">
        <v>12</v>
      </c>
      <c r="E2021" s="30" t="s">
        <v>452</v>
      </c>
      <c r="F2021" s="28" t="s">
        <v>356</v>
      </c>
      <c r="G2021" s="30" t="s">
        <v>935</v>
      </c>
      <c r="H2021" t="str">
        <f>CONCATENATE(Prequal[[#This Row],[CITY]], ", ",Prequal[[#This Row],[STATE]])</f>
        <v>Quincy, IL</v>
      </c>
    </row>
    <row r="2022" spans="2:8" x14ac:dyDescent="0.2">
      <c r="B2022" s="27" t="s">
        <v>212</v>
      </c>
      <c r="C2022" s="28" t="s">
        <v>969</v>
      </c>
      <c r="D2022" s="29" t="s">
        <v>29</v>
      </c>
      <c r="E2022" s="30" t="s">
        <v>452</v>
      </c>
      <c r="F2022" s="28" t="s">
        <v>356</v>
      </c>
      <c r="G2022" s="30" t="s">
        <v>935</v>
      </c>
      <c r="H2022" t="str">
        <f>CONCATENATE(Prequal[[#This Row],[CITY]], ", ",Prequal[[#This Row],[STATE]])</f>
        <v>Quincy, IL</v>
      </c>
    </row>
    <row r="2023" spans="2:8" x14ac:dyDescent="0.2">
      <c r="B2023" s="27" t="s">
        <v>212</v>
      </c>
      <c r="C2023" s="28" t="s">
        <v>969</v>
      </c>
      <c r="D2023" s="29" t="s">
        <v>14</v>
      </c>
      <c r="E2023" s="30" t="s">
        <v>452</v>
      </c>
      <c r="F2023" s="28" t="s">
        <v>356</v>
      </c>
      <c r="G2023" s="30" t="s">
        <v>935</v>
      </c>
      <c r="H2023" t="str">
        <f>CONCATENATE(Prequal[[#This Row],[CITY]], ", ",Prequal[[#This Row],[STATE]])</f>
        <v>Quincy, IL</v>
      </c>
    </row>
    <row r="2024" spans="2:8" x14ac:dyDescent="0.2">
      <c r="B2024" s="27" t="s">
        <v>212</v>
      </c>
      <c r="C2024" s="28" t="s">
        <v>969</v>
      </c>
      <c r="D2024" s="29" t="s">
        <v>15</v>
      </c>
      <c r="E2024" s="30" t="s">
        <v>452</v>
      </c>
      <c r="F2024" s="28" t="s">
        <v>356</v>
      </c>
      <c r="G2024" s="30" t="s">
        <v>935</v>
      </c>
      <c r="H2024" t="str">
        <f>CONCATENATE(Prequal[[#This Row],[CITY]], ", ",Prequal[[#This Row],[STATE]])</f>
        <v>Quincy, IL</v>
      </c>
    </row>
    <row r="2025" spans="2:8" x14ac:dyDescent="0.2">
      <c r="B2025" s="27" t="s">
        <v>212</v>
      </c>
      <c r="C2025" s="28" t="s">
        <v>969</v>
      </c>
      <c r="D2025" s="29" t="s">
        <v>31</v>
      </c>
      <c r="E2025" s="30" t="s">
        <v>452</v>
      </c>
      <c r="F2025" s="28" t="s">
        <v>356</v>
      </c>
      <c r="G2025" s="30" t="s">
        <v>935</v>
      </c>
      <c r="H2025" t="str">
        <f>CONCATENATE(Prequal[[#This Row],[CITY]], ", ",Prequal[[#This Row],[STATE]])</f>
        <v>Quincy, IL</v>
      </c>
    </row>
    <row r="2026" spans="2:8" x14ac:dyDescent="0.2">
      <c r="B2026" s="27" t="s">
        <v>212</v>
      </c>
      <c r="C2026" s="28" t="s">
        <v>969</v>
      </c>
      <c r="D2026" s="29" t="s">
        <v>32</v>
      </c>
      <c r="E2026" s="30" t="s">
        <v>452</v>
      </c>
      <c r="F2026" s="28" t="s">
        <v>356</v>
      </c>
      <c r="G2026" s="30" t="s">
        <v>935</v>
      </c>
      <c r="H2026" t="str">
        <f>CONCATENATE(Prequal[[#This Row],[CITY]], ", ",Prequal[[#This Row],[STATE]])</f>
        <v>Quincy, IL</v>
      </c>
    </row>
    <row r="2027" spans="2:8" x14ac:dyDescent="0.2">
      <c r="B2027" s="27" t="s">
        <v>213</v>
      </c>
      <c r="C2027" s="28" t="s">
        <v>969</v>
      </c>
      <c r="D2027" s="29" t="s">
        <v>30</v>
      </c>
      <c r="E2027" s="30" t="s">
        <v>947</v>
      </c>
      <c r="F2027" s="28" t="s">
        <v>356</v>
      </c>
      <c r="G2027" s="30" t="s">
        <v>693</v>
      </c>
      <c r="H2027" t="str">
        <f>CONCATENATE(Prequal[[#This Row],[CITY]], ", ",Prequal[[#This Row],[STATE]])</f>
        <v>Chicago, IL</v>
      </c>
    </row>
    <row r="2028" spans="2:8" x14ac:dyDescent="0.2">
      <c r="B2028" s="27" t="s">
        <v>213</v>
      </c>
      <c r="C2028" s="28" t="s">
        <v>969</v>
      </c>
      <c r="D2028" s="29" t="s">
        <v>53</v>
      </c>
      <c r="E2028" s="30" t="s">
        <v>947</v>
      </c>
      <c r="F2028" s="28" t="s">
        <v>356</v>
      </c>
      <c r="G2028" s="30" t="s">
        <v>693</v>
      </c>
      <c r="H2028" t="str">
        <f>CONCATENATE(Prequal[[#This Row],[CITY]], ", ",Prequal[[#This Row],[STATE]])</f>
        <v>Chicago, IL</v>
      </c>
    </row>
    <row r="2029" spans="2:8" x14ac:dyDescent="0.2">
      <c r="B2029" s="27" t="s">
        <v>213</v>
      </c>
      <c r="C2029" s="28" t="s">
        <v>969</v>
      </c>
      <c r="D2029" s="29" t="s">
        <v>31</v>
      </c>
      <c r="E2029" s="30" t="s">
        <v>947</v>
      </c>
      <c r="F2029" s="28" t="s">
        <v>356</v>
      </c>
      <c r="G2029" s="30" t="s">
        <v>693</v>
      </c>
      <c r="H2029" t="str">
        <f>CONCATENATE(Prequal[[#This Row],[CITY]], ", ",Prequal[[#This Row],[STATE]])</f>
        <v>Chicago, IL</v>
      </c>
    </row>
    <row r="2030" spans="2:8" x14ac:dyDescent="0.2">
      <c r="B2030" s="27" t="s">
        <v>213</v>
      </c>
      <c r="C2030" s="28" t="s">
        <v>969</v>
      </c>
      <c r="D2030" s="29" t="s">
        <v>32</v>
      </c>
      <c r="E2030" s="30" t="s">
        <v>947</v>
      </c>
      <c r="F2030" s="28" t="s">
        <v>356</v>
      </c>
      <c r="G2030" s="30" t="s">
        <v>693</v>
      </c>
      <c r="H2030" t="str">
        <f>CONCATENATE(Prequal[[#This Row],[CITY]], ", ",Prequal[[#This Row],[STATE]])</f>
        <v>Chicago, IL</v>
      </c>
    </row>
    <row r="2031" spans="2:8" x14ac:dyDescent="0.2">
      <c r="B2031" s="27" t="s">
        <v>213</v>
      </c>
      <c r="C2031" s="28" t="s">
        <v>969</v>
      </c>
      <c r="D2031" s="29" t="s">
        <v>55</v>
      </c>
      <c r="E2031" s="30" t="s">
        <v>947</v>
      </c>
      <c r="F2031" s="28" t="s">
        <v>356</v>
      </c>
      <c r="G2031" s="30" t="s">
        <v>693</v>
      </c>
      <c r="H2031" t="str">
        <f>CONCATENATE(Prequal[[#This Row],[CITY]], ", ",Prequal[[#This Row],[STATE]])</f>
        <v>Chicago, IL</v>
      </c>
    </row>
    <row r="2032" spans="2:8" x14ac:dyDescent="0.2">
      <c r="B2032" s="27" t="s">
        <v>214</v>
      </c>
      <c r="C2032" s="28" t="s">
        <v>969</v>
      </c>
      <c r="D2032" s="29" t="s">
        <v>70</v>
      </c>
      <c r="E2032" s="30" t="s">
        <v>455</v>
      </c>
      <c r="F2032" s="28" t="s">
        <v>440</v>
      </c>
      <c r="G2032" s="30" t="s">
        <v>694</v>
      </c>
      <c r="H2032" t="str">
        <f>CONCATENATE(Prequal[[#This Row],[CITY]], ", ",Prequal[[#This Row],[STATE]])</f>
        <v>Pittsburgh, PA</v>
      </c>
    </row>
    <row r="2033" spans="2:8" x14ac:dyDescent="0.2">
      <c r="B2033" s="27" t="s">
        <v>215</v>
      </c>
      <c r="C2033" s="28" t="s">
        <v>969</v>
      </c>
      <c r="D2033" s="29" t="s">
        <v>5</v>
      </c>
      <c r="E2033" s="30" t="s">
        <v>367</v>
      </c>
      <c r="F2033" s="28" t="s">
        <v>356</v>
      </c>
      <c r="G2033" s="30" t="s">
        <v>695</v>
      </c>
      <c r="H2033" t="str">
        <f>CONCATENATE(Prequal[[#This Row],[CITY]], ", ",Prequal[[#This Row],[STATE]])</f>
        <v>Springfield, IL</v>
      </c>
    </row>
    <row r="2034" spans="2:8" x14ac:dyDescent="0.2">
      <c r="B2034" s="27" t="s">
        <v>215</v>
      </c>
      <c r="C2034" s="28" t="s">
        <v>969</v>
      </c>
      <c r="D2034" s="29" t="s">
        <v>9</v>
      </c>
      <c r="E2034" s="30" t="s">
        <v>367</v>
      </c>
      <c r="F2034" s="28" t="s">
        <v>356</v>
      </c>
      <c r="G2034" s="30" t="s">
        <v>695</v>
      </c>
      <c r="H2034" t="str">
        <f>CONCATENATE(Prequal[[#This Row],[CITY]], ", ",Prequal[[#This Row],[STATE]])</f>
        <v>Springfield, IL</v>
      </c>
    </row>
    <row r="2035" spans="2:8" x14ac:dyDescent="0.2">
      <c r="B2035" s="27" t="s">
        <v>215</v>
      </c>
      <c r="C2035" s="28" t="s">
        <v>969</v>
      </c>
      <c r="D2035" s="29" t="s">
        <v>10</v>
      </c>
      <c r="E2035" s="30" t="s">
        <v>367</v>
      </c>
      <c r="F2035" s="28" t="s">
        <v>356</v>
      </c>
      <c r="G2035" s="30" t="s">
        <v>695</v>
      </c>
      <c r="H2035" t="str">
        <f>CONCATENATE(Prequal[[#This Row],[CITY]], ", ",Prequal[[#This Row],[STATE]])</f>
        <v>Springfield, IL</v>
      </c>
    </row>
    <row r="2036" spans="2:8" x14ac:dyDescent="0.2">
      <c r="B2036" s="27" t="s">
        <v>215</v>
      </c>
      <c r="C2036" s="28" t="s">
        <v>969</v>
      </c>
      <c r="D2036" s="29" t="s">
        <v>29</v>
      </c>
      <c r="E2036" s="30" t="s">
        <v>367</v>
      </c>
      <c r="F2036" s="28" t="s">
        <v>356</v>
      </c>
      <c r="G2036" s="30" t="s">
        <v>695</v>
      </c>
      <c r="H2036" t="str">
        <f>CONCATENATE(Prequal[[#This Row],[CITY]], ", ",Prequal[[#This Row],[STATE]])</f>
        <v>Springfield, IL</v>
      </c>
    </row>
    <row r="2037" spans="2:8" x14ac:dyDescent="0.2">
      <c r="B2037" s="27" t="s">
        <v>215</v>
      </c>
      <c r="C2037" s="28" t="s">
        <v>969</v>
      </c>
      <c r="D2037" s="29" t="s">
        <v>31</v>
      </c>
      <c r="E2037" s="30" t="s">
        <v>367</v>
      </c>
      <c r="F2037" s="28" t="s">
        <v>356</v>
      </c>
      <c r="G2037" s="30" t="s">
        <v>695</v>
      </c>
      <c r="H2037" t="str">
        <f>CONCATENATE(Prequal[[#This Row],[CITY]], ", ",Prequal[[#This Row],[STATE]])</f>
        <v>Springfield, IL</v>
      </c>
    </row>
    <row r="2038" spans="2:8" x14ac:dyDescent="0.2">
      <c r="B2038" s="27" t="s">
        <v>215</v>
      </c>
      <c r="C2038" s="28" t="s">
        <v>969</v>
      </c>
      <c r="D2038" s="29" t="s">
        <v>32</v>
      </c>
      <c r="E2038" s="30" t="s">
        <v>367</v>
      </c>
      <c r="F2038" s="28" t="s">
        <v>356</v>
      </c>
      <c r="G2038" s="30" t="s">
        <v>695</v>
      </c>
      <c r="H2038" t="str">
        <f>CONCATENATE(Prequal[[#This Row],[CITY]], ", ",Prequal[[#This Row],[STATE]])</f>
        <v>Springfield, IL</v>
      </c>
    </row>
    <row r="2039" spans="2:8" x14ac:dyDescent="0.2">
      <c r="B2039" s="27" t="s">
        <v>216</v>
      </c>
      <c r="C2039" s="28" t="s">
        <v>970</v>
      </c>
      <c r="D2039" s="29" t="s">
        <v>10</v>
      </c>
      <c r="E2039" s="30" t="s">
        <v>947</v>
      </c>
      <c r="F2039" s="28" t="s">
        <v>356</v>
      </c>
      <c r="G2039" s="30" t="s">
        <v>696</v>
      </c>
      <c r="H2039" t="str">
        <f>CONCATENATE(Prequal[[#This Row],[CITY]], ", ",Prequal[[#This Row],[STATE]])</f>
        <v>Chicago, IL</v>
      </c>
    </row>
    <row r="2040" spans="2:8" x14ac:dyDescent="0.2">
      <c r="B2040" s="27" t="s">
        <v>216</v>
      </c>
      <c r="C2040" s="28" t="s">
        <v>970</v>
      </c>
      <c r="D2040" s="29" t="s">
        <v>33</v>
      </c>
      <c r="E2040" s="30" t="s">
        <v>947</v>
      </c>
      <c r="F2040" s="28" t="s">
        <v>356</v>
      </c>
      <c r="G2040" s="30" t="s">
        <v>696</v>
      </c>
      <c r="H2040" t="str">
        <f>CONCATENATE(Prequal[[#This Row],[CITY]], ", ",Prequal[[#This Row],[STATE]])</f>
        <v>Chicago, IL</v>
      </c>
    </row>
    <row r="2041" spans="2:8" x14ac:dyDescent="0.2">
      <c r="B2041" s="27" t="s">
        <v>217</v>
      </c>
      <c r="C2041" s="28" t="s">
        <v>970</v>
      </c>
      <c r="D2041" s="29" t="s">
        <v>4</v>
      </c>
      <c r="E2041" s="30" t="s">
        <v>456</v>
      </c>
      <c r="F2041" s="28" t="s">
        <v>378</v>
      </c>
      <c r="G2041" s="30" t="s">
        <v>697</v>
      </c>
      <c r="H2041" t="str">
        <f>CONCATENATE(Prequal[[#This Row],[CITY]], ", ",Prequal[[#This Row],[STATE]])</f>
        <v>Wauwatosa, WI</v>
      </c>
    </row>
    <row r="2042" spans="2:8" x14ac:dyDescent="0.2">
      <c r="B2042" s="27" t="s">
        <v>217</v>
      </c>
      <c r="C2042" s="28" t="s">
        <v>970</v>
      </c>
      <c r="D2042" s="29" t="s">
        <v>5</v>
      </c>
      <c r="E2042" s="30" t="s">
        <v>456</v>
      </c>
      <c r="F2042" s="28" t="s">
        <v>378</v>
      </c>
      <c r="G2042" s="30" t="s">
        <v>697</v>
      </c>
      <c r="H2042" t="str">
        <f>CONCATENATE(Prequal[[#This Row],[CITY]], ", ",Prequal[[#This Row],[STATE]])</f>
        <v>Wauwatosa, WI</v>
      </c>
    </row>
    <row r="2043" spans="2:8" x14ac:dyDescent="0.2">
      <c r="B2043" s="27" t="s">
        <v>217</v>
      </c>
      <c r="C2043" s="28" t="s">
        <v>970</v>
      </c>
      <c r="D2043" s="29" t="s">
        <v>27</v>
      </c>
      <c r="E2043" s="30" t="s">
        <v>456</v>
      </c>
      <c r="F2043" s="28" t="s">
        <v>378</v>
      </c>
      <c r="G2043" s="30" t="s">
        <v>697</v>
      </c>
      <c r="H2043" t="str">
        <f>CONCATENATE(Prequal[[#This Row],[CITY]], ", ",Prequal[[#This Row],[STATE]])</f>
        <v>Wauwatosa, WI</v>
      </c>
    </row>
    <row r="2044" spans="2:8" x14ac:dyDescent="0.2">
      <c r="B2044" s="27" t="s">
        <v>217</v>
      </c>
      <c r="C2044" s="28" t="s">
        <v>970</v>
      </c>
      <c r="D2044" s="29" t="s">
        <v>13</v>
      </c>
      <c r="E2044" s="30" t="s">
        <v>456</v>
      </c>
      <c r="F2044" s="28" t="s">
        <v>378</v>
      </c>
      <c r="G2044" s="30" t="s">
        <v>697</v>
      </c>
      <c r="H2044" t="str">
        <f>CONCATENATE(Prequal[[#This Row],[CITY]], ", ",Prequal[[#This Row],[STATE]])</f>
        <v>Wauwatosa, WI</v>
      </c>
    </row>
    <row r="2045" spans="2:8" x14ac:dyDescent="0.2">
      <c r="B2045" s="27" t="s">
        <v>217</v>
      </c>
      <c r="C2045" s="28" t="s">
        <v>970</v>
      </c>
      <c r="D2045" s="29" t="s">
        <v>14</v>
      </c>
      <c r="E2045" s="30" t="s">
        <v>456</v>
      </c>
      <c r="F2045" s="28" t="s">
        <v>378</v>
      </c>
      <c r="G2045" s="30" t="s">
        <v>697</v>
      </c>
      <c r="H2045" t="str">
        <f>CONCATENATE(Prequal[[#This Row],[CITY]], ", ",Prequal[[#This Row],[STATE]])</f>
        <v>Wauwatosa, WI</v>
      </c>
    </row>
    <row r="2046" spans="2:8" x14ac:dyDescent="0.2">
      <c r="B2046" s="27" t="s">
        <v>1038</v>
      </c>
      <c r="C2046" s="28" t="s">
        <v>969</v>
      </c>
      <c r="D2046" s="29" t="s">
        <v>42</v>
      </c>
      <c r="E2046" s="30" t="s">
        <v>947</v>
      </c>
      <c r="F2046" s="28" t="s">
        <v>356</v>
      </c>
      <c r="G2046" s="30" t="s">
        <v>1039</v>
      </c>
      <c r="H2046" t="str">
        <f>CONCATENATE(Prequal[[#This Row],[CITY]], ", ",Prequal[[#This Row],[STATE]])</f>
        <v>Chicago, IL</v>
      </c>
    </row>
    <row r="2047" spans="2:8" x14ac:dyDescent="0.2">
      <c r="B2047" s="27" t="s">
        <v>893</v>
      </c>
      <c r="C2047" s="28" t="s">
        <v>969</v>
      </c>
      <c r="D2047" s="29" t="s">
        <v>59</v>
      </c>
      <c r="E2047" s="30" t="s">
        <v>416</v>
      </c>
      <c r="F2047" s="28" t="s">
        <v>356</v>
      </c>
      <c r="G2047" s="30" t="s">
        <v>894</v>
      </c>
      <c r="H2047" t="str">
        <f>CONCATENATE(Prequal[[#This Row],[CITY]], ", ",Prequal[[#This Row],[STATE]])</f>
        <v>Rockford, IL</v>
      </c>
    </row>
    <row r="2048" spans="2:8" x14ac:dyDescent="0.2">
      <c r="B2048" s="27" t="s">
        <v>218</v>
      </c>
      <c r="C2048" s="28" t="s">
        <v>969</v>
      </c>
      <c r="D2048" s="29" t="s">
        <v>5</v>
      </c>
      <c r="E2048" s="30" t="s">
        <v>402</v>
      </c>
      <c r="F2048" s="28" t="s">
        <v>356</v>
      </c>
      <c r="G2048" s="30" t="s">
        <v>698</v>
      </c>
      <c r="H2048" t="str">
        <f>CONCATENATE(Prequal[[#This Row],[CITY]], ", ",Prequal[[#This Row],[STATE]])</f>
        <v>Naperville, IL</v>
      </c>
    </row>
    <row r="2049" spans="2:8" x14ac:dyDescent="0.2">
      <c r="B2049" s="27" t="s">
        <v>218</v>
      </c>
      <c r="C2049" s="28" t="s">
        <v>969</v>
      </c>
      <c r="D2049" s="29" t="s">
        <v>10</v>
      </c>
      <c r="E2049" s="30" t="s">
        <v>402</v>
      </c>
      <c r="F2049" s="28" t="s">
        <v>356</v>
      </c>
      <c r="G2049" s="30" t="s">
        <v>698</v>
      </c>
      <c r="H2049" t="str">
        <f>CONCATENATE(Prequal[[#This Row],[CITY]], ", ",Prequal[[#This Row],[STATE]])</f>
        <v>Naperville, IL</v>
      </c>
    </row>
    <row r="2050" spans="2:8" x14ac:dyDescent="0.2">
      <c r="B2050" s="27" t="s">
        <v>219</v>
      </c>
      <c r="C2050" s="28" t="s">
        <v>969</v>
      </c>
      <c r="D2050" s="29" t="s">
        <v>59</v>
      </c>
      <c r="E2050" s="30" t="s">
        <v>818</v>
      </c>
      <c r="F2050" s="28" t="s">
        <v>356</v>
      </c>
      <c r="G2050" s="30" t="s">
        <v>819</v>
      </c>
      <c r="H2050" t="str">
        <f>CONCATENATE(Prequal[[#This Row],[CITY]], ", ",Prequal[[#This Row],[STATE]])</f>
        <v>Gurnee, IL</v>
      </c>
    </row>
    <row r="2051" spans="2:8" x14ac:dyDescent="0.2">
      <c r="B2051" s="27" t="s">
        <v>220</v>
      </c>
      <c r="C2051" s="28" t="s">
        <v>970</v>
      </c>
      <c r="D2051" s="29" t="s">
        <v>47</v>
      </c>
      <c r="E2051" s="30" t="s">
        <v>458</v>
      </c>
      <c r="F2051" s="28" t="s">
        <v>356</v>
      </c>
      <c r="G2051" s="30" t="s">
        <v>699</v>
      </c>
      <c r="H2051" t="str">
        <f>CONCATENATE(Prequal[[#This Row],[CITY]], ", ",Prequal[[#This Row],[STATE]])</f>
        <v>Westmont, IL</v>
      </c>
    </row>
    <row r="2052" spans="2:8" x14ac:dyDescent="0.2">
      <c r="B2052" s="27" t="s">
        <v>220</v>
      </c>
      <c r="C2052" s="28" t="s">
        <v>970</v>
      </c>
      <c r="D2052" s="29" t="s">
        <v>4</v>
      </c>
      <c r="E2052" s="30" t="s">
        <v>458</v>
      </c>
      <c r="F2052" s="28" t="s">
        <v>356</v>
      </c>
      <c r="G2052" s="30" t="s">
        <v>699</v>
      </c>
      <c r="H2052" t="str">
        <f>CONCATENATE(Prequal[[#This Row],[CITY]], ", ",Prequal[[#This Row],[STATE]])</f>
        <v>Westmont, IL</v>
      </c>
    </row>
    <row r="2053" spans="2:8" x14ac:dyDescent="0.2">
      <c r="B2053" s="27" t="s">
        <v>220</v>
      </c>
      <c r="C2053" s="28" t="s">
        <v>970</v>
      </c>
      <c r="D2053" s="29" t="s">
        <v>5</v>
      </c>
      <c r="E2053" s="30" t="s">
        <v>458</v>
      </c>
      <c r="F2053" s="28" t="s">
        <v>356</v>
      </c>
      <c r="G2053" s="30" t="s">
        <v>699</v>
      </c>
      <c r="H2053" t="str">
        <f>CONCATENATE(Prequal[[#This Row],[CITY]], ", ",Prequal[[#This Row],[STATE]])</f>
        <v>Westmont, IL</v>
      </c>
    </row>
    <row r="2054" spans="2:8" x14ac:dyDescent="0.2">
      <c r="B2054" s="31" t="s">
        <v>220</v>
      </c>
      <c r="C2054" s="32" t="s">
        <v>970</v>
      </c>
      <c r="D2054" s="33" t="s">
        <v>7</v>
      </c>
      <c r="E2054" s="30" t="s">
        <v>458</v>
      </c>
      <c r="F2054" s="32" t="s">
        <v>356</v>
      </c>
      <c r="G2054" s="30" t="s">
        <v>699</v>
      </c>
      <c r="H2054" t="str">
        <f>CONCATENATE(Prequal[[#This Row],[CITY]], ", ",Prequal[[#This Row],[STATE]])</f>
        <v>Westmont, IL</v>
      </c>
    </row>
    <row r="2055" spans="2:8" x14ac:dyDescent="0.2">
      <c r="B2055" s="31" t="s">
        <v>220</v>
      </c>
      <c r="C2055" s="32" t="s">
        <v>970</v>
      </c>
      <c r="D2055" s="33" t="s">
        <v>8</v>
      </c>
      <c r="E2055" s="30" t="s">
        <v>458</v>
      </c>
      <c r="F2055" s="32" t="s">
        <v>356</v>
      </c>
      <c r="G2055" s="30" t="s">
        <v>699</v>
      </c>
      <c r="H2055" t="str">
        <f>CONCATENATE(Prequal[[#This Row],[CITY]], ", ",Prequal[[#This Row],[STATE]])</f>
        <v>Westmont, IL</v>
      </c>
    </row>
    <row r="2056" spans="2:8" x14ac:dyDescent="0.2">
      <c r="B2056" s="31" t="s">
        <v>220</v>
      </c>
      <c r="C2056" s="32" t="s">
        <v>970</v>
      </c>
      <c r="D2056" s="33" t="s">
        <v>25</v>
      </c>
      <c r="E2056" s="30" t="s">
        <v>458</v>
      </c>
      <c r="F2056" s="32" t="s">
        <v>356</v>
      </c>
      <c r="G2056" s="30" t="s">
        <v>699</v>
      </c>
      <c r="H2056" t="str">
        <f>CONCATENATE(Prequal[[#This Row],[CITY]], ", ",Prequal[[#This Row],[STATE]])</f>
        <v>Westmont, IL</v>
      </c>
    </row>
    <row r="2057" spans="2:8" x14ac:dyDescent="0.2">
      <c r="B2057" s="31" t="s">
        <v>220</v>
      </c>
      <c r="C2057" s="32" t="s">
        <v>970</v>
      </c>
      <c r="D2057" s="33" t="s">
        <v>9</v>
      </c>
      <c r="E2057" s="30" t="s">
        <v>458</v>
      </c>
      <c r="F2057" s="32" t="s">
        <v>356</v>
      </c>
      <c r="G2057" s="30" t="s">
        <v>699</v>
      </c>
      <c r="H2057" t="str">
        <f>CONCATENATE(Prequal[[#This Row],[CITY]], ", ",Prequal[[#This Row],[STATE]])</f>
        <v>Westmont, IL</v>
      </c>
    </row>
    <row r="2058" spans="2:8" x14ac:dyDescent="0.2">
      <c r="B2058" s="31" t="s">
        <v>220</v>
      </c>
      <c r="C2058" s="32" t="s">
        <v>970</v>
      </c>
      <c r="D2058" s="33" t="s">
        <v>27</v>
      </c>
      <c r="E2058" s="30" t="s">
        <v>458</v>
      </c>
      <c r="F2058" s="32" t="s">
        <v>356</v>
      </c>
      <c r="G2058" s="30" t="s">
        <v>699</v>
      </c>
      <c r="H2058" t="str">
        <f>CONCATENATE(Prequal[[#This Row],[CITY]], ", ",Prequal[[#This Row],[STATE]])</f>
        <v>Westmont, IL</v>
      </c>
    </row>
    <row r="2059" spans="2:8" x14ac:dyDescent="0.2">
      <c r="B2059" s="31" t="s">
        <v>220</v>
      </c>
      <c r="C2059" s="32" t="s">
        <v>970</v>
      </c>
      <c r="D2059" s="33" t="s">
        <v>10</v>
      </c>
      <c r="E2059" s="30" t="s">
        <v>458</v>
      </c>
      <c r="F2059" s="32" t="s">
        <v>356</v>
      </c>
      <c r="G2059" s="30" t="s">
        <v>699</v>
      </c>
      <c r="H2059" t="str">
        <f>CONCATENATE(Prequal[[#This Row],[CITY]], ", ",Prequal[[#This Row],[STATE]])</f>
        <v>Westmont, IL</v>
      </c>
    </row>
    <row r="2060" spans="2:8" x14ac:dyDescent="0.2">
      <c r="B2060" s="31" t="s">
        <v>220</v>
      </c>
      <c r="C2060" s="32" t="s">
        <v>970</v>
      </c>
      <c r="D2060" s="33" t="s">
        <v>29</v>
      </c>
      <c r="E2060" s="30" t="s">
        <v>458</v>
      </c>
      <c r="F2060" s="32" t="s">
        <v>356</v>
      </c>
      <c r="G2060" s="30" t="s">
        <v>699</v>
      </c>
      <c r="H2060" t="str">
        <f>CONCATENATE(Prequal[[#This Row],[CITY]], ", ",Prequal[[#This Row],[STATE]])</f>
        <v>Westmont, IL</v>
      </c>
    </row>
    <row r="2061" spans="2:8" x14ac:dyDescent="0.2">
      <c r="B2061" s="27" t="s">
        <v>220</v>
      </c>
      <c r="C2061" s="28" t="s">
        <v>970</v>
      </c>
      <c r="D2061" s="29" t="s">
        <v>37</v>
      </c>
      <c r="E2061" s="30" t="s">
        <v>458</v>
      </c>
      <c r="F2061" s="28" t="s">
        <v>356</v>
      </c>
      <c r="G2061" s="30" t="s">
        <v>699</v>
      </c>
      <c r="H2061" t="str">
        <f>CONCATENATE(Prequal[[#This Row],[CITY]], ", ",Prequal[[#This Row],[STATE]])</f>
        <v>Westmont, IL</v>
      </c>
    </row>
    <row r="2062" spans="2:8" x14ac:dyDescent="0.2">
      <c r="B2062" s="27" t="s">
        <v>220</v>
      </c>
      <c r="C2062" s="28" t="s">
        <v>970</v>
      </c>
      <c r="D2062" s="29" t="s">
        <v>13</v>
      </c>
      <c r="E2062" s="30" t="s">
        <v>458</v>
      </c>
      <c r="F2062" s="28" t="s">
        <v>356</v>
      </c>
      <c r="G2062" s="30" t="s">
        <v>699</v>
      </c>
      <c r="H2062" t="str">
        <f>CONCATENATE(Prequal[[#This Row],[CITY]], ", ",Prequal[[#This Row],[STATE]])</f>
        <v>Westmont, IL</v>
      </c>
    </row>
    <row r="2063" spans="2:8" x14ac:dyDescent="0.2">
      <c r="B2063" s="27" t="s">
        <v>220</v>
      </c>
      <c r="C2063" s="28" t="s">
        <v>970</v>
      </c>
      <c r="D2063" s="29" t="s">
        <v>14</v>
      </c>
      <c r="E2063" s="30" t="s">
        <v>458</v>
      </c>
      <c r="F2063" s="28" t="s">
        <v>356</v>
      </c>
      <c r="G2063" s="30" t="s">
        <v>699</v>
      </c>
      <c r="H2063" t="str">
        <f>CONCATENATE(Prequal[[#This Row],[CITY]], ", ",Prequal[[#This Row],[STATE]])</f>
        <v>Westmont, IL</v>
      </c>
    </row>
    <row r="2064" spans="2:8" x14ac:dyDescent="0.2">
      <c r="B2064" s="27" t="s">
        <v>220</v>
      </c>
      <c r="C2064" s="28" t="s">
        <v>970</v>
      </c>
      <c r="D2064" s="29" t="s">
        <v>15</v>
      </c>
      <c r="E2064" s="30" t="s">
        <v>458</v>
      </c>
      <c r="F2064" s="28" t="s">
        <v>356</v>
      </c>
      <c r="G2064" s="30" t="s">
        <v>699</v>
      </c>
      <c r="H2064" t="str">
        <f>CONCATENATE(Prequal[[#This Row],[CITY]], ", ",Prequal[[#This Row],[STATE]])</f>
        <v>Westmont, IL</v>
      </c>
    </row>
    <row r="2065" spans="2:8" x14ac:dyDescent="0.2">
      <c r="B2065" s="27" t="s">
        <v>220</v>
      </c>
      <c r="C2065" s="28" t="s">
        <v>970</v>
      </c>
      <c r="D2065" s="29" t="s">
        <v>30</v>
      </c>
      <c r="E2065" s="30" t="s">
        <v>458</v>
      </c>
      <c r="F2065" s="28" t="s">
        <v>356</v>
      </c>
      <c r="G2065" s="30" t="s">
        <v>699</v>
      </c>
      <c r="H2065" t="str">
        <f>CONCATENATE(Prequal[[#This Row],[CITY]], ", ",Prequal[[#This Row],[STATE]])</f>
        <v>Westmont, IL</v>
      </c>
    </row>
    <row r="2066" spans="2:8" x14ac:dyDescent="0.2">
      <c r="B2066" s="31" t="s">
        <v>220</v>
      </c>
      <c r="C2066" s="32" t="s">
        <v>970</v>
      </c>
      <c r="D2066" s="33" t="s">
        <v>31</v>
      </c>
      <c r="E2066" s="30" t="s">
        <v>458</v>
      </c>
      <c r="F2066" s="32" t="s">
        <v>356</v>
      </c>
      <c r="G2066" s="30" t="s">
        <v>699</v>
      </c>
      <c r="H2066" t="str">
        <f>CONCATENATE(Prequal[[#This Row],[CITY]], ", ",Prequal[[#This Row],[STATE]])</f>
        <v>Westmont, IL</v>
      </c>
    </row>
    <row r="2067" spans="2:8" x14ac:dyDescent="0.2">
      <c r="B2067" s="31" t="s">
        <v>220</v>
      </c>
      <c r="C2067" s="32" t="s">
        <v>970</v>
      </c>
      <c r="D2067" s="33" t="s">
        <v>32</v>
      </c>
      <c r="E2067" s="30" t="s">
        <v>458</v>
      </c>
      <c r="F2067" s="32" t="s">
        <v>356</v>
      </c>
      <c r="G2067" s="30" t="s">
        <v>699</v>
      </c>
      <c r="H2067" t="str">
        <f>CONCATENATE(Prequal[[#This Row],[CITY]], ", ",Prequal[[#This Row],[STATE]])</f>
        <v>Westmont, IL</v>
      </c>
    </row>
    <row r="2068" spans="2:8" x14ac:dyDescent="0.2">
      <c r="B2068" s="31" t="s">
        <v>220</v>
      </c>
      <c r="C2068" s="32" t="s">
        <v>970</v>
      </c>
      <c r="D2068" s="33" t="s">
        <v>38</v>
      </c>
      <c r="E2068" s="30" t="s">
        <v>458</v>
      </c>
      <c r="F2068" s="32" t="s">
        <v>356</v>
      </c>
      <c r="G2068" s="30" t="s">
        <v>699</v>
      </c>
      <c r="H2068" t="str">
        <f>CONCATENATE(Prequal[[#This Row],[CITY]], ", ",Prequal[[#This Row],[STATE]])</f>
        <v>Westmont, IL</v>
      </c>
    </row>
    <row r="2069" spans="2:8" x14ac:dyDescent="0.2">
      <c r="B2069" s="31" t="s">
        <v>221</v>
      </c>
      <c r="C2069" s="32" t="s">
        <v>969</v>
      </c>
      <c r="D2069" s="33" t="s">
        <v>125</v>
      </c>
      <c r="E2069" s="30" t="s">
        <v>947</v>
      </c>
      <c r="F2069" s="32" t="s">
        <v>356</v>
      </c>
      <c r="G2069" s="30" t="s">
        <v>700</v>
      </c>
      <c r="H2069" t="str">
        <f>CONCATENATE(Prequal[[#This Row],[CITY]], ", ",Prequal[[#This Row],[STATE]])</f>
        <v>Chicago, IL</v>
      </c>
    </row>
    <row r="2070" spans="2:8" x14ac:dyDescent="0.2">
      <c r="B2070" s="27" t="s">
        <v>221</v>
      </c>
      <c r="C2070" s="28" t="s">
        <v>969</v>
      </c>
      <c r="D2070" s="29" t="s">
        <v>4</v>
      </c>
      <c r="E2070" s="30" t="s">
        <v>947</v>
      </c>
      <c r="F2070" s="28" t="s">
        <v>356</v>
      </c>
      <c r="G2070" s="30" t="s">
        <v>700</v>
      </c>
      <c r="H2070" t="str">
        <f>CONCATENATE(Prequal[[#This Row],[CITY]], ", ",Prequal[[#This Row],[STATE]])</f>
        <v>Chicago, IL</v>
      </c>
    </row>
    <row r="2071" spans="2:8" x14ac:dyDescent="0.2">
      <c r="B2071" s="27" t="s">
        <v>221</v>
      </c>
      <c r="C2071" s="28" t="s">
        <v>969</v>
      </c>
      <c r="D2071" s="29" t="s">
        <v>5</v>
      </c>
      <c r="E2071" s="30" t="s">
        <v>947</v>
      </c>
      <c r="F2071" s="28" t="s">
        <v>356</v>
      </c>
      <c r="G2071" s="30" t="s">
        <v>700</v>
      </c>
      <c r="H2071" t="str">
        <f>CONCATENATE(Prequal[[#This Row],[CITY]], ", ",Prequal[[#This Row],[STATE]])</f>
        <v>Chicago, IL</v>
      </c>
    </row>
    <row r="2072" spans="2:8" x14ac:dyDescent="0.2">
      <c r="B2072" s="27" t="s">
        <v>221</v>
      </c>
      <c r="C2072" s="28" t="s">
        <v>969</v>
      </c>
      <c r="D2072" s="29" t="s">
        <v>6</v>
      </c>
      <c r="E2072" s="30" t="s">
        <v>947</v>
      </c>
      <c r="F2072" s="28" t="s">
        <v>356</v>
      </c>
      <c r="G2072" s="30" t="s">
        <v>700</v>
      </c>
      <c r="H2072" t="str">
        <f>CONCATENATE(Prequal[[#This Row],[CITY]], ", ",Prequal[[#This Row],[STATE]])</f>
        <v>Chicago, IL</v>
      </c>
    </row>
    <row r="2073" spans="2:8" x14ac:dyDescent="0.2">
      <c r="B2073" s="27" t="s">
        <v>221</v>
      </c>
      <c r="C2073" s="28" t="s">
        <v>969</v>
      </c>
      <c r="D2073" s="29" t="s">
        <v>7</v>
      </c>
      <c r="E2073" s="30" t="s">
        <v>947</v>
      </c>
      <c r="F2073" s="28" t="s">
        <v>356</v>
      </c>
      <c r="G2073" s="30" t="s">
        <v>700</v>
      </c>
      <c r="H2073" t="str">
        <f>CONCATENATE(Prequal[[#This Row],[CITY]], ", ",Prequal[[#This Row],[STATE]])</f>
        <v>Chicago, IL</v>
      </c>
    </row>
    <row r="2074" spans="2:8" x14ac:dyDescent="0.2">
      <c r="B2074" s="27" t="s">
        <v>221</v>
      </c>
      <c r="C2074" s="28" t="s">
        <v>969</v>
      </c>
      <c r="D2074" s="29" t="s">
        <v>8</v>
      </c>
      <c r="E2074" s="30" t="s">
        <v>947</v>
      </c>
      <c r="F2074" s="28" t="s">
        <v>356</v>
      </c>
      <c r="G2074" s="30" t="s">
        <v>700</v>
      </c>
      <c r="H2074" t="str">
        <f>CONCATENATE(Prequal[[#This Row],[CITY]], ", ",Prequal[[#This Row],[STATE]])</f>
        <v>Chicago, IL</v>
      </c>
    </row>
    <row r="2075" spans="2:8" x14ac:dyDescent="0.2">
      <c r="B2075" s="27" t="s">
        <v>221</v>
      </c>
      <c r="C2075" s="28" t="s">
        <v>969</v>
      </c>
      <c r="D2075" s="29" t="s">
        <v>24</v>
      </c>
      <c r="E2075" s="30" t="s">
        <v>947</v>
      </c>
      <c r="F2075" s="28" t="s">
        <v>356</v>
      </c>
      <c r="G2075" s="30" t="s">
        <v>700</v>
      </c>
      <c r="H2075" t="str">
        <f>CONCATENATE(Prequal[[#This Row],[CITY]], ", ",Prequal[[#This Row],[STATE]])</f>
        <v>Chicago, IL</v>
      </c>
    </row>
    <row r="2076" spans="2:8" x14ac:dyDescent="0.2">
      <c r="B2076" s="27" t="s">
        <v>221</v>
      </c>
      <c r="C2076" s="28" t="s">
        <v>969</v>
      </c>
      <c r="D2076" s="29" t="s">
        <v>25</v>
      </c>
      <c r="E2076" s="30" t="s">
        <v>947</v>
      </c>
      <c r="F2076" s="28" t="s">
        <v>356</v>
      </c>
      <c r="G2076" s="30" t="s">
        <v>700</v>
      </c>
      <c r="H2076" t="str">
        <f>CONCATENATE(Prequal[[#This Row],[CITY]], ", ",Prequal[[#This Row],[STATE]])</f>
        <v>Chicago, IL</v>
      </c>
    </row>
    <row r="2077" spans="2:8" x14ac:dyDescent="0.2">
      <c r="B2077" s="27" t="s">
        <v>221</v>
      </c>
      <c r="C2077" s="28" t="s">
        <v>969</v>
      </c>
      <c r="D2077" s="29" t="s">
        <v>9</v>
      </c>
      <c r="E2077" s="30" t="s">
        <v>947</v>
      </c>
      <c r="F2077" s="28" t="s">
        <v>356</v>
      </c>
      <c r="G2077" s="30" t="s">
        <v>700</v>
      </c>
      <c r="H2077" t="str">
        <f>CONCATENATE(Prequal[[#This Row],[CITY]], ", ",Prequal[[#This Row],[STATE]])</f>
        <v>Chicago, IL</v>
      </c>
    </row>
    <row r="2078" spans="2:8" x14ac:dyDescent="0.2">
      <c r="B2078" s="27" t="s">
        <v>221</v>
      </c>
      <c r="C2078" s="28" t="s">
        <v>969</v>
      </c>
      <c r="D2078" s="29" t="s">
        <v>27</v>
      </c>
      <c r="E2078" s="30" t="s">
        <v>947</v>
      </c>
      <c r="F2078" s="28" t="s">
        <v>356</v>
      </c>
      <c r="G2078" s="30" t="s">
        <v>700</v>
      </c>
      <c r="H2078" t="str">
        <f>CONCATENATE(Prequal[[#This Row],[CITY]], ", ",Prequal[[#This Row],[STATE]])</f>
        <v>Chicago, IL</v>
      </c>
    </row>
    <row r="2079" spans="2:8" x14ac:dyDescent="0.2">
      <c r="B2079" s="27" t="s">
        <v>221</v>
      </c>
      <c r="C2079" s="28" t="s">
        <v>969</v>
      </c>
      <c r="D2079" s="29" t="s">
        <v>59</v>
      </c>
      <c r="E2079" s="30" t="s">
        <v>947</v>
      </c>
      <c r="F2079" s="28" t="s">
        <v>356</v>
      </c>
      <c r="G2079" s="30" t="s">
        <v>700</v>
      </c>
      <c r="H2079" t="str">
        <f>CONCATENATE(Prequal[[#This Row],[CITY]], ", ",Prequal[[#This Row],[STATE]])</f>
        <v>Chicago, IL</v>
      </c>
    </row>
    <row r="2080" spans="2:8" x14ac:dyDescent="0.2">
      <c r="B2080" s="27" t="s">
        <v>221</v>
      </c>
      <c r="C2080" s="28" t="s">
        <v>969</v>
      </c>
      <c r="D2080" s="29" t="s">
        <v>10</v>
      </c>
      <c r="E2080" s="30" t="s">
        <v>947</v>
      </c>
      <c r="F2080" s="28" t="s">
        <v>356</v>
      </c>
      <c r="G2080" s="30" t="s">
        <v>700</v>
      </c>
      <c r="H2080" t="str">
        <f>CONCATENATE(Prequal[[#This Row],[CITY]], ", ",Prequal[[#This Row],[STATE]])</f>
        <v>Chicago, IL</v>
      </c>
    </row>
    <row r="2081" spans="2:8" x14ac:dyDescent="0.2">
      <c r="B2081" s="27" t="s">
        <v>221</v>
      </c>
      <c r="C2081" s="28" t="s">
        <v>969</v>
      </c>
      <c r="D2081" s="29" t="s">
        <v>21</v>
      </c>
      <c r="E2081" s="30" t="s">
        <v>947</v>
      </c>
      <c r="F2081" s="28" t="s">
        <v>356</v>
      </c>
      <c r="G2081" s="30" t="s">
        <v>700</v>
      </c>
      <c r="H2081" t="str">
        <f>CONCATENATE(Prequal[[#This Row],[CITY]], ", ",Prequal[[#This Row],[STATE]])</f>
        <v>Chicago, IL</v>
      </c>
    </row>
    <row r="2082" spans="2:8" x14ac:dyDescent="0.2">
      <c r="B2082" s="27" t="s">
        <v>221</v>
      </c>
      <c r="C2082" s="28" t="s">
        <v>969</v>
      </c>
      <c r="D2082" s="29" t="s">
        <v>11</v>
      </c>
      <c r="E2082" s="30" t="s">
        <v>947</v>
      </c>
      <c r="F2082" s="28" t="s">
        <v>356</v>
      </c>
      <c r="G2082" s="30" t="s">
        <v>700</v>
      </c>
      <c r="H2082" t="str">
        <f>CONCATENATE(Prequal[[#This Row],[CITY]], ", ",Prequal[[#This Row],[STATE]])</f>
        <v>Chicago, IL</v>
      </c>
    </row>
    <row r="2083" spans="2:8" x14ac:dyDescent="0.2">
      <c r="B2083" s="27" t="s">
        <v>221</v>
      </c>
      <c r="C2083" s="28" t="s">
        <v>969</v>
      </c>
      <c r="D2083" s="29" t="s">
        <v>22</v>
      </c>
      <c r="E2083" s="30" t="s">
        <v>947</v>
      </c>
      <c r="F2083" s="28" t="s">
        <v>356</v>
      </c>
      <c r="G2083" s="30" t="s">
        <v>700</v>
      </c>
      <c r="H2083" t="str">
        <f>CONCATENATE(Prequal[[#This Row],[CITY]], ", ",Prequal[[#This Row],[STATE]])</f>
        <v>Chicago, IL</v>
      </c>
    </row>
    <row r="2084" spans="2:8" x14ac:dyDescent="0.2">
      <c r="B2084" s="27" t="s">
        <v>221</v>
      </c>
      <c r="C2084" s="28" t="s">
        <v>969</v>
      </c>
      <c r="D2084" s="29" t="s">
        <v>51</v>
      </c>
      <c r="E2084" s="30" t="s">
        <v>947</v>
      </c>
      <c r="F2084" s="28" t="s">
        <v>356</v>
      </c>
      <c r="G2084" s="30" t="s">
        <v>700</v>
      </c>
      <c r="H2084" t="str">
        <f>CONCATENATE(Prequal[[#This Row],[CITY]], ", ",Prequal[[#This Row],[STATE]])</f>
        <v>Chicago, IL</v>
      </c>
    </row>
    <row r="2085" spans="2:8" x14ac:dyDescent="0.2">
      <c r="B2085" s="27" t="s">
        <v>221</v>
      </c>
      <c r="C2085" s="28" t="s">
        <v>969</v>
      </c>
      <c r="D2085" s="29" t="s">
        <v>37</v>
      </c>
      <c r="E2085" s="30" t="s">
        <v>947</v>
      </c>
      <c r="F2085" s="28" t="s">
        <v>356</v>
      </c>
      <c r="G2085" s="30" t="s">
        <v>700</v>
      </c>
      <c r="H2085" t="str">
        <f>CONCATENATE(Prequal[[#This Row],[CITY]], ", ",Prequal[[#This Row],[STATE]])</f>
        <v>Chicago, IL</v>
      </c>
    </row>
    <row r="2086" spans="2:8" x14ac:dyDescent="0.2">
      <c r="B2086" s="27" t="s">
        <v>221</v>
      </c>
      <c r="C2086" s="28" t="s">
        <v>969</v>
      </c>
      <c r="D2086" s="29" t="s">
        <v>13</v>
      </c>
      <c r="E2086" s="30" t="s">
        <v>947</v>
      </c>
      <c r="F2086" s="28" t="s">
        <v>356</v>
      </c>
      <c r="G2086" s="30" t="s">
        <v>700</v>
      </c>
      <c r="H2086" t="str">
        <f>CONCATENATE(Prequal[[#This Row],[CITY]], ", ",Prequal[[#This Row],[STATE]])</f>
        <v>Chicago, IL</v>
      </c>
    </row>
    <row r="2087" spans="2:8" x14ac:dyDescent="0.2">
      <c r="B2087" s="27" t="s">
        <v>221</v>
      </c>
      <c r="C2087" s="28" t="s">
        <v>969</v>
      </c>
      <c r="D2087" s="29" t="s">
        <v>52</v>
      </c>
      <c r="E2087" s="30" t="s">
        <v>947</v>
      </c>
      <c r="F2087" s="28" t="s">
        <v>356</v>
      </c>
      <c r="G2087" s="30" t="s">
        <v>700</v>
      </c>
      <c r="H2087" t="str">
        <f>CONCATENATE(Prequal[[#This Row],[CITY]], ", ",Prequal[[#This Row],[STATE]])</f>
        <v>Chicago, IL</v>
      </c>
    </row>
    <row r="2088" spans="2:8" x14ac:dyDescent="0.2">
      <c r="B2088" s="27" t="s">
        <v>221</v>
      </c>
      <c r="C2088" s="28" t="s">
        <v>969</v>
      </c>
      <c r="D2088" s="29" t="s">
        <v>14</v>
      </c>
      <c r="E2088" s="30" t="s">
        <v>947</v>
      </c>
      <c r="F2088" s="28" t="s">
        <v>356</v>
      </c>
      <c r="G2088" s="30" t="s">
        <v>700</v>
      </c>
      <c r="H2088" t="str">
        <f>CONCATENATE(Prequal[[#This Row],[CITY]], ", ",Prequal[[#This Row],[STATE]])</f>
        <v>Chicago, IL</v>
      </c>
    </row>
    <row r="2089" spans="2:8" x14ac:dyDescent="0.2">
      <c r="B2089" s="27" t="s">
        <v>221</v>
      </c>
      <c r="C2089" s="28" t="s">
        <v>969</v>
      </c>
      <c r="D2089" s="29" t="s">
        <v>15</v>
      </c>
      <c r="E2089" s="30" t="s">
        <v>947</v>
      </c>
      <c r="F2089" s="28" t="s">
        <v>356</v>
      </c>
      <c r="G2089" s="30" t="s">
        <v>700</v>
      </c>
      <c r="H2089" t="str">
        <f>CONCATENATE(Prequal[[#This Row],[CITY]], ", ",Prequal[[#This Row],[STATE]])</f>
        <v>Chicago, IL</v>
      </c>
    </row>
    <row r="2090" spans="2:8" x14ac:dyDescent="0.2">
      <c r="B2090" s="27" t="s">
        <v>221</v>
      </c>
      <c r="C2090" s="28" t="s">
        <v>969</v>
      </c>
      <c r="D2090" s="29" t="s">
        <v>30</v>
      </c>
      <c r="E2090" s="30" t="s">
        <v>947</v>
      </c>
      <c r="F2090" s="28" t="s">
        <v>356</v>
      </c>
      <c r="G2090" s="30" t="s">
        <v>700</v>
      </c>
      <c r="H2090" t="str">
        <f>CONCATENATE(Prequal[[#This Row],[CITY]], ", ",Prequal[[#This Row],[STATE]])</f>
        <v>Chicago, IL</v>
      </c>
    </row>
    <row r="2091" spans="2:8" x14ac:dyDescent="0.2">
      <c r="B2091" s="27" t="s">
        <v>221</v>
      </c>
      <c r="C2091" s="28" t="s">
        <v>969</v>
      </c>
      <c r="D2091" s="29" t="s">
        <v>53</v>
      </c>
      <c r="E2091" s="30" t="s">
        <v>947</v>
      </c>
      <c r="F2091" s="28" t="s">
        <v>356</v>
      </c>
      <c r="G2091" s="30" t="s">
        <v>700</v>
      </c>
      <c r="H2091" t="str">
        <f>CONCATENATE(Prequal[[#This Row],[CITY]], ", ",Prequal[[#This Row],[STATE]])</f>
        <v>Chicago, IL</v>
      </c>
    </row>
    <row r="2092" spans="2:8" x14ac:dyDescent="0.2">
      <c r="B2092" s="27" t="s">
        <v>221</v>
      </c>
      <c r="C2092" s="28" t="s">
        <v>969</v>
      </c>
      <c r="D2092" s="29" t="s">
        <v>31</v>
      </c>
      <c r="E2092" s="30" t="s">
        <v>947</v>
      </c>
      <c r="F2092" s="28" t="s">
        <v>356</v>
      </c>
      <c r="G2092" s="30" t="s">
        <v>700</v>
      </c>
      <c r="H2092" t="str">
        <f>CONCATENATE(Prequal[[#This Row],[CITY]], ", ",Prequal[[#This Row],[STATE]])</f>
        <v>Chicago, IL</v>
      </c>
    </row>
    <row r="2093" spans="2:8" x14ac:dyDescent="0.2">
      <c r="B2093" s="27" t="s">
        <v>221</v>
      </c>
      <c r="C2093" s="28" t="s">
        <v>969</v>
      </c>
      <c r="D2093" s="29" t="s">
        <v>32</v>
      </c>
      <c r="E2093" s="30" t="s">
        <v>947</v>
      </c>
      <c r="F2093" s="28" t="s">
        <v>356</v>
      </c>
      <c r="G2093" s="30" t="s">
        <v>700</v>
      </c>
      <c r="H2093" t="str">
        <f>CONCATENATE(Prequal[[#This Row],[CITY]], ", ",Prequal[[#This Row],[STATE]])</f>
        <v>Chicago, IL</v>
      </c>
    </row>
    <row r="2094" spans="2:8" x14ac:dyDescent="0.2">
      <c r="B2094" s="27" t="s">
        <v>221</v>
      </c>
      <c r="C2094" s="28" t="s">
        <v>969</v>
      </c>
      <c r="D2094" s="29" t="s">
        <v>54</v>
      </c>
      <c r="E2094" s="30" t="s">
        <v>947</v>
      </c>
      <c r="F2094" s="28" t="s">
        <v>356</v>
      </c>
      <c r="G2094" s="30" t="s">
        <v>700</v>
      </c>
      <c r="H2094" t="str">
        <f>CONCATENATE(Prequal[[#This Row],[CITY]], ", ",Prequal[[#This Row],[STATE]])</f>
        <v>Chicago, IL</v>
      </c>
    </row>
    <row r="2095" spans="2:8" x14ac:dyDescent="0.2">
      <c r="B2095" s="27" t="s">
        <v>221</v>
      </c>
      <c r="C2095" s="28" t="s">
        <v>969</v>
      </c>
      <c r="D2095" s="29" t="s">
        <v>38</v>
      </c>
      <c r="E2095" s="30" t="s">
        <v>947</v>
      </c>
      <c r="F2095" s="28" t="s">
        <v>356</v>
      </c>
      <c r="G2095" s="30" t="s">
        <v>700</v>
      </c>
      <c r="H2095" t="str">
        <f>CONCATENATE(Prequal[[#This Row],[CITY]], ", ",Prequal[[#This Row],[STATE]])</f>
        <v>Chicago, IL</v>
      </c>
    </row>
    <row r="2096" spans="2:8" x14ac:dyDescent="0.2">
      <c r="B2096" s="27" t="s">
        <v>221</v>
      </c>
      <c r="C2096" s="28" t="s">
        <v>969</v>
      </c>
      <c r="D2096" s="29" t="s">
        <v>55</v>
      </c>
      <c r="E2096" s="30" t="s">
        <v>947</v>
      </c>
      <c r="F2096" s="28" t="s">
        <v>356</v>
      </c>
      <c r="G2096" s="30" t="s">
        <v>700</v>
      </c>
      <c r="H2096" t="str">
        <f>CONCATENATE(Prequal[[#This Row],[CITY]], ", ",Prequal[[#This Row],[STATE]])</f>
        <v>Chicago, IL</v>
      </c>
    </row>
    <row r="2097" spans="2:8" x14ac:dyDescent="0.2">
      <c r="B2097" s="27" t="s">
        <v>221</v>
      </c>
      <c r="C2097" s="28" t="s">
        <v>969</v>
      </c>
      <c r="D2097" s="29" t="s">
        <v>56</v>
      </c>
      <c r="E2097" s="30" t="s">
        <v>947</v>
      </c>
      <c r="F2097" s="28" t="s">
        <v>356</v>
      </c>
      <c r="G2097" s="30" t="s">
        <v>700</v>
      </c>
      <c r="H2097" t="str">
        <f>CONCATENATE(Prequal[[#This Row],[CITY]], ", ",Prequal[[#This Row],[STATE]])</f>
        <v>Chicago, IL</v>
      </c>
    </row>
    <row r="2098" spans="2:8" x14ac:dyDescent="0.2">
      <c r="B2098" s="27" t="s">
        <v>221</v>
      </c>
      <c r="C2098" s="28" t="s">
        <v>969</v>
      </c>
      <c r="D2098" s="29" t="s">
        <v>33</v>
      </c>
      <c r="E2098" s="30" t="s">
        <v>947</v>
      </c>
      <c r="F2098" s="28" t="s">
        <v>356</v>
      </c>
      <c r="G2098" s="30" t="s">
        <v>700</v>
      </c>
      <c r="H2098" t="str">
        <f>CONCATENATE(Prequal[[#This Row],[CITY]], ", ",Prequal[[#This Row],[STATE]])</f>
        <v>Chicago, IL</v>
      </c>
    </row>
    <row r="2099" spans="2:8" x14ac:dyDescent="0.2">
      <c r="B2099" s="27" t="s">
        <v>221</v>
      </c>
      <c r="C2099" s="28" t="s">
        <v>969</v>
      </c>
      <c r="D2099" s="29" t="s">
        <v>57</v>
      </c>
      <c r="E2099" s="30" t="s">
        <v>947</v>
      </c>
      <c r="F2099" s="28" t="s">
        <v>356</v>
      </c>
      <c r="G2099" s="30" t="s">
        <v>700</v>
      </c>
      <c r="H2099" t="str">
        <f>CONCATENATE(Prequal[[#This Row],[CITY]], ", ",Prequal[[#This Row],[STATE]])</f>
        <v>Chicago, IL</v>
      </c>
    </row>
    <row r="2100" spans="2:8" x14ac:dyDescent="0.2">
      <c r="B2100" s="27" t="s">
        <v>222</v>
      </c>
      <c r="C2100" s="28" t="s">
        <v>969</v>
      </c>
      <c r="D2100" s="29" t="s">
        <v>43</v>
      </c>
      <c r="E2100" s="30" t="s">
        <v>482</v>
      </c>
      <c r="F2100" s="28" t="s">
        <v>356</v>
      </c>
      <c r="G2100" s="30" t="s">
        <v>1093</v>
      </c>
      <c r="H2100" t="str">
        <f>CONCATENATE(Prequal[[#This Row],[CITY]], ", ",Prequal[[#This Row],[STATE]])</f>
        <v>Edwardsville, IL</v>
      </c>
    </row>
    <row r="2101" spans="2:8" x14ac:dyDescent="0.2">
      <c r="B2101" s="27" t="s">
        <v>222</v>
      </c>
      <c r="C2101" s="28" t="s">
        <v>969</v>
      </c>
      <c r="D2101" s="29" t="s">
        <v>44</v>
      </c>
      <c r="E2101" s="30" t="s">
        <v>482</v>
      </c>
      <c r="F2101" s="28" t="s">
        <v>356</v>
      </c>
      <c r="G2101" s="30" t="s">
        <v>1093</v>
      </c>
      <c r="H2101" t="str">
        <f>CONCATENATE(Prequal[[#This Row],[CITY]], ", ",Prequal[[#This Row],[STATE]])</f>
        <v>Edwardsville, IL</v>
      </c>
    </row>
    <row r="2102" spans="2:8" x14ac:dyDescent="0.2">
      <c r="B2102" s="27" t="s">
        <v>222</v>
      </c>
      <c r="C2102" s="28" t="s">
        <v>969</v>
      </c>
      <c r="D2102" s="29" t="s">
        <v>4</v>
      </c>
      <c r="E2102" s="30" t="s">
        <v>482</v>
      </c>
      <c r="F2102" s="28" t="s">
        <v>356</v>
      </c>
      <c r="G2102" s="30" t="s">
        <v>1093</v>
      </c>
      <c r="H2102" t="str">
        <f>CONCATENATE(Prequal[[#This Row],[CITY]], ", ",Prequal[[#This Row],[STATE]])</f>
        <v>Edwardsville, IL</v>
      </c>
    </row>
    <row r="2103" spans="2:8" x14ac:dyDescent="0.2">
      <c r="B2103" s="27" t="s">
        <v>222</v>
      </c>
      <c r="C2103" s="28" t="s">
        <v>969</v>
      </c>
      <c r="D2103" s="29" t="s">
        <v>5</v>
      </c>
      <c r="E2103" s="30" t="s">
        <v>482</v>
      </c>
      <c r="F2103" s="28" t="s">
        <v>356</v>
      </c>
      <c r="G2103" s="30" t="s">
        <v>1093</v>
      </c>
      <c r="H2103" t="str">
        <f>CONCATENATE(Prequal[[#This Row],[CITY]], ", ",Prequal[[#This Row],[STATE]])</f>
        <v>Edwardsville, IL</v>
      </c>
    </row>
    <row r="2104" spans="2:8" x14ac:dyDescent="0.2">
      <c r="B2104" s="27" t="s">
        <v>222</v>
      </c>
      <c r="C2104" s="28" t="s">
        <v>969</v>
      </c>
      <c r="D2104" s="29" t="s">
        <v>7</v>
      </c>
      <c r="E2104" s="30" t="s">
        <v>482</v>
      </c>
      <c r="F2104" s="28" t="s">
        <v>356</v>
      </c>
      <c r="G2104" s="30" t="s">
        <v>1093</v>
      </c>
      <c r="H2104" t="str">
        <f>CONCATENATE(Prequal[[#This Row],[CITY]], ", ",Prequal[[#This Row],[STATE]])</f>
        <v>Edwardsville, IL</v>
      </c>
    </row>
    <row r="2105" spans="2:8" x14ac:dyDescent="0.2">
      <c r="B2105" s="27" t="s">
        <v>222</v>
      </c>
      <c r="C2105" s="28" t="s">
        <v>969</v>
      </c>
      <c r="D2105" s="29" t="s">
        <v>8</v>
      </c>
      <c r="E2105" s="30" t="s">
        <v>482</v>
      </c>
      <c r="F2105" s="28" t="s">
        <v>356</v>
      </c>
      <c r="G2105" s="30" t="s">
        <v>1093</v>
      </c>
      <c r="H2105" t="str">
        <f>CONCATENATE(Prequal[[#This Row],[CITY]], ", ",Prequal[[#This Row],[STATE]])</f>
        <v>Edwardsville, IL</v>
      </c>
    </row>
    <row r="2106" spans="2:8" x14ac:dyDescent="0.2">
      <c r="B2106" s="27" t="s">
        <v>222</v>
      </c>
      <c r="C2106" s="28" t="s">
        <v>969</v>
      </c>
      <c r="D2106" s="29" t="s">
        <v>24</v>
      </c>
      <c r="E2106" s="30" t="s">
        <v>482</v>
      </c>
      <c r="F2106" s="28" t="s">
        <v>356</v>
      </c>
      <c r="G2106" s="30" t="s">
        <v>1093</v>
      </c>
      <c r="H2106" t="str">
        <f>CONCATENATE(Prequal[[#This Row],[CITY]], ", ",Prequal[[#This Row],[STATE]])</f>
        <v>Edwardsville, IL</v>
      </c>
    </row>
    <row r="2107" spans="2:8" x14ac:dyDescent="0.2">
      <c r="B2107" s="27" t="s">
        <v>222</v>
      </c>
      <c r="C2107" s="28" t="s">
        <v>969</v>
      </c>
      <c r="D2107" s="29" t="s">
        <v>25</v>
      </c>
      <c r="E2107" s="30" t="s">
        <v>482</v>
      </c>
      <c r="F2107" s="28" t="s">
        <v>356</v>
      </c>
      <c r="G2107" s="30" t="s">
        <v>1093</v>
      </c>
      <c r="H2107" t="str">
        <f>CONCATENATE(Prequal[[#This Row],[CITY]], ", ",Prequal[[#This Row],[STATE]])</f>
        <v>Edwardsville, IL</v>
      </c>
    </row>
    <row r="2108" spans="2:8" x14ac:dyDescent="0.2">
      <c r="B2108" s="27" t="s">
        <v>222</v>
      </c>
      <c r="C2108" s="28" t="s">
        <v>969</v>
      </c>
      <c r="D2108" s="29" t="s">
        <v>9</v>
      </c>
      <c r="E2108" s="30" t="s">
        <v>482</v>
      </c>
      <c r="F2108" s="28" t="s">
        <v>356</v>
      </c>
      <c r="G2108" s="30" t="s">
        <v>1093</v>
      </c>
      <c r="H2108" t="str">
        <f>CONCATENATE(Prequal[[#This Row],[CITY]], ", ",Prequal[[#This Row],[STATE]])</f>
        <v>Edwardsville, IL</v>
      </c>
    </row>
    <row r="2109" spans="2:8" x14ac:dyDescent="0.2">
      <c r="B2109" s="27" t="s">
        <v>222</v>
      </c>
      <c r="C2109" s="28" t="s">
        <v>969</v>
      </c>
      <c r="D2109" s="29" t="s">
        <v>27</v>
      </c>
      <c r="E2109" s="30" t="s">
        <v>482</v>
      </c>
      <c r="F2109" s="28" t="s">
        <v>356</v>
      </c>
      <c r="G2109" s="30" t="s">
        <v>1093</v>
      </c>
      <c r="H2109" t="str">
        <f>CONCATENATE(Prequal[[#This Row],[CITY]], ", ",Prequal[[#This Row],[STATE]])</f>
        <v>Edwardsville, IL</v>
      </c>
    </row>
    <row r="2110" spans="2:8" x14ac:dyDescent="0.2">
      <c r="B2110" s="27" t="s">
        <v>222</v>
      </c>
      <c r="C2110" s="28" t="s">
        <v>969</v>
      </c>
      <c r="D2110" s="29" t="s">
        <v>10</v>
      </c>
      <c r="E2110" s="30" t="s">
        <v>482</v>
      </c>
      <c r="F2110" s="28" t="s">
        <v>356</v>
      </c>
      <c r="G2110" s="30" t="s">
        <v>1093</v>
      </c>
      <c r="H2110" t="str">
        <f>CONCATENATE(Prequal[[#This Row],[CITY]], ", ",Prequal[[#This Row],[STATE]])</f>
        <v>Edwardsville, IL</v>
      </c>
    </row>
    <row r="2111" spans="2:8" x14ac:dyDescent="0.2">
      <c r="B2111" s="27" t="s">
        <v>222</v>
      </c>
      <c r="C2111" s="28" t="s">
        <v>969</v>
      </c>
      <c r="D2111" s="29" t="s">
        <v>11</v>
      </c>
      <c r="E2111" s="30" t="s">
        <v>482</v>
      </c>
      <c r="F2111" s="28" t="s">
        <v>356</v>
      </c>
      <c r="G2111" s="30" t="s">
        <v>1093</v>
      </c>
      <c r="H2111" t="str">
        <f>CONCATENATE(Prequal[[#This Row],[CITY]], ", ",Prequal[[#This Row],[STATE]])</f>
        <v>Edwardsville, IL</v>
      </c>
    </row>
    <row r="2112" spans="2:8" x14ac:dyDescent="0.2">
      <c r="B2112" s="27" t="s">
        <v>222</v>
      </c>
      <c r="C2112" s="28" t="s">
        <v>969</v>
      </c>
      <c r="D2112" s="29" t="s">
        <v>39</v>
      </c>
      <c r="E2112" s="30" t="s">
        <v>482</v>
      </c>
      <c r="F2112" s="28" t="s">
        <v>356</v>
      </c>
      <c r="G2112" s="30" t="s">
        <v>1093</v>
      </c>
      <c r="H2112" t="str">
        <f>CONCATENATE(Prequal[[#This Row],[CITY]], ", ",Prequal[[#This Row],[STATE]])</f>
        <v>Edwardsville, IL</v>
      </c>
    </row>
    <row r="2113" spans="2:8" x14ac:dyDescent="0.2">
      <c r="B2113" s="27" t="s">
        <v>222</v>
      </c>
      <c r="C2113" s="28" t="s">
        <v>969</v>
      </c>
      <c r="D2113" s="29" t="s">
        <v>12</v>
      </c>
      <c r="E2113" s="30" t="s">
        <v>482</v>
      </c>
      <c r="F2113" s="28" t="s">
        <v>356</v>
      </c>
      <c r="G2113" s="30" t="s">
        <v>1093</v>
      </c>
      <c r="H2113" t="str">
        <f>CONCATENATE(Prequal[[#This Row],[CITY]], ", ",Prequal[[#This Row],[STATE]])</f>
        <v>Edwardsville, IL</v>
      </c>
    </row>
    <row r="2114" spans="2:8" x14ac:dyDescent="0.2">
      <c r="B2114" s="27" t="s">
        <v>222</v>
      </c>
      <c r="C2114" s="28" t="s">
        <v>969</v>
      </c>
      <c r="D2114" s="29" t="s">
        <v>29</v>
      </c>
      <c r="E2114" s="30" t="s">
        <v>482</v>
      </c>
      <c r="F2114" s="28" t="s">
        <v>356</v>
      </c>
      <c r="G2114" s="30" t="s">
        <v>1093</v>
      </c>
      <c r="H2114" t="str">
        <f>CONCATENATE(Prequal[[#This Row],[CITY]], ", ",Prequal[[#This Row],[STATE]])</f>
        <v>Edwardsville, IL</v>
      </c>
    </row>
    <row r="2115" spans="2:8" x14ac:dyDescent="0.2">
      <c r="B2115" s="27" t="s">
        <v>222</v>
      </c>
      <c r="C2115" s="28" t="s">
        <v>969</v>
      </c>
      <c r="D2115" s="29" t="s">
        <v>37</v>
      </c>
      <c r="E2115" s="30" t="s">
        <v>482</v>
      </c>
      <c r="F2115" s="28" t="s">
        <v>356</v>
      </c>
      <c r="G2115" s="30" t="s">
        <v>1093</v>
      </c>
      <c r="H2115" t="str">
        <f>CONCATENATE(Prequal[[#This Row],[CITY]], ", ",Prequal[[#This Row],[STATE]])</f>
        <v>Edwardsville, IL</v>
      </c>
    </row>
    <row r="2116" spans="2:8" x14ac:dyDescent="0.2">
      <c r="B2116" s="27" t="s">
        <v>222</v>
      </c>
      <c r="C2116" s="28" t="s">
        <v>969</v>
      </c>
      <c r="D2116" s="29" t="s">
        <v>13</v>
      </c>
      <c r="E2116" s="30" t="s">
        <v>482</v>
      </c>
      <c r="F2116" s="28" t="s">
        <v>356</v>
      </c>
      <c r="G2116" s="30" t="s">
        <v>1093</v>
      </c>
      <c r="H2116" t="str">
        <f>CONCATENATE(Prequal[[#This Row],[CITY]], ", ",Prequal[[#This Row],[STATE]])</f>
        <v>Edwardsville, IL</v>
      </c>
    </row>
    <row r="2117" spans="2:8" x14ac:dyDescent="0.2">
      <c r="B2117" s="27" t="s">
        <v>222</v>
      </c>
      <c r="C2117" s="28" t="s">
        <v>969</v>
      </c>
      <c r="D2117" s="29" t="s">
        <v>52</v>
      </c>
      <c r="E2117" s="30" t="s">
        <v>482</v>
      </c>
      <c r="F2117" s="28" t="s">
        <v>356</v>
      </c>
      <c r="G2117" s="30" t="s">
        <v>1093</v>
      </c>
      <c r="H2117" t="str">
        <f>CONCATENATE(Prequal[[#This Row],[CITY]], ", ",Prequal[[#This Row],[STATE]])</f>
        <v>Edwardsville, IL</v>
      </c>
    </row>
    <row r="2118" spans="2:8" x14ac:dyDescent="0.2">
      <c r="B2118" s="27" t="s">
        <v>222</v>
      </c>
      <c r="C2118" s="28" t="s">
        <v>969</v>
      </c>
      <c r="D2118" s="29" t="s">
        <v>14</v>
      </c>
      <c r="E2118" s="30" t="s">
        <v>482</v>
      </c>
      <c r="F2118" s="28" t="s">
        <v>356</v>
      </c>
      <c r="G2118" s="30" t="s">
        <v>1093</v>
      </c>
      <c r="H2118" t="str">
        <f>CONCATENATE(Prequal[[#This Row],[CITY]], ", ",Prequal[[#This Row],[STATE]])</f>
        <v>Edwardsville, IL</v>
      </c>
    </row>
    <row r="2119" spans="2:8" x14ac:dyDescent="0.2">
      <c r="B2119" s="27" t="s">
        <v>222</v>
      </c>
      <c r="C2119" s="28" t="s">
        <v>969</v>
      </c>
      <c r="D2119" s="29" t="s">
        <v>15</v>
      </c>
      <c r="E2119" s="30" t="s">
        <v>482</v>
      </c>
      <c r="F2119" s="28" t="s">
        <v>356</v>
      </c>
      <c r="G2119" s="30" t="s">
        <v>1093</v>
      </c>
      <c r="H2119" t="str">
        <f>CONCATENATE(Prequal[[#This Row],[CITY]], ", ",Prequal[[#This Row],[STATE]])</f>
        <v>Edwardsville, IL</v>
      </c>
    </row>
    <row r="2120" spans="2:8" x14ac:dyDescent="0.2">
      <c r="B2120" s="27" t="s">
        <v>222</v>
      </c>
      <c r="C2120" s="28" t="s">
        <v>969</v>
      </c>
      <c r="D2120" s="29" t="s">
        <v>30</v>
      </c>
      <c r="E2120" s="30" t="s">
        <v>482</v>
      </c>
      <c r="F2120" s="28" t="s">
        <v>356</v>
      </c>
      <c r="G2120" s="30" t="s">
        <v>1093</v>
      </c>
      <c r="H2120" t="str">
        <f>CONCATENATE(Prequal[[#This Row],[CITY]], ", ",Prequal[[#This Row],[STATE]])</f>
        <v>Edwardsville, IL</v>
      </c>
    </row>
    <row r="2121" spans="2:8" x14ac:dyDescent="0.2">
      <c r="B2121" s="27" t="s">
        <v>222</v>
      </c>
      <c r="C2121" s="28" t="s">
        <v>969</v>
      </c>
      <c r="D2121" s="29" t="s">
        <v>31</v>
      </c>
      <c r="E2121" s="30" t="s">
        <v>482</v>
      </c>
      <c r="F2121" s="28" t="s">
        <v>356</v>
      </c>
      <c r="G2121" s="30" t="s">
        <v>1093</v>
      </c>
      <c r="H2121" t="str">
        <f>CONCATENATE(Prequal[[#This Row],[CITY]], ", ",Prequal[[#This Row],[STATE]])</f>
        <v>Edwardsville, IL</v>
      </c>
    </row>
    <row r="2122" spans="2:8" x14ac:dyDescent="0.2">
      <c r="B2122" s="27" t="s">
        <v>222</v>
      </c>
      <c r="C2122" s="28" t="s">
        <v>969</v>
      </c>
      <c r="D2122" s="29" t="s">
        <v>32</v>
      </c>
      <c r="E2122" s="30" t="s">
        <v>482</v>
      </c>
      <c r="F2122" s="28" t="s">
        <v>356</v>
      </c>
      <c r="G2122" s="30" t="s">
        <v>1093</v>
      </c>
      <c r="H2122" t="str">
        <f>CONCATENATE(Prequal[[#This Row],[CITY]], ", ",Prequal[[#This Row],[STATE]])</f>
        <v>Edwardsville, IL</v>
      </c>
    </row>
    <row r="2123" spans="2:8" x14ac:dyDescent="0.2">
      <c r="B2123" s="27" t="s">
        <v>223</v>
      </c>
      <c r="C2123" s="28" t="s">
        <v>969</v>
      </c>
      <c r="D2123" s="29" t="s">
        <v>4</v>
      </c>
      <c r="E2123" s="30" t="s">
        <v>947</v>
      </c>
      <c r="F2123" s="28" t="s">
        <v>356</v>
      </c>
      <c r="G2123" s="30" t="s">
        <v>701</v>
      </c>
      <c r="H2123" t="str">
        <f>CONCATENATE(Prequal[[#This Row],[CITY]], ", ",Prequal[[#This Row],[STATE]])</f>
        <v>Chicago, IL</v>
      </c>
    </row>
    <row r="2124" spans="2:8" x14ac:dyDescent="0.2">
      <c r="B2124" s="27" t="s">
        <v>223</v>
      </c>
      <c r="C2124" s="28" t="s">
        <v>969</v>
      </c>
      <c r="D2124" s="29" t="s">
        <v>5</v>
      </c>
      <c r="E2124" s="30" t="s">
        <v>947</v>
      </c>
      <c r="F2124" s="28" t="s">
        <v>356</v>
      </c>
      <c r="G2124" s="30" t="s">
        <v>701</v>
      </c>
      <c r="H2124" t="str">
        <f>CONCATENATE(Prequal[[#This Row],[CITY]], ", ",Prequal[[#This Row],[STATE]])</f>
        <v>Chicago, IL</v>
      </c>
    </row>
    <row r="2125" spans="2:8" x14ac:dyDescent="0.2">
      <c r="B2125" s="27" t="s">
        <v>223</v>
      </c>
      <c r="C2125" s="28" t="s">
        <v>969</v>
      </c>
      <c r="D2125" s="29" t="s">
        <v>7</v>
      </c>
      <c r="E2125" s="30" t="s">
        <v>947</v>
      </c>
      <c r="F2125" s="28" t="s">
        <v>356</v>
      </c>
      <c r="G2125" s="30" t="s">
        <v>701</v>
      </c>
      <c r="H2125" t="str">
        <f>CONCATENATE(Prequal[[#This Row],[CITY]], ", ",Prequal[[#This Row],[STATE]])</f>
        <v>Chicago, IL</v>
      </c>
    </row>
    <row r="2126" spans="2:8" x14ac:dyDescent="0.2">
      <c r="B2126" s="27" t="s">
        <v>223</v>
      </c>
      <c r="C2126" s="28" t="s">
        <v>969</v>
      </c>
      <c r="D2126" s="29" t="s">
        <v>1013</v>
      </c>
      <c r="E2126" s="30" t="s">
        <v>947</v>
      </c>
      <c r="F2126" s="28" t="s">
        <v>356</v>
      </c>
      <c r="G2126" s="30" t="s">
        <v>701</v>
      </c>
      <c r="H2126" t="str">
        <f>CONCATENATE(Prequal[[#This Row],[CITY]], ", ",Prequal[[#This Row],[STATE]])</f>
        <v>Chicago, IL</v>
      </c>
    </row>
    <row r="2127" spans="2:8" x14ac:dyDescent="0.2">
      <c r="B2127" s="27" t="s">
        <v>223</v>
      </c>
      <c r="C2127" s="28" t="s">
        <v>969</v>
      </c>
      <c r="D2127" s="29" t="s">
        <v>8</v>
      </c>
      <c r="E2127" s="30" t="s">
        <v>947</v>
      </c>
      <c r="F2127" s="28" t="s">
        <v>356</v>
      </c>
      <c r="G2127" s="30" t="s">
        <v>701</v>
      </c>
      <c r="H2127" t="str">
        <f>CONCATENATE(Prequal[[#This Row],[CITY]], ", ",Prequal[[#This Row],[STATE]])</f>
        <v>Chicago, IL</v>
      </c>
    </row>
    <row r="2128" spans="2:8" x14ac:dyDescent="0.2">
      <c r="B2128" s="27" t="s">
        <v>223</v>
      </c>
      <c r="C2128" s="28" t="s">
        <v>969</v>
      </c>
      <c r="D2128" s="29" t="s">
        <v>24</v>
      </c>
      <c r="E2128" s="30" t="s">
        <v>947</v>
      </c>
      <c r="F2128" s="28" t="s">
        <v>356</v>
      </c>
      <c r="G2128" s="30" t="s">
        <v>701</v>
      </c>
      <c r="H2128" t="str">
        <f>CONCATENATE(Prequal[[#This Row],[CITY]], ", ",Prequal[[#This Row],[STATE]])</f>
        <v>Chicago, IL</v>
      </c>
    </row>
    <row r="2129" spans="2:8" x14ac:dyDescent="0.2">
      <c r="B2129" s="27" t="s">
        <v>223</v>
      </c>
      <c r="C2129" s="28" t="s">
        <v>969</v>
      </c>
      <c r="D2129" s="29" t="s">
        <v>25</v>
      </c>
      <c r="E2129" s="30" t="s">
        <v>947</v>
      </c>
      <c r="F2129" s="28" t="s">
        <v>356</v>
      </c>
      <c r="G2129" s="30" t="s">
        <v>701</v>
      </c>
      <c r="H2129" t="str">
        <f>CONCATENATE(Prequal[[#This Row],[CITY]], ", ",Prequal[[#This Row],[STATE]])</f>
        <v>Chicago, IL</v>
      </c>
    </row>
    <row r="2130" spans="2:8" x14ac:dyDescent="0.2">
      <c r="B2130" s="27" t="s">
        <v>223</v>
      </c>
      <c r="C2130" s="28" t="s">
        <v>969</v>
      </c>
      <c r="D2130" s="29" t="s">
        <v>9</v>
      </c>
      <c r="E2130" s="30" t="s">
        <v>947</v>
      </c>
      <c r="F2130" s="28" t="s">
        <v>356</v>
      </c>
      <c r="G2130" s="30" t="s">
        <v>701</v>
      </c>
      <c r="H2130" t="str">
        <f>CONCATENATE(Prequal[[#This Row],[CITY]], ", ",Prequal[[#This Row],[STATE]])</f>
        <v>Chicago, IL</v>
      </c>
    </row>
    <row r="2131" spans="2:8" x14ac:dyDescent="0.2">
      <c r="B2131" s="27" t="s">
        <v>223</v>
      </c>
      <c r="C2131" s="28" t="s">
        <v>969</v>
      </c>
      <c r="D2131" s="29" t="s">
        <v>20</v>
      </c>
      <c r="E2131" s="30" t="s">
        <v>947</v>
      </c>
      <c r="F2131" s="28" t="s">
        <v>356</v>
      </c>
      <c r="G2131" s="30" t="s">
        <v>701</v>
      </c>
      <c r="H2131" t="str">
        <f>CONCATENATE(Prequal[[#This Row],[CITY]], ", ",Prequal[[#This Row],[STATE]])</f>
        <v>Chicago, IL</v>
      </c>
    </row>
    <row r="2132" spans="2:8" x14ac:dyDescent="0.2">
      <c r="B2132" s="27" t="s">
        <v>223</v>
      </c>
      <c r="C2132" s="28" t="s">
        <v>969</v>
      </c>
      <c r="D2132" s="29" t="s">
        <v>27</v>
      </c>
      <c r="E2132" s="30" t="s">
        <v>947</v>
      </c>
      <c r="F2132" s="28" t="s">
        <v>356</v>
      </c>
      <c r="G2132" s="30" t="s">
        <v>701</v>
      </c>
      <c r="H2132" t="str">
        <f>CONCATENATE(Prequal[[#This Row],[CITY]], ", ",Prequal[[#This Row],[STATE]])</f>
        <v>Chicago, IL</v>
      </c>
    </row>
    <row r="2133" spans="2:8" x14ac:dyDescent="0.2">
      <c r="B2133" s="27" t="s">
        <v>223</v>
      </c>
      <c r="C2133" s="28" t="s">
        <v>969</v>
      </c>
      <c r="D2133" s="29" t="s">
        <v>10</v>
      </c>
      <c r="E2133" s="30" t="s">
        <v>947</v>
      </c>
      <c r="F2133" s="28" t="s">
        <v>356</v>
      </c>
      <c r="G2133" s="30" t="s">
        <v>701</v>
      </c>
      <c r="H2133" t="str">
        <f>CONCATENATE(Prequal[[#This Row],[CITY]], ", ",Prequal[[#This Row],[STATE]])</f>
        <v>Chicago, IL</v>
      </c>
    </row>
    <row r="2134" spans="2:8" x14ac:dyDescent="0.2">
      <c r="B2134" s="27" t="s">
        <v>223</v>
      </c>
      <c r="C2134" s="28" t="s">
        <v>969</v>
      </c>
      <c r="D2134" s="29" t="s">
        <v>51</v>
      </c>
      <c r="E2134" s="30" t="s">
        <v>947</v>
      </c>
      <c r="F2134" s="28" t="s">
        <v>356</v>
      </c>
      <c r="G2134" s="30" t="s">
        <v>701</v>
      </c>
      <c r="H2134" t="str">
        <f>CONCATENATE(Prequal[[#This Row],[CITY]], ", ",Prequal[[#This Row],[STATE]])</f>
        <v>Chicago, IL</v>
      </c>
    </row>
    <row r="2135" spans="2:8" x14ac:dyDescent="0.2">
      <c r="B2135" s="27" t="s">
        <v>223</v>
      </c>
      <c r="C2135" s="28" t="s">
        <v>969</v>
      </c>
      <c r="D2135" s="29" t="s">
        <v>39</v>
      </c>
      <c r="E2135" s="30" t="s">
        <v>947</v>
      </c>
      <c r="F2135" s="28" t="s">
        <v>356</v>
      </c>
      <c r="G2135" s="30" t="s">
        <v>701</v>
      </c>
      <c r="H2135" t="str">
        <f>CONCATENATE(Prequal[[#This Row],[CITY]], ", ",Prequal[[#This Row],[STATE]])</f>
        <v>Chicago, IL</v>
      </c>
    </row>
    <row r="2136" spans="2:8" x14ac:dyDescent="0.2">
      <c r="B2136" s="27" t="s">
        <v>223</v>
      </c>
      <c r="C2136" s="28" t="s">
        <v>969</v>
      </c>
      <c r="D2136" s="29" t="s">
        <v>37</v>
      </c>
      <c r="E2136" s="30" t="s">
        <v>947</v>
      </c>
      <c r="F2136" s="28" t="s">
        <v>356</v>
      </c>
      <c r="G2136" s="30" t="s">
        <v>701</v>
      </c>
      <c r="H2136" t="str">
        <f>CONCATENATE(Prequal[[#This Row],[CITY]], ", ",Prequal[[#This Row],[STATE]])</f>
        <v>Chicago, IL</v>
      </c>
    </row>
    <row r="2137" spans="2:8" x14ac:dyDescent="0.2">
      <c r="B2137" s="27" t="s">
        <v>223</v>
      </c>
      <c r="C2137" s="28" t="s">
        <v>969</v>
      </c>
      <c r="D2137" s="29" t="s">
        <v>13</v>
      </c>
      <c r="E2137" s="30" t="s">
        <v>947</v>
      </c>
      <c r="F2137" s="28" t="s">
        <v>356</v>
      </c>
      <c r="G2137" s="30" t="s">
        <v>701</v>
      </c>
      <c r="H2137" t="str">
        <f>CONCATENATE(Prequal[[#This Row],[CITY]], ", ",Prequal[[#This Row],[STATE]])</f>
        <v>Chicago, IL</v>
      </c>
    </row>
    <row r="2138" spans="2:8" x14ac:dyDescent="0.2">
      <c r="B2138" s="27" t="s">
        <v>223</v>
      </c>
      <c r="C2138" s="28" t="s">
        <v>969</v>
      </c>
      <c r="D2138" s="29" t="s">
        <v>14</v>
      </c>
      <c r="E2138" s="30" t="s">
        <v>947</v>
      </c>
      <c r="F2138" s="28" t="s">
        <v>356</v>
      </c>
      <c r="G2138" s="30" t="s">
        <v>701</v>
      </c>
      <c r="H2138" t="str">
        <f>CONCATENATE(Prequal[[#This Row],[CITY]], ", ",Prequal[[#This Row],[STATE]])</f>
        <v>Chicago, IL</v>
      </c>
    </row>
    <row r="2139" spans="2:8" x14ac:dyDescent="0.2">
      <c r="B2139" s="27" t="s">
        <v>223</v>
      </c>
      <c r="C2139" s="28" t="s">
        <v>969</v>
      </c>
      <c r="D2139" s="29" t="s">
        <v>15</v>
      </c>
      <c r="E2139" s="30" t="s">
        <v>947</v>
      </c>
      <c r="F2139" s="28" t="s">
        <v>356</v>
      </c>
      <c r="G2139" s="30" t="s">
        <v>701</v>
      </c>
      <c r="H2139" t="str">
        <f>CONCATENATE(Prequal[[#This Row],[CITY]], ", ",Prequal[[#This Row],[STATE]])</f>
        <v>Chicago, IL</v>
      </c>
    </row>
    <row r="2140" spans="2:8" x14ac:dyDescent="0.2">
      <c r="B2140" s="27" t="s">
        <v>223</v>
      </c>
      <c r="C2140" s="28" t="s">
        <v>969</v>
      </c>
      <c r="D2140" s="29" t="s">
        <v>30</v>
      </c>
      <c r="E2140" s="30" t="s">
        <v>947</v>
      </c>
      <c r="F2140" s="28" t="s">
        <v>356</v>
      </c>
      <c r="G2140" s="30" t="s">
        <v>701</v>
      </c>
      <c r="H2140" t="str">
        <f>CONCATENATE(Prequal[[#This Row],[CITY]], ", ",Prequal[[#This Row],[STATE]])</f>
        <v>Chicago, IL</v>
      </c>
    </row>
    <row r="2141" spans="2:8" x14ac:dyDescent="0.2">
      <c r="B2141" s="27" t="s">
        <v>223</v>
      </c>
      <c r="C2141" s="28" t="s">
        <v>969</v>
      </c>
      <c r="D2141" s="29" t="s">
        <v>53</v>
      </c>
      <c r="E2141" s="30" t="s">
        <v>947</v>
      </c>
      <c r="F2141" s="28" t="s">
        <v>356</v>
      </c>
      <c r="G2141" s="30" t="s">
        <v>701</v>
      </c>
      <c r="H2141" t="str">
        <f>CONCATENATE(Prequal[[#This Row],[CITY]], ", ",Prequal[[#This Row],[STATE]])</f>
        <v>Chicago, IL</v>
      </c>
    </row>
    <row r="2142" spans="2:8" x14ac:dyDescent="0.2">
      <c r="B2142" s="27" t="s">
        <v>223</v>
      </c>
      <c r="C2142" s="28" t="s">
        <v>969</v>
      </c>
      <c r="D2142" s="29" t="s">
        <v>31</v>
      </c>
      <c r="E2142" s="30" t="s">
        <v>947</v>
      </c>
      <c r="F2142" s="28" t="s">
        <v>356</v>
      </c>
      <c r="G2142" s="30" t="s">
        <v>701</v>
      </c>
      <c r="H2142" t="str">
        <f>CONCATENATE(Prequal[[#This Row],[CITY]], ", ",Prequal[[#This Row],[STATE]])</f>
        <v>Chicago, IL</v>
      </c>
    </row>
    <row r="2143" spans="2:8" x14ac:dyDescent="0.2">
      <c r="B2143" s="27" t="s">
        <v>223</v>
      </c>
      <c r="C2143" s="28" t="s">
        <v>969</v>
      </c>
      <c r="D2143" s="29" t="s">
        <v>32</v>
      </c>
      <c r="E2143" s="30" t="s">
        <v>947</v>
      </c>
      <c r="F2143" s="28" t="s">
        <v>356</v>
      </c>
      <c r="G2143" s="30" t="s">
        <v>701</v>
      </c>
      <c r="H2143" t="str">
        <f>CONCATENATE(Prequal[[#This Row],[CITY]], ", ",Prequal[[#This Row],[STATE]])</f>
        <v>Chicago, IL</v>
      </c>
    </row>
    <row r="2144" spans="2:8" x14ac:dyDescent="0.2">
      <c r="B2144" s="27" t="s">
        <v>223</v>
      </c>
      <c r="C2144" s="28" t="s">
        <v>969</v>
      </c>
      <c r="D2144" s="29" t="s">
        <v>54</v>
      </c>
      <c r="E2144" s="30" t="s">
        <v>947</v>
      </c>
      <c r="F2144" s="28" t="s">
        <v>356</v>
      </c>
      <c r="G2144" s="30" t="s">
        <v>701</v>
      </c>
      <c r="H2144" t="str">
        <f>CONCATENATE(Prequal[[#This Row],[CITY]], ", ",Prequal[[#This Row],[STATE]])</f>
        <v>Chicago, IL</v>
      </c>
    </row>
    <row r="2145" spans="2:8" x14ac:dyDescent="0.2">
      <c r="B2145" s="27" t="s">
        <v>223</v>
      </c>
      <c r="C2145" s="28" t="s">
        <v>969</v>
      </c>
      <c r="D2145" s="29" t="s">
        <v>38</v>
      </c>
      <c r="E2145" s="30" t="s">
        <v>947</v>
      </c>
      <c r="F2145" s="28" t="s">
        <v>356</v>
      </c>
      <c r="G2145" s="30" t="s">
        <v>701</v>
      </c>
      <c r="H2145" t="str">
        <f>CONCATENATE(Prequal[[#This Row],[CITY]], ", ",Prequal[[#This Row],[STATE]])</f>
        <v>Chicago, IL</v>
      </c>
    </row>
    <row r="2146" spans="2:8" x14ac:dyDescent="0.2">
      <c r="B2146" s="27" t="s">
        <v>223</v>
      </c>
      <c r="C2146" s="28" t="s">
        <v>969</v>
      </c>
      <c r="D2146" s="29" t="s">
        <v>55</v>
      </c>
      <c r="E2146" s="30" t="s">
        <v>947</v>
      </c>
      <c r="F2146" s="28" t="s">
        <v>356</v>
      </c>
      <c r="G2146" s="30" t="s">
        <v>701</v>
      </c>
      <c r="H2146" t="str">
        <f>CONCATENATE(Prequal[[#This Row],[CITY]], ", ",Prequal[[#This Row],[STATE]])</f>
        <v>Chicago, IL</v>
      </c>
    </row>
    <row r="2147" spans="2:8" x14ac:dyDescent="0.2">
      <c r="B2147" s="27" t="s">
        <v>223</v>
      </c>
      <c r="C2147" s="28" t="s">
        <v>969</v>
      </c>
      <c r="D2147" s="29" t="s">
        <v>56</v>
      </c>
      <c r="E2147" s="30" t="s">
        <v>947</v>
      </c>
      <c r="F2147" s="28" t="s">
        <v>356</v>
      </c>
      <c r="G2147" s="30" t="s">
        <v>701</v>
      </c>
      <c r="H2147" t="str">
        <f>CONCATENATE(Prequal[[#This Row],[CITY]], ", ",Prequal[[#This Row],[STATE]])</f>
        <v>Chicago, IL</v>
      </c>
    </row>
    <row r="2148" spans="2:8" x14ac:dyDescent="0.2">
      <c r="B2148" s="27" t="s">
        <v>223</v>
      </c>
      <c r="C2148" s="28" t="s">
        <v>969</v>
      </c>
      <c r="D2148" s="29" t="s">
        <v>33</v>
      </c>
      <c r="E2148" s="30" t="s">
        <v>947</v>
      </c>
      <c r="F2148" s="28" t="s">
        <v>356</v>
      </c>
      <c r="G2148" s="30" t="s">
        <v>701</v>
      </c>
      <c r="H2148" t="str">
        <f>CONCATENATE(Prequal[[#This Row],[CITY]], ", ",Prequal[[#This Row],[STATE]])</f>
        <v>Chicago, IL</v>
      </c>
    </row>
    <row r="2149" spans="2:8" x14ac:dyDescent="0.2">
      <c r="B2149" s="27" t="s">
        <v>223</v>
      </c>
      <c r="C2149" s="28" t="s">
        <v>969</v>
      </c>
      <c r="D2149" s="29" t="s">
        <v>57</v>
      </c>
      <c r="E2149" s="30" t="s">
        <v>947</v>
      </c>
      <c r="F2149" s="28" t="s">
        <v>356</v>
      </c>
      <c r="G2149" s="30" t="s">
        <v>701</v>
      </c>
      <c r="H2149" t="str">
        <f>CONCATENATE(Prequal[[#This Row],[CITY]], ", ",Prequal[[#This Row],[STATE]])</f>
        <v>Chicago, IL</v>
      </c>
    </row>
    <row r="2150" spans="2:8" x14ac:dyDescent="0.2">
      <c r="B2150" s="27" t="s">
        <v>1117</v>
      </c>
      <c r="C2150" s="28" t="s">
        <v>969</v>
      </c>
      <c r="D2150" s="29" t="s">
        <v>70</v>
      </c>
      <c r="E2150" s="30" t="s">
        <v>971</v>
      </c>
      <c r="F2150" s="28" t="s">
        <v>356</v>
      </c>
      <c r="G2150" s="30" t="s">
        <v>1118</v>
      </c>
      <c r="H2150" t="str">
        <f>CONCATENATE(Prequal[[#This Row],[CITY]], ", ",Prequal[[#This Row],[STATE]])</f>
        <v>CHICAGO, IL</v>
      </c>
    </row>
    <row r="2151" spans="2:8" x14ac:dyDescent="0.2">
      <c r="B2151" s="27" t="s">
        <v>224</v>
      </c>
      <c r="C2151" s="28" t="s">
        <v>970</v>
      </c>
      <c r="D2151" s="29" t="s">
        <v>5</v>
      </c>
      <c r="E2151" s="30" t="s">
        <v>404</v>
      </c>
      <c r="F2151" s="28" t="s">
        <v>356</v>
      </c>
      <c r="G2151" s="30" t="s">
        <v>702</v>
      </c>
      <c r="H2151" t="str">
        <f>CONCATENATE(Prequal[[#This Row],[CITY]], ", ",Prequal[[#This Row],[STATE]])</f>
        <v>Itasca, IL</v>
      </c>
    </row>
    <row r="2152" spans="2:8" x14ac:dyDescent="0.2">
      <c r="B2152" s="27" t="s">
        <v>224</v>
      </c>
      <c r="C2152" s="28" t="s">
        <v>970</v>
      </c>
      <c r="D2152" s="29" t="s">
        <v>7</v>
      </c>
      <c r="E2152" s="30" t="s">
        <v>404</v>
      </c>
      <c r="F2152" s="28" t="s">
        <v>356</v>
      </c>
      <c r="G2152" s="30" t="s">
        <v>702</v>
      </c>
      <c r="H2152" t="str">
        <f>CONCATENATE(Prequal[[#This Row],[CITY]], ", ",Prequal[[#This Row],[STATE]])</f>
        <v>Itasca, IL</v>
      </c>
    </row>
    <row r="2153" spans="2:8" x14ac:dyDescent="0.2">
      <c r="B2153" s="27" t="s">
        <v>224</v>
      </c>
      <c r="C2153" s="28" t="s">
        <v>970</v>
      </c>
      <c r="D2153" s="29" t="s">
        <v>8</v>
      </c>
      <c r="E2153" s="30" t="s">
        <v>404</v>
      </c>
      <c r="F2153" s="28" t="s">
        <v>356</v>
      </c>
      <c r="G2153" s="30" t="s">
        <v>702</v>
      </c>
      <c r="H2153" t="str">
        <f>CONCATENATE(Prequal[[#This Row],[CITY]], ", ",Prequal[[#This Row],[STATE]])</f>
        <v>Itasca, IL</v>
      </c>
    </row>
    <row r="2154" spans="2:8" x14ac:dyDescent="0.2">
      <c r="B2154" s="27" t="s">
        <v>224</v>
      </c>
      <c r="C2154" s="28" t="s">
        <v>970</v>
      </c>
      <c r="D2154" s="29" t="s">
        <v>25</v>
      </c>
      <c r="E2154" s="30" t="s">
        <v>404</v>
      </c>
      <c r="F2154" s="28" t="s">
        <v>356</v>
      </c>
      <c r="G2154" s="30" t="s">
        <v>702</v>
      </c>
      <c r="H2154" t="str">
        <f>CONCATENATE(Prequal[[#This Row],[CITY]], ", ",Prequal[[#This Row],[STATE]])</f>
        <v>Itasca, IL</v>
      </c>
    </row>
    <row r="2155" spans="2:8" x14ac:dyDescent="0.2">
      <c r="B2155" s="27" t="s">
        <v>224</v>
      </c>
      <c r="C2155" s="28" t="s">
        <v>970</v>
      </c>
      <c r="D2155" s="29" t="s">
        <v>9</v>
      </c>
      <c r="E2155" s="30" t="s">
        <v>404</v>
      </c>
      <c r="F2155" s="28" t="s">
        <v>356</v>
      </c>
      <c r="G2155" s="30" t="s">
        <v>702</v>
      </c>
      <c r="H2155" t="str">
        <f>CONCATENATE(Prequal[[#This Row],[CITY]], ", ",Prequal[[#This Row],[STATE]])</f>
        <v>Itasca, IL</v>
      </c>
    </row>
    <row r="2156" spans="2:8" x14ac:dyDescent="0.2">
      <c r="B2156" s="27" t="s">
        <v>224</v>
      </c>
      <c r="C2156" s="28" t="s">
        <v>970</v>
      </c>
      <c r="D2156" s="29" t="s">
        <v>15</v>
      </c>
      <c r="E2156" s="30" t="s">
        <v>404</v>
      </c>
      <c r="F2156" s="28" t="s">
        <v>356</v>
      </c>
      <c r="G2156" s="30" t="s">
        <v>702</v>
      </c>
      <c r="H2156" t="str">
        <f>CONCATENATE(Prequal[[#This Row],[CITY]], ", ",Prequal[[#This Row],[STATE]])</f>
        <v>Itasca, IL</v>
      </c>
    </row>
    <row r="2157" spans="2:8" x14ac:dyDescent="0.2">
      <c r="B2157" s="27" t="s">
        <v>225</v>
      </c>
      <c r="C2157" s="28" t="s">
        <v>969</v>
      </c>
      <c r="D2157" s="29" t="s">
        <v>5</v>
      </c>
      <c r="E2157" s="30" t="s">
        <v>459</v>
      </c>
      <c r="F2157" s="28" t="s">
        <v>356</v>
      </c>
      <c r="G2157" s="30" t="s">
        <v>703</v>
      </c>
      <c r="H2157" t="str">
        <f>CONCATENATE(Prequal[[#This Row],[CITY]], ", ",Prequal[[#This Row],[STATE]])</f>
        <v>Bradley, IL</v>
      </c>
    </row>
    <row r="2158" spans="2:8" x14ac:dyDescent="0.2">
      <c r="B2158" s="27" t="s">
        <v>225</v>
      </c>
      <c r="C2158" s="28" t="s">
        <v>969</v>
      </c>
      <c r="D2158" s="29" t="s">
        <v>29</v>
      </c>
      <c r="E2158" s="30" t="s">
        <v>459</v>
      </c>
      <c r="F2158" s="28" t="s">
        <v>356</v>
      </c>
      <c r="G2158" s="30" t="s">
        <v>703</v>
      </c>
      <c r="H2158" t="str">
        <f>CONCATENATE(Prequal[[#This Row],[CITY]], ", ",Prequal[[#This Row],[STATE]])</f>
        <v>Bradley, IL</v>
      </c>
    </row>
    <row r="2159" spans="2:8" x14ac:dyDescent="0.2">
      <c r="B2159" s="27" t="s">
        <v>225</v>
      </c>
      <c r="C2159" s="28" t="s">
        <v>969</v>
      </c>
      <c r="D2159" s="29" t="s">
        <v>15</v>
      </c>
      <c r="E2159" s="30" t="s">
        <v>459</v>
      </c>
      <c r="F2159" s="28" t="s">
        <v>356</v>
      </c>
      <c r="G2159" s="30" t="s">
        <v>703</v>
      </c>
      <c r="H2159" t="str">
        <f>CONCATENATE(Prequal[[#This Row],[CITY]], ", ",Prequal[[#This Row],[STATE]])</f>
        <v>Bradley, IL</v>
      </c>
    </row>
    <row r="2160" spans="2:8" x14ac:dyDescent="0.2">
      <c r="B2160" s="27" t="s">
        <v>226</v>
      </c>
      <c r="C2160" s="28" t="s">
        <v>970</v>
      </c>
      <c r="D2160" s="29" t="s">
        <v>5</v>
      </c>
      <c r="E2160" s="30" t="s">
        <v>403</v>
      </c>
      <c r="F2160" s="28" t="s">
        <v>361</v>
      </c>
      <c r="G2160" s="30" t="s">
        <v>704</v>
      </c>
      <c r="H2160" t="str">
        <f>CONCATENATE(Prequal[[#This Row],[CITY]], ", ",Prequal[[#This Row],[STATE]])</f>
        <v>Saint Louis, MO</v>
      </c>
    </row>
    <row r="2161" spans="2:8" x14ac:dyDescent="0.2">
      <c r="B2161" s="27" t="s">
        <v>226</v>
      </c>
      <c r="C2161" s="28" t="s">
        <v>970</v>
      </c>
      <c r="D2161" s="29" t="s">
        <v>6</v>
      </c>
      <c r="E2161" s="30" t="s">
        <v>403</v>
      </c>
      <c r="F2161" s="28" t="s">
        <v>361</v>
      </c>
      <c r="G2161" s="30" t="s">
        <v>704</v>
      </c>
      <c r="H2161" t="str">
        <f>CONCATENATE(Prequal[[#This Row],[CITY]], ", ",Prequal[[#This Row],[STATE]])</f>
        <v>Saint Louis, MO</v>
      </c>
    </row>
    <row r="2162" spans="2:8" x14ac:dyDescent="0.2">
      <c r="B2162" s="27" t="s">
        <v>226</v>
      </c>
      <c r="C2162" s="28" t="s">
        <v>970</v>
      </c>
      <c r="D2162" s="29" t="s">
        <v>7</v>
      </c>
      <c r="E2162" s="30" t="s">
        <v>403</v>
      </c>
      <c r="F2162" s="28" t="s">
        <v>361</v>
      </c>
      <c r="G2162" s="30" t="s">
        <v>704</v>
      </c>
      <c r="H2162" t="str">
        <f>CONCATENATE(Prequal[[#This Row],[CITY]], ", ",Prequal[[#This Row],[STATE]])</f>
        <v>Saint Louis, MO</v>
      </c>
    </row>
    <row r="2163" spans="2:8" x14ac:dyDescent="0.2">
      <c r="B2163" s="27" t="s">
        <v>226</v>
      </c>
      <c r="C2163" s="28" t="s">
        <v>970</v>
      </c>
      <c r="D2163" s="29" t="s">
        <v>8</v>
      </c>
      <c r="E2163" s="30" t="s">
        <v>403</v>
      </c>
      <c r="F2163" s="28" t="s">
        <v>361</v>
      </c>
      <c r="G2163" s="30" t="s">
        <v>704</v>
      </c>
      <c r="H2163" t="str">
        <f>CONCATENATE(Prequal[[#This Row],[CITY]], ", ",Prequal[[#This Row],[STATE]])</f>
        <v>Saint Louis, MO</v>
      </c>
    </row>
    <row r="2164" spans="2:8" x14ac:dyDescent="0.2">
      <c r="B2164" s="27" t="s">
        <v>226</v>
      </c>
      <c r="C2164" s="28" t="s">
        <v>970</v>
      </c>
      <c r="D2164" s="29" t="s">
        <v>10</v>
      </c>
      <c r="E2164" s="30" t="s">
        <v>403</v>
      </c>
      <c r="F2164" s="28" t="s">
        <v>361</v>
      </c>
      <c r="G2164" s="30" t="s">
        <v>704</v>
      </c>
      <c r="H2164" t="str">
        <f>CONCATENATE(Prequal[[#This Row],[CITY]], ", ",Prequal[[#This Row],[STATE]])</f>
        <v>Saint Louis, MO</v>
      </c>
    </row>
    <row r="2165" spans="2:8" x14ac:dyDescent="0.2">
      <c r="B2165" s="27" t="s">
        <v>226</v>
      </c>
      <c r="C2165" s="28" t="s">
        <v>970</v>
      </c>
      <c r="D2165" s="29" t="s">
        <v>12</v>
      </c>
      <c r="E2165" s="30" t="s">
        <v>403</v>
      </c>
      <c r="F2165" s="28" t="s">
        <v>361</v>
      </c>
      <c r="G2165" s="30" t="s">
        <v>704</v>
      </c>
      <c r="H2165" t="str">
        <f>CONCATENATE(Prequal[[#This Row],[CITY]], ", ",Prequal[[#This Row],[STATE]])</f>
        <v>Saint Louis, MO</v>
      </c>
    </row>
    <row r="2166" spans="2:8" x14ac:dyDescent="0.2">
      <c r="B2166" s="27" t="s">
        <v>226</v>
      </c>
      <c r="C2166" s="28" t="s">
        <v>970</v>
      </c>
      <c r="D2166" s="29" t="s">
        <v>15</v>
      </c>
      <c r="E2166" s="30" t="s">
        <v>403</v>
      </c>
      <c r="F2166" s="28" t="s">
        <v>361</v>
      </c>
      <c r="G2166" s="30" t="s">
        <v>704</v>
      </c>
      <c r="H2166" t="str">
        <f>CONCATENATE(Prequal[[#This Row],[CITY]], ", ",Prequal[[#This Row],[STATE]])</f>
        <v>Saint Louis, MO</v>
      </c>
    </row>
    <row r="2167" spans="2:8" x14ac:dyDescent="0.2">
      <c r="B2167" s="27" t="s">
        <v>227</v>
      </c>
      <c r="C2167" s="28" t="s">
        <v>969</v>
      </c>
      <c r="D2167" s="29" t="s">
        <v>5</v>
      </c>
      <c r="E2167" s="30" t="s">
        <v>391</v>
      </c>
      <c r="F2167" s="28" t="s">
        <v>356</v>
      </c>
      <c r="G2167" s="30" t="s">
        <v>705</v>
      </c>
      <c r="H2167" t="str">
        <f>CONCATENATE(Prequal[[#This Row],[CITY]], ", ",Prequal[[#This Row],[STATE]])</f>
        <v>Rosemont, IL</v>
      </c>
    </row>
    <row r="2168" spans="2:8" x14ac:dyDescent="0.2">
      <c r="B2168" s="27" t="s">
        <v>227</v>
      </c>
      <c r="C2168" s="28" t="s">
        <v>969</v>
      </c>
      <c r="D2168" s="29" t="s">
        <v>6</v>
      </c>
      <c r="E2168" s="30" t="s">
        <v>391</v>
      </c>
      <c r="F2168" s="28" t="s">
        <v>356</v>
      </c>
      <c r="G2168" s="30" t="s">
        <v>705</v>
      </c>
      <c r="H2168" t="str">
        <f>CONCATENATE(Prequal[[#This Row],[CITY]], ", ",Prequal[[#This Row],[STATE]])</f>
        <v>Rosemont, IL</v>
      </c>
    </row>
    <row r="2169" spans="2:8" x14ac:dyDescent="0.2">
      <c r="B2169" s="27" t="s">
        <v>227</v>
      </c>
      <c r="C2169" s="28" t="s">
        <v>969</v>
      </c>
      <c r="D2169" s="29" t="s">
        <v>7</v>
      </c>
      <c r="E2169" s="30" t="s">
        <v>391</v>
      </c>
      <c r="F2169" s="28" t="s">
        <v>356</v>
      </c>
      <c r="G2169" s="30" t="s">
        <v>705</v>
      </c>
      <c r="H2169" t="str">
        <f>CONCATENATE(Prequal[[#This Row],[CITY]], ", ",Prequal[[#This Row],[STATE]])</f>
        <v>Rosemont, IL</v>
      </c>
    </row>
    <row r="2170" spans="2:8" x14ac:dyDescent="0.2">
      <c r="B2170" s="27" t="s">
        <v>227</v>
      </c>
      <c r="C2170" s="28" t="s">
        <v>969</v>
      </c>
      <c r="D2170" s="29" t="s">
        <v>8</v>
      </c>
      <c r="E2170" s="30" t="s">
        <v>391</v>
      </c>
      <c r="F2170" s="28" t="s">
        <v>356</v>
      </c>
      <c r="G2170" s="30" t="s">
        <v>705</v>
      </c>
      <c r="H2170" t="str">
        <f>CONCATENATE(Prequal[[#This Row],[CITY]], ", ",Prequal[[#This Row],[STATE]])</f>
        <v>Rosemont, IL</v>
      </c>
    </row>
    <row r="2171" spans="2:8" x14ac:dyDescent="0.2">
      <c r="B2171" s="27" t="s">
        <v>227</v>
      </c>
      <c r="C2171" s="28" t="s">
        <v>969</v>
      </c>
      <c r="D2171" s="29" t="s">
        <v>25</v>
      </c>
      <c r="E2171" s="30" t="s">
        <v>391</v>
      </c>
      <c r="F2171" s="28" t="s">
        <v>356</v>
      </c>
      <c r="G2171" s="30" t="s">
        <v>705</v>
      </c>
      <c r="H2171" t="str">
        <f>CONCATENATE(Prequal[[#This Row],[CITY]], ", ",Prequal[[#This Row],[STATE]])</f>
        <v>Rosemont, IL</v>
      </c>
    </row>
    <row r="2172" spans="2:8" x14ac:dyDescent="0.2">
      <c r="B2172" s="27" t="s">
        <v>227</v>
      </c>
      <c r="C2172" s="28" t="s">
        <v>969</v>
      </c>
      <c r="D2172" s="29" t="s">
        <v>9</v>
      </c>
      <c r="E2172" s="30" t="s">
        <v>391</v>
      </c>
      <c r="F2172" s="28" t="s">
        <v>356</v>
      </c>
      <c r="G2172" s="30" t="s">
        <v>705</v>
      </c>
      <c r="H2172" t="str">
        <f>CONCATENATE(Prequal[[#This Row],[CITY]], ", ",Prequal[[#This Row],[STATE]])</f>
        <v>Rosemont, IL</v>
      </c>
    </row>
    <row r="2173" spans="2:8" x14ac:dyDescent="0.2">
      <c r="B2173" s="27" t="s">
        <v>227</v>
      </c>
      <c r="C2173" s="28" t="s">
        <v>969</v>
      </c>
      <c r="D2173" s="29" t="s">
        <v>10</v>
      </c>
      <c r="E2173" s="30" t="s">
        <v>391</v>
      </c>
      <c r="F2173" s="28" t="s">
        <v>356</v>
      </c>
      <c r="G2173" s="30" t="s">
        <v>705</v>
      </c>
      <c r="H2173" t="str">
        <f>CONCATENATE(Prequal[[#This Row],[CITY]], ", ",Prequal[[#This Row],[STATE]])</f>
        <v>Rosemont, IL</v>
      </c>
    </row>
    <row r="2174" spans="2:8" x14ac:dyDescent="0.2">
      <c r="B2174" s="27" t="s">
        <v>227</v>
      </c>
      <c r="C2174" s="28" t="s">
        <v>969</v>
      </c>
      <c r="D2174" s="29" t="s">
        <v>12</v>
      </c>
      <c r="E2174" s="30" t="s">
        <v>391</v>
      </c>
      <c r="F2174" s="28" t="s">
        <v>356</v>
      </c>
      <c r="G2174" s="30" t="s">
        <v>705</v>
      </c>
      <c r="H2174" t="str">
        <f>CONCATENATE(Prequal[[#This Row],[CITY]], ", ",Prequal[[#This Row],[STATE]])</f>
        <v>Rosemont, IL</v>
      </c>
    </row>
    <row r="2175" spans="2:8" x14ac:dyDescent="0.2">
      <c r="B2175" s="27" t="s">
        <v>227</v>
      </c>
      <c r="C2175" s="28" t="s">
        <v>969</v>
      </c>
      <c r="D2175" s="29" t="s">
        <v>29</v>
      </c>
      <c r="E2175" s="30" t="s">
        <v>391</v>
      </c>
      <c r="F2175" s="28" t="s">
        <v>356</v>
      </c>
      <c r="G2175" s="30" t="s">
        <v>705</v>
      </c>
      <c r="H2175" t="str">
        <f>CONCATENATE(Prequal[[#This Row],[CITY]], ", ",Prequal[[#This Row],[STATE]])</f>
        <v>Rosemont, IL</v>
      </c>
    </row>
    <row r="2176" spans="2:8" x14ac:dyDescent="0.2">
      <c r="B2176" s="27" t="s">
        <v>227</v>
      </c>
      <c r="C2176" s="28" t="s">
        <v>969</v>
      </c>
      <c r="D2176" s="29" t="s">
        <v>37</v>
      </c>
      <c r="E2176" s="30" t="s">
        <v>391</v>
      </c>
      <c r="F2176" s="28" t="s">
        <v>356</v>
      </c>
      <c r="G2176" s="30" t="s">
        <v>705</v>
      </c>
      <c r="H2176" t="str">
        <f>CONCATENATE(Prequal[[#This Row],[CITY]], ", ",Prequal[[#This Row],[STATE]])</f>
        <v>Rosemont, IL</v>
      </c>
    </row>
    <row r="2177" spans="2:8" x14ac:dyDescent="0.2">
      <c r="B2177" s="27" t="s">
        <v>227</v>
      </c>
      <c r="C2177" s="28" t="s">
        <v>969</v>
      </c>
      <c r="D2177" s="29" t="s">
        <v>15</v>
      </c>
      <c r="E2177" s="30" t="s">
        <v>391</v>
      </c>
      <c r="F2177" s="28" t="s">
        <v>356</v>
      </c>
      <c r="G2177" s="30" t="s">
        <v>705</v>
      </c>
      <c r="H2177" t="str">
        <f>CONCATENATE(Prequal[[#This Row],[CITY]], ", ",Prequal[[#This Row],[STATE]])</f>
        <v>Rosemont, IL</v>
      </c>
    </row>
    <row r="2178" spans="2:8" x14ac:dyDescent="0.2">
      <c r="B2178" s="27" t="s">
        <v>1015</v>
      </c>
      <c r="C2178" s="28" t="s">
        <v>969</v>
      </c>
      <c r="D2178" s="29" t="s">
        <v>5</v>
      </c>
      <c r="E2178" s="30" t="s">
        <v>359</v>
      </c>
      <c r="F2178" s="28" t="s">
        <v>356</v>
      </c>
      <c r="G2178" s="30" t="s">
        <v>1016</v>
      </c>
      <c r="H2178" t="str">
        <f>CONCATENATE(Prequal[[#This Row],[CITY]], ", ",Prequal[[#This Row],[STATE]])</f>
        <v>Lincolnshire, IL</v>
      </c>
    </row>
    <row r="2179" spans="2:8" x14ac:dyDescent="0.2">
      <c r="B2179" s="27" t="s">
        <v>1015</v>
      </c>
      <c r="C2179" s="28" t="s">
        <v>969</v>
      </c>
      <c r="D2179" s="29" t="s">
        <v>29</v>
      </c>
      <c r="E2179" s="30" t="s">
        <v>359</v>
      </c>
      <c r="F2179" s="28" t="s">
        <v>356</v>
      </c>
      <c r="G2179" s="30" t="s">
        <v>1016</v>
      </c>
      <c r="H2179" t="str">
        <f>CONCATENATE(Prequal[[#This Row],[CITY]], ", ",Prequal[[#This Row],[STATE]])</f>
        <v>Lincolnshire, IL</v>
      </c>
    </row>
    <row r="2180" spans="2:8" x14ac:dyDescent="0.2">
      <c r="B2180" s="27" t="s">
        <v>228</v>
      </c>
      <c r="C2180" s="28" t="s">
        <v>969</v>
      </c>
      <c r="D2180" s="29" t="s">
        <v>29</v>
      </c>
      <c r="E2180" s="30" t="s">
        <v>460</v>
      </c>
      <c r="F2180" s="28" t="s">
        <v>356</v>
      </c>
      <c r="G2180" s="30" t="s">
        <v>706</v>
      </c>
      <c r="H2180" t="str">
        <f>CONCATENATE(Prequal[[#This Row],[CITY]], ", ",Prequal[[#This Row],[STATE]])</f>
        <v>Roselle, IL</v>
      </c>
    </row>
    <row r="2181" spans="2:8" x14ac:dyDescent="0.2">
      <c r="B2181" s="27" t="s">
        <v>1071</v>
      </c>
      <c r="C2181" s="28" t="s">
        <v>969</v>
      </c>
      <c r="D2181" s="29" t="s">
        <v>31</v>
      </c>
      <c r="E2181" s="30" t="s">
        <v>1072</v>
      </c>
      <c r="F2181" s="28" t="s">
        <v>380</v>
      </c>
      <c r="G2181" s="30" t="s">
        <v>1073</v>
      </c>
      <c r="H2181" t="str">
        <f>CONCATENATE(Prequal[[#This Row],[CITY]], ", ",Prequal[[#This Row],[STATE]])</f>
        <v>Nicholasville, KY</v>
      </c>
    </row>
    <row r="2182" spans="2:8" x14ac:dyDescent="0.2">
      <c r="B2182" s="27" t="s">
        <v>1071</v>
      </c>
      <c r="C2182" s="28" t="s">
        <v>969</v>
      </c>
      <c r="D2182" s="29" t="s">
        <v>32</v>
      </c>
      <c r="E2182" s="30" t="s">
        <v>1072</v>
      </c>
      <c r="F2182" s="28" t="s">
        <v>380</v>
      </c>
      <c r="G2182" s="30" t="s">
        <v>1073</v>
      </c>
      <c r="H2182" t="str">
        <f>CONCATENATE(Prequal[[#This Row],[CITY]], ", ",Prequal[[#This Row],[STATE]])</f>
        <v>Nicholasville, KY</v>
      </c>
    </row>
    <row r="2183" spans="2:8" x14ac:dyDescent="0.2">
      <c r="B2183" s="27" t="s">
        <v>229</v>
      </c>
      <c r="C2183" s="28" t="s">
        <v>970</v>
      </c>
      <c r="D2183" s="29" t="s">
        <v>42</v>
      </c>
      <c r="E2183" s="30" t="s">
        <v>461</v>
      </c>
      <c r="F2183" s="28" t="s">
        <v>444</v>
      </c>
      <c r="G2183" s="30" t="s">
        <v>707</v>
      </c>
      <c r="H2183" t="str">
        <f>CONCATENATE(Prequal[[#This Row],[CITY]], ", ",Prequal[[#This Row],[STATE]])</f>
        <v>Ames, IA</v>
      </c>
    </row>
    <row r="2184" spans="2:8" x14ac:dyDescent="0.2">
      <c r="B2184" s="27" t="s">
        <v>230</v>
      </c>
      <c r="C2184" s="28" t="s">
        <v>969</v>
      </c>
      <c r="D2184" s="29" t="s">
        <v>5</v>
      </c>
      <c r="E2184" s="30" t="s">
        <v>367</v>
      </c>
      <c r="F2184" s="28" t="s">
        <v>356</v>
      </c>
      <c r="G2184" s="30" t="s">
        <v>708</v>
      </c>
      <c r="H2184" t="str">
        <f>CONCATENATE(Prequal[[#This Row],[CITY]], ", ",Prequal[[#This Row],[STATE]])</f>
        <v>Springfield, IL</v>
      </c>
    </row>
    <row r="2185" spans="2:8" x14ac:dyDescent="0.2">
      <c r="B2185" s="31" t="s">
        <v>230</v>
      </c>
      <c r="C2185" s="32" t="s">
        <v>969</v>
      </c>
      <c r="D2185" s="33" t="s">
        <v>10</v>
      </c>
      <c r="E2185" s="30" t="s">
        <v>367</v>
      </c>
      <c r="F2185" s="32" t="s">
        <v>356</v>
      </c>
      <c r="G2185" s="30" t="s">
        <v>708</v>
      </c>
      <c r="H2185" t="str">
        <f>CONCATENATE(Prequal[[#This Row],[CITY]], ", ",Prequal[[#This Row],[STATE]])</f>
        <v>Springfield, IL</v>
      </c>
    </row>
    <row r="2186" spans="2:8" x14ac:dyDescent="0.2">
      <c r="B2186" s="31" t="s">
        <v>230</v>
      </c>
      <c r="C2186" s="32" t="s">
        <v>969</v>
      </c>
      <c r="D2186" s="33" t="s">
        <v>29</v>
      </c>
      <c r="E2186" s="30" t="s">
        <v>367</v>
      </c>
      <c r="F2186" s="32" t="s">
        <v>356</v>
      </c>
      <c r="G2186" s="30" t="s">
        <v>708</v>
      </c>
      <c r="H2186" t="str">
        <f>CONCATENATE(Prequal[[#This Row],[CITY]], ", ",Prequal[[#This Row],[STATE]])</f>
        <v>Springfield, IL</v>
      </c>
    </row>
    <row r="2187" spans="2:8" x14ac:dyDescent="0.2">
      <c r="B2187" s="31" t="s">
        <v>230</v>
      </c>
      <c r="C2187" s="32" t="s">
        <v>969</v>
      </c>
      <c r="D2187" s="33" t="s">
        <v>14</v>
      </c>
      <c r="E2187" s="30" t="s">
        <v>367</v>
      </c>
      <c r="F2187" s="32" t="s">
        <v>356</v>
      </c>
      <c r="G2187" s="30" t="s">
        <v>708</v>
      </c>
      <c r="H2187" t="str">
        <f>CONCATENATE(Prequal[[#This Row],[CITY]], ", ",Prequal[[#This Row],[STATE]])</f>
        <v>Springfield, IL</v>
      </c>
    </row>
    <row r="2188" spans="2:8" x14ac:dyDescent="0.2">
      <c r="B2188" s="27" t="s">
        <v>230</v>
      </c>
      <c r="C2188" s="28" t="s">
        <v>969</v>
      </c>
      <c r="D2188" s="29" t="s">
        <v>15</v>
      </c>
      <c r="E2188" s="30" t="s">
        <v>367</v>
      </c>
      <c r="F2188" s="28" t="s">
        <v>356</v>
      </c>
      <c r="G2188" s="30" t="s">
        <v>708</v>
      </c>
      <c r="H2188" t="str">
        <f>CONCATENATE(Prequal[[#This Row],[CITY]], ", ",Prequal[[#This Row],[STATE]])</f>
        <v>Springfield, IL</v>
      </c>
    </row>
    <row r="2189" spans="2:8" x14ac:dyDescent="0.2">
      <c r="B2189" s="27" t="s">
        <v>1061</v>
      </c>
      <c r="C2189" s="28" t="s">
        <v>969</v>
      </c>
      <c r="D2189" s="29" t="s">
        <v>29</v>
      </c>
      <c r="E2189" s="30" t="s">
        <v>1062</v>
      </c>
      <c r="F2189" s="28" t="s">
        <v>356</v>
      </c>
      <c r="G2189" s="30" t="s">
        <v>1063</v>
      </c>
      <c r="H2189" t="str">
        <f>CONCATENATE(Prequal[[#This Row],[CITY]], ", ",Prequal[[#This Row],[STATE]])</f>
        <v>Centralia, IL</v>
      </c>
    </row>
    <row r="2190" spans="2:8" x14ac:dyDescent="0.2">
      <c r="B2190" s="27" t="s">
        <v>534</v>
      </c>
      <c r="C2190" s="28" t="s">
        <v>969</v>
      </c>
      <c r="D2190" s="29" t="s">
        <v>5</v>
      </c>
      <c r="E2190" s="30" t="s">
        <v>453</v>
      </c>
      <c r="F2190" s="28" t="s">
        <v>356</v>
      </c>
      <c r="G2190" s="30" t="s">
        <v>709</v>
      </c>
      <c r="H2190" t="str">
        <f>CONCATENATE(Prequal[[#This Row],[CITY]], ", ",Prequal[[#This Row],[STATE]])</f>
        <v>Paris, IL</v>
      </c>
    </row>
    <row r="2191" spans="2:8" x14ac:dyDescent="0.2">
      <c r="B2191" s="27" t="s">
        <v>534</v>
      </c>
      <c r="C2191" s="28" t="s">
        <v>969</v>
      </c>
      <c r="D2191" s="29" t="s">
        <v>27</v>
      </c>
      <c r="E2191" s="30" t="s">
        <v>453</v>
      </c>
      <c r="F2191" s="28" t="s">
        <v>356</v>
      </c>
      <c r="G2191" s="30" t="s">
        <v>709</v>
      </c>
      <c r="H2191" t="str">
        <f>CONCATENATE(Prequal[[#This Row],[CITY]], ", ",Prequal[[#This Row],[STATE]])</f>
        <v>Paris, IL</v>
      </c>
    </row>
    <row r="2192" spans="2:8" x14ac:dyDescent="0.2">
      <c r="B2192" s="27" t="s">
        <v>534</v>
      </c>
      <c r="C2192" s="28" t="s">
        <v>969</v>
      </c>
      <c r="D2192" s="29" t="s">
        <v>10</v>
      </c>
      <c r="E2192" s="30" t="s">
        <v>453</v>
      </c>
      <c r="F2192" s="28" t="s">
        <v>356</v>
      </c>
      <c r="G2192" s="30" t="s">
        <v>709</v>
      </c>
      <c r="H2192" t="str">
        <f>CONCATENATE(Prequal[[#This Row],[CITY]], ", ",Prequal[[#This Row],[STATE]])</f>
        <v>Paris, IL</v>
      </c>
    </row>
    <row r="2193" spans="2:8" x14ac:dyDescent="0.2">
      <c r="B2193" s="27" t="s">
        <v>534</v>
      </c>
      <c r="C2193" s="28" t="s">
        <v>969</v>
      </c>
      <c r="D2193" s="29" t="s">
        <v>29</v>
      </c>
      <c r="E2193" s="30" t="s">
        <v>453</v>
      </c>
      <c r="F2193" s="28" t="s">
        <v>356</v>
      </c>
      <c r="G2193" s="30" t="s">
        <v>709</v>
      </c>
      <c r="H2193" t="str">
        <f>CONCATENATE(Prequal[[#This Row],[CITY]], ", ",Prequal[[#This Row],[STATE]])</f>
        <v>Paris, IL</v>
      </c>
    </row>
    <row r="2194" spans="2:8" x14ac:dyDescent="0.2">
      <c r="B2194" s="27" t="s">
        <v>231</v>
      </c>
      <c r="C2194" s="28" t="s">
        <v>969</v>
      </c>
      <c r="D2194" s="29" t="s">
        <v>5</v>
      </c>
      <c r="E2194" s="30" t="s">
        <v>403</v>
      </c>
      <c r="F2194" s="28" t="s">
        <v>361</v>
      </c>
      <c r="G2194" s="30" t="s">
        <v>710</v>
      </c>
      <c r="H2194" t="str">
        <f>CONCATENATE(Prequal[[#This Row],[CITY]], ", ",Prequal[[#This Row],[STATE]])</f>
        <v>Saint Louis, MO</v>
      </c>
    </row>
    <row r="2195" spans="2:8" x14ac:dyDescent="0.2">
      <c r="B2195" s="27" t="s">
        <v>231</v>
      </c>
      <c r="C2195" s="28" t="s">
        <v>969</v>
      </c>
      <c r="D2195" s="29" t="s">
        <v>12</v>
      </c>
      <c r="E2195" s="30" t="s">
        <v>403</v>
      </c>
      <c r="F2195" s="28" t="s">
        <v>361</v>
      </c>
      <c r="G2195" s="30" t="s">
        <v>710</v>
      </c>
      <c r="H2195" t="str">
        <f>CONCATENATE(Prequal[[#This Row],[CITY]], ", ",Prequal[[#This Row],[STATE]])</f>
        <v>Saint Louis, MO</v>
      </c>
    </row>
    <row r="2196" spans="2:8" x14ac:dyDescent="0.2">
      <c r="B2196" s="27" t="s">
        <v>231</v>
      </c>
      <c r="C2196" s="28" t="s">
        <v>969</v>
      </c>
      <c r="D2196" s="29" t="s">
        <v>29</v>
      </c>
      <c r="E2196" s="30" t="s">
        <v>403</v>
      </c>
      <c r="F2196" s="28" t="s">
        <v>361</v>
      </c>
      <c r="G2196" s="30" t="s">
        <v>710</v>
      </c>
      <c r="H2196" t="str">
        <f>CONCATENATE(Prequal[[#This Row],[CITY]], ", ",Prequal[[#This Row],[STATE]])</f>
        <v>Saint Louis, MO</v>
      </c>
    </row>
    <row r="2197" spans="2:8" x14ac:dyDescent="0.2">
      <c r="B2197" s="27" t="s">
        <v>231</v>
      </c>
      <c r="C2197" s="28" t="s">
        <v>969</v>
      </c>
      <c r="D2197" s="29" t="s">
        <v>15</v>
      </c>
      <c r="E2197" s="30" t="s">
        <v>403</v>
      </c>
      <c r="F2197" s="28" t="s">
        <v>361</v>
      </c>
      <c r="G2197" s="30" t="s">
        <v>710</v>
      </c>
      <c r="H2197" t="str">
        <f>CONCATENATE(Prequal[[#This Row],[CITY]], ", ",Prequal[[#This Row],[STATE]])</f>
        <v>Saint Louis, MO</v>
      </c>
    </row>
    <row r="2198" spans="2:8" x14ac:dyDescent="0.2">
      <c r="B2198" s="27" t="s">
        <v>232</v>
      </c>
      <c r="C2198" s="28" t="s">
        <v>969</v>
      </c>
      <c r="D2198" s="29" t="s">
        <v>11</v>
      </c>
      <c r="E2198" s="30" t="s">
        <v>367</v>
      </c>
      <c r="F2198" s="28" t="s">
        <v>356</v>
      </c>
      <c r="G2198" s="30" t="s">
        <v>711</v>
      </c>
      <c r="H2198" t="str">
        <f>CONCATENATE(Prequal[[#This Row],[CITY]], ", ",Prequal[[#This Row],[STATE]])</f>
        <v>Springfield, IL</v>
      </c>
    </row>
    <row r="2199" spans="2:8" x14ac:dyDescent="0.2">
      <c r="B2199" s="27" t="s">
        <v>233</v>
      </c>
      <c r="C2199" s="28" t="s">
        <v>970</v>
      </c>
      <c r="D2199" s="29" t="s">
        <v>35</v>
      </c>
      <c r="E2199" s="30" t="s">
        <v>947</v>
      </c>
      <c r="F2199" s="28" t="s">
        <v>356</v>
      </c>
      <c r="G2199" s="30" t="s">
        <v>712</v>
      </c>
      <c r="H2199" t="str">
        <f>CONCATENATE(Prequal[[#This Row],[CITY]], ", ",Prequal[[#This Row],[STATE]])</f>
        <v>Chicago, IL</v>
      </c>
    </row>
    <row r="2200" spans="2:8" x14ac:dyDescent="0.2">
      <c r="B2200" s="27" t="s">
        <v>233</v>
      </c>
      <c r="C2200" s="28" t="s">
        <v>970</v>
      </c>
      <c r="D2200" s="29" t="s">
        <v>46</v>
      </c>
      <c r="E2200" s="30" t="s">
        <v>947</v>
      </c>
      <c r="F2200" s="28" t="s">
        <v>356</v>
      </c>
      <c r="G2200" s="30" t="s">
        <v>712</v>
      </c>
      <c r="H2200" t="str">
        <f>CONCATENATE(Prequal[[#This Row],[CITY]], ", ",Prequal[[#This Row],[STATE]])</f>
        <v>Chicago, IL</v>
      </c>
    </row>
    <row r="2201" spans="2:8" x14ac:dyDescent="0.2">
      <c r="B2201" s="27" t="s">
        <v>233</v>
      </c>
      <c r="C2201" s="28" t="s">
        <v>970</v>
      </c>
      <c r="D2201" s="29" t="s">
        <v>107</v>
      </c>
      <c r="E2201" s="30" t="s">
        <v>947</v>
      </c>
      <c r="F2201" s="28" t="s">
        <v>356</v>
      </c>
      <c r="G2201" s="30" t="s">
        <v>712</v>
      </c>
      <c r="H2201" t="str">
        <f>CONCATENATE(Prequal[[#This Row],[CITY]], ", ",Prequal[[#This Row],[STATE]])</f>
        <v>Chicago, IL</v>
      </c>
    </row>
    <row r="2202" spans="2:8" x14ac:dyDescent="0.2">
      <c r="B2202" s="27" t="s">
        <v>233</v>
      </c>
      <c r="C2202" s="28" t="s">
        <v>970</v>
      </c>
      <c r="D2202" s="29" t="s">
        <v>108</v>
      </c>
      <c r="E2202" s="30" t="s">
        <v>947</v>
      </c>
      <c r="F2202" s="28" t="s">
        <v>356</v>
      </c>
      <c r="G2202" s="30" t="s">
        <v>712</v>
      </c>
      <c r="H2202" t="str">
        <f>CONCATENATE(Prequal[[#This Row],[CITY]], ", ",Prequal[[#This Row],[STATE]])</f>
        <v>Chicago, IL</v>
      </c>
    </row>
    <row r="2203" spans="2:8" x14ac:dyDescent="0.2">
      <c r="B2203" s="27" t="s">
        <v>234</v>
      </c>
      <c r="C2203" s="28" t="s">
        <v>970</v>
      </c>
      <c r="D2203" s="29" t="s">
        <v>10</v>
      </c>
      <c r="E2203" s="30" t="s">
        <v>399</v>
      </c>
      <c r="F2203" s="28" t="s">
        <v>356</v>
      </c>
      <c r="G2203" s="30" t="s">
        <v>713</v>
      </c>
      <c r="H2203" t="str">
        <f>CONCATENATE(Prequal[[#This Row],[CITY]], ", ",Prequal[[#This Row],[STATE]])</f>
        <v>Elk Grove Village, IL</v>
      </c>
    </row>
    <row r="2204" spans="2:8" x14ac:dyDescent="0.2">
      <c r="B2204" s="27" t="s">
        <v>234</v>
      </c>
      <c r="C2204" s="28" t="s">
        <v>970</v>
      </c>
      <c r="D2204" s="29" t="s">
        <v>107</v>
      </c>
      <c r="E2204" s="30" t="s">
        <v>399</v>
      </c>
      <c r="F2204" s="28" t="s">
        <v>356</v>
      </c>
      <c r="G2204" s="30" t="s">
        <v>713</v>
      </c>
      <c r="H2204" t="str">
        <f>CONCATENATE(Prequal[[#This Row],[CITY]], ", ",Prequal[[#This Row],[STATE]])</f>
        <v>Elk Grove Village, IL</v>
      </c>
    </row>
    <row r="2205" spans="2:8" x14ac:dyDescent="0.2">
      <c r="B2205" s="27" t="s">
        <v>234</v>
      </c>
      <c r="C2205" s="28" t="s">
        <v>970</v>
      </c>
      <c r="D2205" s="29" t="s">
        <v>108</v>
      </c>
      <c r="E2205" s="30" t="s">
        <v>399</v>
      </c>
      <c r="F2205" s="28" t="s">
        <v>356</v>
      </c>
      <c r="G2205" s="30" t="s">
        <v>713</v>
      </c>
      <c r="H2205" t="str">
        <f>CONCATENATE(Prequal[[#This Row],[CITY]], ", ",Prequal[[#This Row],[STATE]])</f>
        <v>Elk Grove Village, IL</v>
      </c>
    </row>
    <row r="2206" spans="2:8" x14ac:dyDescent="0.2">
      <c r="B2206" s="27" t="s">
        <v>235</v>
      </c>
      <c r="C2206" s="28" t="s">
        <v>969</v>
      </c>
      <c r="D2206" s="29" t="s">
        <v>47</v>
      </c>
      <c r="E2206" s="30" t="s">
        <v>409</v>
      </c>
      <c r="F2206" s="28" t="s">
        <v>356</v>
      </c>
      <c r="G2206" s="30" t="s">
        <v>714</v>
      </c>
      <c r="H2206" t="str">
        <f>CONCATENATE(Prequal[[#This Row],[CITY]], ", ",Prequal[[#This Row],[STATE]])</f>
        <v>Peoria, IL</v>
      </c>
    </row>
    <row r="2207" spans="2:8" x14ac:dyDescent="0.2">
      <c r="B2207" s="27" t="s">
        <v>235</v>
      </c>
      <c r="C2207" s="28" t="s">
        <v>969</v>
      </c>
      <c r="D2207" s="29" t="s">
        <v>4</v>
      </c>
      <c r="E2207" s="30" t="s">
        <v>409</v>
      </c>
      <c r="F2207" s="28" t="s">
        <v>356</v>
      </c>
      <c r="G2207" s="30" t="s">
        <v>714</v>
      </c>
      <c r="H2207" t="str">
        <f>CONCATENATE(Prequal[[#This Row],[CITY]], ", ",Prequal[[#This Row],[STATE]])</f>
        <v>Peoria, IL</v>
      </c>
    </row>
    <row r="2208" spans="2:8" x14ac:dyDescent="0.2">
      <c r="B2208" s="27" t="s">
        <v>235</v>
      </c>
      <c r="C2208" s="28" t="s">
        <v>969</v>
      </c>
      <c r="D2208" s="29" t="s">
        <v>5</v>
      </c>
      <c r="E2208" s="30" t="s">
        <v>409</v>
      </c>
      <c r="F2208" s="28" t="s">
        <v>356</v>
      </c>
      <c r="G2208" s="30" t="s">
        <v>714</v>
      </c>
      <c r="H2208" t="str">
        <f>CONCATENATE(Prequal[[#This Row],[CITY]], ", ",Prequal[[#This Row],[STATE]])</f>
        <v>Peoria, IL</v>
      </c>
    </row>
    <row r="2209" spans="2:8" x14ac:dyDescent="0.2">
      <c r="B2209" s="27" t="s">
        <v>235</v>
      </c>
      <c r="C2209" s="28" t="s">
        <v>969</v>
      </c>
      <c r="D2209" s="29" t="s">
        <v>6</v>
      </c>
      <c r="E2209" s="30" t="s">
        <v>409</v>
      </c>
      <c r="F2209" s="28" t="s">
        <v>356</v>
      </c>
      <c r="G2209" s="30" t="s">
        <v>714</v>
      </c>
      <c r="H2209" t="str">
        <f>CONCATENATE(Prequal[[#This Row],[CITY]], ", ",Prequal[[#This Row],[STATE]])</f>
        <v>Peoria, IL</v>
      </c>
    </row>
    <row r="2210" spans="2:8" x14ac:dyDescent="0.2">
      <c r="B2210" s="27" t="s">
        <v>235</v>
      </c>
      <c r="C2210" s="28" t="s">
        <v>969</v>
      </c>
      <c r="D2210" s="29" t="s">
        <v>7</v>
      </c>
      <c r="E2210" s="30" t="s">
        <v>409</v>
      </c>
      <c r="F2210" s="28" t="s">
        <v>356</v>
      </c>
      <c r="G2210" s="30" t="s">
        <v>714</v>
      </c>
      <c r="H2210" t="str">
        <f>CONCATENATE(Prequal[[#This Row],[CITY]], ", ",Prequal[[#This Row],[STATE]])</f>
        <v>Peoria, IL</v>
      </c>
    </row>
    <row r="2211" spans="2:8" x14ac:dyDescent="0.2">
      <c r="B2211" s="27" t="s">
        <v>235</v>
      </c>
      <c r="C2211" s="28" t="s">
        <v>969</v>
      </c>
      <c r="D2211" s="29" t="s">
        <v>8</v>
      </c>
      <c r="E2211" s="30" t="s">
        <v>409</v>
      </c>
      <c r="F2211" s="28" t="s">
        <v>356</v>
      </c>
      <c r="G2211" s="30" t="s">
        <v>714</v>
      </c>
      <c r="H2211" t="str">
        <f>CONCATENATE(Prequal[[#This Row],[CITY]], ", ",Prequal[[#This Row],[STATE]])</f>
        <v>Peoria, IL</v>
      </c>
    </row>
    <row r="2212" spans="2:8" x14ac:dyDescent="0.2">
      <c r="B2212" s="27" t="s">
        <v>235</v>
      </c>
      <c r="C2212" s="28" t="s">
        <v>969</v>
      </c>
      <c r="D2212" s="29" t="s">
        <v>25</v>
      </c>
      <c r="E2212" s="30" t="s">
        <v>409</v>
      </c>
      <c r="F2212" s="28" t="s">
        <v>356</v>
      </c>
      <c r="G2212" s="30" t="s">
        <v>714</v>
      </c>
      <c r="H2212" t="str">
        <f>CONCATENATE(Prequal[[#This Row],[CITY]], ", ",Prequal[[#This Row],[STATE]])</f>
        <v>Peoria, IL</v>
      </c>
    </row>
    <row r="2213" spans="2:8" x14ac:dyDescent="0.2">
      <c r="B2213" s="27" t="s">
        <v>235</v>
      </c>
      <c r="C2213" s="28" t="s">
        <v>969</v>
      </c>
      <c r="D2213" s="29" t="s">
        <v>9</v>
      </c>
      <c r="E2213" s="30" t="s">
        <v>409</v>
      </c>
      <c r="F2213" s="28" t="s">
        <v>356</v>
      </c>
      <c r="G2213" s="30" t="s">
        <v>714</v>
      </c>
      <c r="H2213" t="str">
        <f>CONCATENATE(Prequal[[#This Row],[CITY]], ", ",Prequal[[#This Row],[STATE]])</f>
        <v>Peoria, IL</v>
      </c>
    </row>
    <row r="2214" spans="2:8" x14ac:dyDescent="0.2">
      <c r="B2214" s="27" t="s">
        <v>235</v>
      </c>
      <c r="C2214" s="28" t="s">
        <v>969</v>
      </c>
      <c r="D2214" s="29" t="s">
        <v>10</v>
      </c>
      <c r="E2214" s="30" t="s">
        <v>409</v>
      </c>
      <c r="F2214" s="28" t="s">
        <v>356</v>
      </c>
      <c r="G2214" s="30" t="s">
        <v>714</v>
      </c>
      <c r="H2214" t="str">
        <f>CONCATENATE(Prequal[[#This Row],[CITY]], ", ",Prequal[[#This Row],[STATE]])</f>
        <v>Peoria, IL</v>
      </c>
    </row>
    <row r="2215" spans="2:8" x14ac:dyDescent="0.2">
      <c r="B2215" s="27" t="s">
        <v>235</v>
      </c>
      <c r="C2215" s="28" t="s">
        <v>969</v>
      </c>
      <c r="D2215" s="29" t="s">
        <v>12</v>
      </c>
      <c r="E2215" s="30" t="s">
        <v>409</v>
      </c>
      <c r="F2215" s="28" t="s">
        <v>356</v>
      </c>
      <c r="G2215" s="30" t="s">
        <v>714</v>
      </c>
      <c r="H2215" t="str">
        <f>CONCATENATE(Prequal[[#This Row],[CITY]], ", ",Prequal[[#This Row],[STATE]])</f>
        <v>Peoria, IL</v>
      </c>
    </row>
    <row r="2216" spans="2:8" x14ac:dyDescent="0.2">
      <c r="B2216" s="27" t="s">
        <v>235</v>
      </c>
      <c r="C2216" s="28" t="s">
        <v>969</v>
      </c>
      <c r="D2216" s="29" t="s">
        <v>29</v>
      </c>
      <c r="E2216" s="30" t="s">
        <v>409</v>
      </c>
      <c r="F2216" s="28" t="s">
        <v>356</v>
      </c>
      <c r="G2216" s="30" t="s">
        <v>714</v>
      </c>
      <c r="H2216" t="str">
        <f>CONCATENATE(Prequal[[#This Row],[CITY]], ", ",Prequal[[#This Row],[STATE]])</f>
        <v>Peoria, IL</v>
      </c>
    </row>
    <row r="2217" spans="2:8" x14ac:dyDescent="0.2">
      <c r="B2217" s="27" t="s">
        <v>235</v>
      </c>
      <c r="C2217" s="28" t="s">
        <v>969</v>
      </c>
      <c r="D2217" s="29" t="s">
        <v>37</v>
      </c>
      <c r="E2217" s="30" t="s">
        <v>409</v>
      </c>
      <c r="F2217" s="28" t="s">
        <v>356</v>
      </c>
      <c r="G2217" s="30" t="s">
        <v>714</v>
      </c>
      <c r="H2217" t="str">
        <f>CONCATENATE(Prequal[[#This Row],[CITY]], ", ",Prequal[[#This Row],[STATE]])</f>
        <v>Peoria, IL</v>
      </c>
    </row>
    <row r="2218" spans="2:8" x14ac:dyDescent="0.2">
      <c r="B2218" s="27" t="s">
        <v>235</v>
      </c>
      <c r="C2218" s="28" t="s">
        <v>969</v>
      </c>
      <c r="D2218" s="29" t="s">
        <v>13</v>
      </c>
      <c r="E2218" s="30" t="s">
        <v>409</v>
      </c>
      <c r="F2218" s="28" t="s">
        <v>356</v>
      </c>
      <c r="G2218" s="30" t="s">
        <v>714</v>
      </c>
      <c r="H2218" t="str">
        <f>CONCATENATE(Prequal[[#This Row],[CITY]], ", ",Prequal[[#This Row],[STATE]])</f>
        <v>Peoria, IL</v>
      </c>
    </row>
    <row r="2219" spans="2:8" x14ac:dyDescent="0.2">
      <c r="B2219" s="27" t="s">
        <v>235</v>
      </c>
      <c r="C2219" s="28" t="s">
        <v>969</v>
      </c>
      <c r="D2219" s="29" t="s">
        <v>14</v>
      </c>
      <c r="E2219" s="30" t="s">
        <v>409</v>
      </c>
      <c r="F2219" s="28" t="s">
        <v>356</v>
      </c>
      <c r="G2219" s="30" t="s">
        <v>714</v>
      </c>
      <c r="H2219" t="str">
        <f>CONCATENATE(Prequal[[#This Row],[CITY]], ", ",Prequal[[#This Row],[STATE]])</f>
        <v>Peoria, IL</v>
      </c>
    </row>
    <row r="2220" spans="2:8" x14ac:dyDescent="0.2">
      <c r="B2220" s="27" t="s">
        <v>235</v>
      </c>
      <c r="C2220" s="28" t="s">
        <v>969</v>
      </c>
      <c r="D2220" s="29" t="s">
        <v>15</v>
      </c>
      <c r="E2220" s="30" t="s">
        <v>409</v>
      </c>
      <c r="F2220" s="28" t="s">
        <v>356</v>
      </c>
      <c r="G2220" s="30" t="s">
        <v>714</v>
      </c>
      <c r="H2220" t="str">
        <f>CONCATENATE(Prequal[[#This Row],[CITY]], ", ",Prequal[[#This Row],[STATE]])</f>
        <v>Peoria, IL</v>
      </c>
    </row>
    <row r="2221" spans="2:8" x14ac:dyDescent="0.2">
      <c r="B2221" s="27" t="s">
        <v>235</v>
      </c>
      <c r="C2221" s="28" t="s">
        <v>969</v>
      </c>
      <c r="D2221" s="29" t="s">
        <v>31</v>
      </c>
      <c r="E2221" s="30" t="s">
        <v>409</v>
      </c>
      <c r="F2221" s="28" t="s">
        <v>356</v>
      </c>
      <c r="G2221" s="30" t="s">
        <v>714</v>
      </c>
      <c r="H2221" t="str">
        <f>CONCATENATE(Prequal[[#This Row],[CITY]], ", ",Prequal[[#This Row],[STATE]])</f>
        <v>Peoria, IL</v>
      </c>
    </row>
    <row r="2222" spans="2:8" x14ac:dyDescent="0.2">
      <c r="B2222" s="27" t="s">
        <v>235</v>
      </c>
      <c r="C2222" s="28" t="s">
        <v>969</v>
      </c>
      <c r="D2222" s="29" t="s">
        <v>32</v>
      </c>
      <c r="E2222" s="30" t="s">
        <v>409</v>
      </c>
      <c r="F2222" s="28" t="s">
        <v>356</v>
      </c>
      <c r="G2222" s="30" t="s">
        <v>714</v>
      </c>
      <c r="H2222" t="str">
        <f>CONCATENATE(Prequal[[#This Row],[CITY]], ", ",Prequal[[#This Row],[STATE]])</f>
        <v>Peoria, IL</v>
      </c>
    </row>
    <row r="2223" spans="2:8" x14ac:dyDescent="0.2">
      <c r="B2223" s="27" t="s">
        <v>832</v>
      </c>
      <c r="C2223" s="28" t="s">
        <v>969</v>
      </c>
      <c r="D2223" s="29" t="s">
        <v>35</v>
      </c>
      <c r="E2223" s="30" t="s">
        <v>833</v>
      </c>
      <c r="F2223" s="28" t="s">
        <v>444</v>
      </c>
      <c r="G2223" s="30" t="s">
        <v>834</v>
      </c>
      <c r="H2223" t="str">
        <f>CONCATENATE(Prequal[[#This Row],[CITY]], ", ",Prequal[[#This Row],[STATE]])</f>
        <v>Clive, IA</v>
      </c>
    </row>
    <row r="2224" spans="2:8" x14ac:dyDescent="0.2">
      <c r="B2224" s="27" t="s">
        <v>832</v>
      </c>
      <c r="C2224" s="28" t="s">
        <v>969</v>
      </c>
      <c r="D2224" s="29" t="s">
        <v>36</v>
      </c>
      <c r="E2224" s="30" t="s">
        <v>833</v>
      </c>
      <c r="F2224" s="28" t="s">
        <v>444</v>
      </c>
      <c r="G2224" s="30" t="s">
        <v>834</v>
      </c>
      <c r="H2224" t="str">
        <f>CONCATENATE(Prequal[[#This Row],[CITY]], ", ",Prequal[[#This Row],[STATE]])</f>
        <v>Clive, IA</v>
      </c>
    </row>
    <row r="2225" spans="2:8" x14ac:dyDescent="0.2">
      <c r="B2225" s="27" t="s">
        <v>832</v>
      </c>
      <c r="C2225" s="28" t="s">
        <v>969</v>
      </c>
      <c r="D2225" s="29" t="s">
        <v>42</v>
      </c>
      <c r="E2225" s="30" t="s">
        <v>833</v>
      </c>
      <c r="F2225" s="28" t="s">
        <v>444</v>
      </c>
      <c r="G2225" s="30" t="s">
        <v>834</v>
      </c>
      <c r="H2225" t="str">
        <f>CONCATENATE(Prequal[[#This Row],[CITY]], ", ",Prequal[[#This Row],[STATE]])</f>
        <v>Clive, IA</v>
      </c>
    </row>
    <row r="2226" spans="2:8" x14ac:dyDescent="0.2">
      <c r="B2226" s="31" t="s">
        <v>236</v>
      </c>
      <c r="C2226" s="32" t="s">
        <v>969</v>
      </c>
      <c r="D2226" s="33" t="s">
        <v>5</v>
      </c>
      <c r="E2226" s="30" t="s">
        <v>462</v>
      </c>
      <c r="F2226" s="32" t="s">
        <v>378</v>
      </c>
      <c r="G2226" s="30" t="s">
        <v>715</v>
      </c>
      <c r="H2226" t="str">
        <f>CONCATENATE(Prequal[[#This Row],[CITY]], ", ",Prequal[[#This Row],[STATE]])</f>
        <v>Neenah, WI</v>
      </c>
    </row>
    <row r="2227" spans="2:8" x14ac:dyDescent="0.2">
      <c r="B2227" s="31" t="s">
        <v>236</v>
      </c>
      <c r="C2227" s="32" t="s">
        <v>969</v>
      </c>
      <c r="D2227" s="33" t="s">
        <v>27</v>
      </c>
      <c r="E2227" s="30" t="s">
        <v>462</v>
      </c>
      <c r="F2227" s="32" t="s">
        <v>378</v>
      </c>
      <c r="G2227" s="30" t="s">
        <v>715</v>
      </c>
      <c r="H2227" t="str">
        <f>CONCATENATE(Prequal[[#This Row],[CITY]], ", ",Prequal[[#This Row],[STATE]])</f>
        <v>Neenah, WI</v>
      </c>
    </row>
    <row r="2228" spans="2:8" x14ac:dyDescent="0.2">
      <c r="B2228" s="27" t="s">
        <v>236</v>
      </c>
      <c r="C2228" s="28" t="s">
        <v>969</v>
      </c>
      <c r="D2228" s="29" t="s">
        <v>12</v>
      </c>
      <c r="E2228" s="30" t="s">
        <v>462</v>
      </c>
      <c r="F2228" s="28" t="s">
        <v>378</v>
      </c>
      <c r="G2228" s="30" t="s">
        <v>715</v>
      </c>
      <c r="H2228" t="str">
        <f>CONCATENATE(Prequal[[#This Row],[CITY]], ", ",Prequal[[#This Row],[STATE]])</f>
        <v>Neenah, WI</v>
      </c>
    </row>
    <row r="2229" spans="2:8" x14ac:dyDescent="0.2">
      <c r="B2229" s="27" t="s">
        <v>236</v>
      </c>
      <c r="C2229" s="28" t="s">
        <v>969</v>
      </c>
      <c r="D2229" s="29" t="s">
        <v>13</v>
      </c>
      <c r="E2229" s="30" t="s">
        <v>462</v>
      </c>
      <c r="F2229" s="28" t="s">
        <v>378</v>
      </c>
      <c r="G2229" s="30" t="s">
        <v>715</v>
      </c>
      <c r="H2229" t="str">
        <f>CONCATENATE(Prequal[[#This Row],[CITY]], ", ",Prequal[[#This Row],[STATE]])</f>
        <v>Neenah, WI</v>
      </c>
    </row>
    <row r="2230" spans="2:8" x14ac:dyDescent="0.2">
      <c r="B2230" s="27" t="s">
        <v>236</v>
      </c>
      <c r="C2230" s="28" t="s">
        <v>969</v>
      </c>
      <c r="D2230" s="29" t="s">
        <v>14</v>
      </c>
      <c r="E2230" s="30" t="s">
        <v>462</v>
      </c>
      <c r="F2230" s="28" t="s">
        <v>378</v>
      </c>
      <c r="G2230" s="30" t="s">
        <v>715</v>
      </c>
      <c r="H2230" t="str">
        <f>CONCATENATE(Prequal[[#This Row],[CITY]], ", ",Prequal[[#This Row],[STATE]])</f>
        <v>Neenah, WI</v>
      </c>
    </row>
    <row r="2231" spans="2:8" x14ac:dyDescent="0.2">
      <c r="B2231" s="27" t="s">
        <v>236</v>
      </c>
      <c r="C2231" s="28" t="s">
        <v>969</v>
      </c>
      <c r="D2231" s="29" t="s">
        <v>15</v>
      </c>
      <c r="E2231" s="30" t="s">
        <v>462</v>
      </c>
      <c r="F2231" s="28" t="s">
        <v>378</v>
      </c>
      <c r="G2231" s="30" t="s">
        <v>715</v>
      </c>
      <c r="H2231" t="str">
        <f>CONCATENATE(Prequal[[#This Row],[CITY]], ", ",Prequal[[#This Row],[STATE]])</f>
        <v>Neenah, WI</v>
      </c>
    </row>
    <row r="2232" spans="2:8" x14ac:dyDescent="0.2">
      <c r="B2232" s="27" t="s">
        <v>237</v>
      </c>
      <c r="C2232" s="28" t="s">
        <v>969</v>
      </c>
      <c r="D2232" s="29" t="s">
        <v>35</v>
      </c>
      <c r="E2232" s="30" t="s">
        <v>463</v>
      </c>
      <c r="F2232" s="28" t="s">
        <v>378</v>
      </c>
      <c r="G2232" s="30" t="s">
        <v>716</v>
      </c>
      <c r="H2232" t="str">
        <f>CONCATENATE(Prequal[[#This Row],[CITY]], ", ",Prequal[[#This Row],[STATE]])</f>
        <v>Middleton, WI</v>
      </c>
    </row>
    <row r="2233" spans="2:8" x14ac:dyDescent="0.2">
      <c r="B2233" s="27" t="s">
        <v>237</v>
      </c>
      <c r="C2233" s="28" t="s">
        <v>969</v>
      </c>
      <c r="D2233" s="29" t="s">
        <v>124</v>
      </c>
      <c r="E2233" s="30" t="s">
        <v>463</v>
      </c>
      <c r="F2233" s="28" t="s">
        <v>378</v>
      </c>
      <c r="G2233" s="30" t="s">
        <v>716</v>
      </c>
      <c r="H2233" t="str">
        <f>CONCATENATE(Prequal[[#This Row],[CITY]], ", ",Prequal[[#This Row],[STATE]])</f>
        <v>Middleton, WI</v>
      </c>
    </row>
    <row r="2234" spans="2:8" x14ac:dyDescent="0.2">
      <c r="B2234" s="27" t="s">
        <v>237</v>
      </c>
      <c r="C2234" s="28" t="s">
        <v>969</v>
      </c>
      <c r="D2234" s="29" t="s">
        <v>36</v>
      </c>
      <c r="E2234" s="30" t="s">
        <v>463</v>
      </c>
      <c r="F2234" s="28" t="s">
        <v>378</v>
      </c>
      <c r="G2234" s="30" t="s">
        <v>716</v>
      </c>
      <c r="H2234" t="str">
        <f>CONCATENATE(Prequal[[#This Row],[CITY]], ", ",Prequal[[#This Row],[STATE]])</f>
        <v>Middleton, WI</v>
      </c>
    </row>
    <row r="2235" spans="2:8" x14ac:dyDescent="0.2">
      <c r="B2235" s="27" t="s">
        <v>237</v>
      </c>
      <c r="C2235" s="28" t="s">
        <v>969</v>
      </c>
      <c r="D2235" s="29" t="s">
        <v>125</v>
      </c>
      <c r="E2235" s="30" t="s">
        <v>463</v>
      </c>
      <c r="F2235" s="28" t="s">
        <v>378</v>
      </c>
      <c r="G2235" s="30" t="s">
        <v>716</v>
      </c>
      <c r="H2235" t="str">
        <f>CONCATENATE(Prequal[[#This Row],[CITY]], ", ",Prequal[[#This Row],[STATE]])</f>
        <v>Middleton, WI</v>
      </c>
    </row>
    <row r="2236" spans="2:8" x14ac:dyDescent="0.2">
      <c r="B2236" s="27" t="s">
        <v>237</v>
      </c>
      <c r="C2236" s="28" t="s">
        <v>969</v>
      </c>
      <c r="D2236" s="29" t="s">
        <v>42</v>
      </c>
      <c r="E2236" s="30" t="s">
        <v>463</v>
      </c>
      <c r="F2236" s="28" t="s">
        <v>378</v>
      </c>
      <c r="G2236" s="30" t="s">
        <v>716</v>
      </c>
      <c r="H2236" t="str">
        <f>CONCATENATE(Prequal[[#This Row],[CITY]], ", ",Prequal[[#This Row],[STATE]])</f>
        <v>Middleton, WI</v>
      </c>
    </row>
    <row r="2237" spans="2:8" x14ac:dyDescent="0.2">
      <c r="B2237" s="27" t="s">
        <v>237</v>
      </c>
      <c r="C2237" s="28" t="s">
        <v>969</v>
      </c>
      <c r="D2237" s="29" t="s">
        <v>43</v>
      </c>
      <c r="E2237" s="30" t="s">
        <v>463</v>
      </c>
      <c r="F2237" s="28" t="s">
        <v>378</v>
      </c>
      <c r="G2237" s="30" t="s">
        <v>716</v>
      </c>
      <c r="H2237" t="str">
        <f>CONCATENATE(Prequal[[#This Row],[CITY]], ", ",Prequal[[#This Row],[STATE]])</f>
        <v>Middleton, WI</v>
      </c>
    </row>
    <row r="2238" spans="2:8" x14ac:dyDescent="0.2">
      <c r="B2238" s="27" t="s">
        <v>237</v>
      </c>
      <c r="C2238" s="28" t="s">
        <v>969</v>
      </c>
      <c r="D2238" s="29" t="s">
        <v>44</v>
      </c>
      <c r="E2238" s="30" t="s">
        <v>463</v>
      </c>
      <c r="F2238" s="28" t="s">
        <v>378</v>
      </c>
      <c r="G2238" s="30" t="s">
        <v>716</v>
      </c>
      <c r="H2238" t="str">
        <f>CONCATENATE(Prequal[[#This Row],[CITY]], ", ",Prequal[[#This Row],[STATE]])</f>
        <v>Middleton, WI</v>
      </c>
    </row>
    <row r="2239" spans="2:8" x14ac:dyDescent="0.2">
      <c r="B2239" s="27" t="s">
        <v>237</v>
      </c>
      <c r="C2239" s="28" t="s">
        <v>969</v>
      </c>
      <c r="D2239" s="29" t="s">
        <v>4</v>
      </c>
      <c r="E2239" s="30" t="s">
        <v>463</v>
      </c>
      <c r="F2239" s="28" t="s">
        <v>378</v>
      </c>
      <c r="G2239" s="30" t="s">
        <v>716</v>
      </c>
      <c r="H2239" t="str">
        <f>CONCATENATE(Prequal[[#This Row],[CITY]], ", ",Prequal[[#This Row],[STATE]])</f>
        <v>Middleton, WI</v>
      </c>
    </row>
    <row r="2240" spans="2:8" x14ac:dyDescent="0.2">
      <c r="B2240" s="27" t="s">
        <v>237</v>
      </c>
      <c r="C2240" s="28" t="s">
        <v>969</v>
      </c>
      <c r="D2240" s="29" t="s">
        <v>5</v>
      </c>
      <c r="E2240" s="30" t="s">
        <v>463</v>
      </c>
      <c r="F2240" s="28" t="s">
        <v>378</v>
      </c>
      <c r="G2240" s="30" t="s">
        <v>716</v>
      </c>
      <c r="H2240" t="str">
        <f>CONCATENATE(Prequal[[#This Row],[CITY]], ", ",Prequal[[#This Row],[STATE]])</f>
        <v>Middleton, WI</v>
      </c>
    </row>
    <row r="2241" spans="2:8" x14ac:dyDescent="0.2">
      <c r="B2241" s="27" t="s">
        <v>237</v>
      </c>
      <c r="C2241" s="28" t="s">
        <v>969</v>
      </c>
      <c r="D2241" s="29" t="s">
        <v>9</v>
      </c>
      <c r="E2241" s="30" t="s">
        <v>463</v>
      </c>
      <c r="F2241" s="28" t="s">
        <v>378</v>
      </c>
      <c r="G2241" s="30" t="s">
        <v>716</v>
      </c>
      <c r="H2241" t="str">
        <f>CONCATENATE(Prequal[[#This Row],[CITY]], ", ",Prequal[[#This Row],[STATE]])</f>
        <v>Middleton, WI</v>
      </c>
    </row>
    <row r="2242" spans="2:8" x14ac:dyDescent="0.2">
      <c r="B2242" s="31" t="s">
        <v>237</v>
      </c>
      <c r="C2242" s="32" t="s">
        <v>969</v>
      </c>
      <c r="D2242" s="33" t="s">
        <v>27</v>
      </c>
      <c r="E2242" s="30" t="s">
        <v>463</v>
      </c>
      <c r="F2242" s="32" t="s">
        <v>378</v>
      </c>
      <c r="G2242" s="30" t="s">
        <v>716</v>
      </c>
      <c r="H2242" t="str">
        <f>CONCATENATE(Prequal[[#This Row],[CITY]], ", ",Prequal[[#This Row],[STATE]])</f>
        <v>Middleton, WI</v>
      </c>
    </row>
    <row r="2243" spans="2:8" x14ac:dyDescent="0.2">
      <c r="B2243" s="27" t="s">
        <v>237</v>
      </c>
      <c r="C2243" s="28" t="s">
        <v>969</v>
      </c>
      <c r="D2243" s="29" t="s">
        <v>59</v>
      </c>
      <c r="E2243" s="30" t="s">
        <v>463</v>
      </c>
      <c r="F2243" s="28" t="s">
        <v>378</v>
      </c>
      <c r="G2243" s="30" t="s">
        <v>716</v>
      </c>
      <c r="H2243" t="str">
        <f>CONCATENATE(Prequal[[#This Row],[CITY]], ", ",Prequal[[#This Row],[STATE]])</f>
        <v>Middleton, WI</v>
      </c>
    </row>
    <row r="2244" spans="2:8" x14ac:dyDescent="0.2">
      <c r="B2244" s="27" t="s">
        <v>237</v>
      </c>
      <c r="C2244" s="28" t="s">
        <v>969</v>
      </c>
      <c r="D2244" s="29" t="s">
        <v>10</v>
      </c>
      <c r="E2244" s="30" t="s">
        <v>463</v>
      </c>
      <c r="F2244" s="28" t="s">
        <v>378</v>
      </c>
      <c r="G2244" s="30" t="s">
        <v>716</v>
      </c>
      <c r="H2244" t="str">
        <f>CONCATENATE(Prequal[[#This Row],[CITY]], ", ",Prequal[[#This Row],[STATE]])</f>
        <v>Middleton, WI</v>
      </c>
    </row>
    <row r="2245" spans="2:8" x14ac:dyDescent="0.2">
      <c r="B2245" s="27" t="s">
        <v>237</v>
      </c>
      <c r="C2245" s="28" t="s">
        <v>969</v>
      </c>
      <c r="D2245" s="29" t="s">
        <v>21</v>
      </c>
      <c r="E2245" s="30" t="s">
        <v>463</v>
      </c>
      <c r="F2245" s="28" t="s">
        <v>378</v>
      </c>
      <c r="G2245" s="30" t="s">
        <v>716</v>
      </c>
      <c r="H2245" t="str">
        <f>CONCATENATE(Prequal[[#This Row],[CITY]], ", ",Prequal[[#This Row],[STATE]])</f>
        <v>Middleton, WI</v>
      </c>
    </row>
    <row r="2246" spans="2:8" x14ac:dyDescent="0.2">
      <c r="B2246" s="27" t="s">
        <v>237</v>
      </c>
      <c r="C2246" s="28" t="s">
        <v>969</v>
      </c>
      <c r="D2246" s="29" t="s">
        <v>39</v>
      </c>
      <c r="E2246" s="30" t="s">
        <v>463</v>
      </c>
      <c r="F2246" s="28" t="s">
        <v>378</v>
      </c>
      <c r="G2246" s="30" t="s">
        <v>716</v>
      </c>
      <c r="H2246" t="str">
        <f>CONCATENATE(Prequal[[#This Row],[CITY]], ", ",Prequal[[#This Row],[STATE]])</f>
        <v>Middleton, WI</v>
      </c>
    </row>
    <row r="2247" spans="2:8" x14ac:dyDescent="0.2">
      <c r="B2247" s="27" t="s">
        <v>237</v>
      </c>
      <c r="C2247" s="28" t="s">
        <v>969</v>
      </c>
      <c r="D2247" s="29" t="s">
        <v>12</v>
      </c>
      <c r="E2247" s="30" t="s">
        <v>463</v>
      </c>
      <c r="F2247" s="28" t="s">
        <v>378</v>
      </c>
      <c r="G2247" s="30" t="s">
        <v>716</v>
      </c>
      <c r="H2247" t="str">
        <f>CONCATENATE(Prequal[[#This Row],[CITY]], ", ",Prequal[[#This Row],[STATE]])</f>
        <v>Middleton, WI</v>
      </c>
    </row>
    <row r="2248" spans="2:8" x14ac:dyDescent="0.2">
      <c r="B2248" s="27" t="s">
        <v>237</v>
      </c>
      <c r="C2248" s="28" t="s">
        <v>969</v>
      </c>
      <c r="D2248" s="29" t="s">
        <v>13</v>
      </c>
      <c r="E2248" s="30" t="s">
        <v>463</v>
      </c>
      <c r="F2248" s="28" t="s">
        <v>378</v>
      </c>
      <c r="G2248" s="30" t="s">
        <v>716</v>
      </c>
      <c r="H2248" t="str">
        <f>CONCATENATE(Prequal[[#This Row],[CITY]], ", ",Prequal[[#This Row],[STATE]])</f>
        <v>Middleton, WI</v>
      </c>
    </row>
    <row r="2249" spans="2:8" x14ac:dyDescent="0.2">
      <c r="B2249" s="27" t="s">
        <v>237</v>
      </c>
      <c r="C2249" s="28" t="s">
        <v>969</v>
      </c>
      <c r="D2249" s="29" t="s">
        <v>52</v>
      </c>
      <c r="E2249" s="30" t="s">
        <v>463</v>
      </c>
      <c r="F2249" s="28" t="s">
        <v>378</v>
      </c>
      <c r="G2249" s="30" t="s">
        <v>716</v>
      </c>
      <c r="H2249" t="str">
        <f>CONCATENATE(Prequal[[#This Row],[CITY]], ", ",Prequal[[#This Row],[STATE]])</f>
        <v>Middleton, WI</v>
      </c>
    </row>
    <row r="2250" spans="2:8" x14ac:dyDescent="0.2">
      <c r="B2250" s="27" t="s">
        <v>237</v>
      </c>
      <c r="C2250" s="28" t="s">
        <v>969</v>
      </c>
      <c r="D2250" s="29" t="s">
        <v>14</v>
      </c>
      <c r="E2250" s="30" t="s">
        <v>463</v>
      </c>
      <c r="F2250" s="28" t="s">
        <v>378</v>
      </c>
      <c r="G2250" s="30" t="s">
        <v>716</v>
      </c>
      <c r="H2250" t="str">
        <f>CONCATENATE(Prequal[[#This Row],[CITY]], ", ",Prequal[[#This Row],[STATE]])</f>
        <v>Middleton, WI</v>
      </c>
    </row>
    <row r="2251" spans="2:8" x14ac:dyDescent="0.2">
      <c r="B2251" s="27" t="s">
        <v>237</v>
      </c>
      <c r="C2251" s="28" t="s">
        <v>969</v>
      </c>
      <c r="D2251" s="29" t="s">
        <v>31</v>
      </c>
      <c r="E2251" s="30" t="s">
        <v>463</v>
      </c>
      <c r="F2251" s="28" t="s">
        <v>378</v>
      </c>
      <c r="G2251" s="30" t="s">
        <v>716</v>
      </c>
      <c r="H2251" t="str">
        <f>CONCATENATE(Prequal[[#This Row],[CITY]], ", ",Prequal[[#This Row],[STATE]])</f>
        <v>Middleton, WI</v>
      </c>
    </row>
    <row r="2252" spans="2:8" x14ac:dyDescent="0.2">
      <c r="B2252" s="27" t="s">
        <v>237</v>
      </c>
      <c r="C2252" s="28" t="s">
        <v>969</v>
      </c>
      <c r="D2252" s="29" t="s">
        <v>32</v>
      </c>
      <c r="E2252" s="30" t="s">
        <v>463</v>
      </c>
      <c r="F2252" s="28" t="s">
        <v>378</v>
      </c>
      <c r="G2252" s="30" t="s">
        <v>716</v>
      </c>
      <c r="H2252" t="str">
        <f>CONCATENATE(Prequal[[#This Row],[CITY]], ", ",Prequal[[#This Row],[STATE]])</f>
        <v>Middleton, WI</v>
      </c>
    </row>
    <row r="2253" spans="2:8" x14ac:dyDescent="0.2">
      <c r="B2253" s="27" t="s">
        <v>238</v>
      </c>
      <c r="C2253" s="28" t="s">
        <v>969</v>
      </c>
      <c r="D2253" s="29" t="s">
        <v>5</v>
      </c>
      <c r="E2253" s="30" t="s">
        <v>464</v>
      </c>
      <c r="F2253" s="28" t="s">
        <v>356</v>
      </c>
      <c r="G2253" s="30" t="s">
        <v>717</v>
      </c>
      <c r="H2253" t="str">
        <f>CONCATENATE(Prequal[[#This Row],[CITY]], ", ",Prequal[[#This Row],[STATE]])</f>
        <v>Pittsfield , IL</v>
      </c>
    </row>
    <row r="2254" spans="2:8" x14ac:dyDescent="0.2">
      <c r="B2254" s="27" t="s">
        <v>238</v>
      </c>
      <c r="C2254" s="28" t="s">
        <v>969</v>
      </c>
      <c r="D2254" s="29" t="s">
        <v>12</v>
      </c>
      <c r="E2254" s="30" t="s">
        <v>464</v>
      </c>
      <c r="F2254" s="28" t="s">
        <v>356</v>
      </c>
      <c r="G2254" s="30" t="s">
        <v>717</v>
      </c>
      <c r="H2254" t="str">
        <f>CONCATENATE(Prequal[[#This Row],[CITY]], ", ",Prequal[[#This Row],[STATE]])</f>
        <v>Pittsfield , IL</v>
      </c>
    </row>
    <row r="2255" spans="2:8" x14ac:dyDescent="0.2">
      <c r="B2255" s="27" t="s">
        <v>238</v>
      </c>
      <c r="C2255" s="28" t="s">
        <v>969</v>
      </c>
      <c r="D2255" s="29" t="s">
        <v>29</v>
      </c>
      <c r="E2255" s="30" t="s">
        <v>464</v>
      </c>
      <c r="F2255" s="28" t="s">
        <v>356</v>
      </c>
      <c r="G2255" s="30" t="s">
        <v>717</v>
      </c>
      <c r="H2255" t="str">
        <f>CONCATENATE(Prequal[[#This Row],[CITY]], ", ",Prequal[[#This Row],[STATE]])</f>
        <v>Pittsfield , IL</v>
      </c>
    </row>
    <row r="2256" spans="2:8" x14ac:dyDescent="0.2">
      <c r="B2256" s="27" t="s">
        <v>238</v>
      </c>
      <c r="C2256" s="28" t="s">
        <v>969</v>
      </c>
      <c r="D2256" s="29" t="s">
        <v>31</v>
      </c>
      <c r="E2256" s="30" t="s">
        <v>464</v>
      </c>
      <c r="F2256" s="28" t="s">
        <v>356</v>
      </c>
      <c r="G2256" s="30" t="s">
        <v>717</v>
      </c>
      <c r="H2256" t="str">
        <f>CONCATENATE(Prequal[[#This Row],[CITY]], ", ",Prequal[[#This Row],[STATE]])</f>
        <v>Pittsfield , IL</v>
      </c>
    </row>
    <row r="2257" spans="2:8" x14ac:dyDescent="0.2">
      <c r="B2257" s="27" t="s">
        <v>239</v>
      </c>
      <c r="C2257" s="28" t="s">
        <v>970</v>
      </c>
      <c r="D2257" s="29" t="s">
        <v>39</v>
      </c>
      <c r="E2257" s="30" t="s">
        <v>418</v>
      </c>
      <c r="F2257" s="28" t="s">
        <v>356</v>
      </c>
      <c r="G2257" s="30" t="s">
        <v>718</v>
      </c>
      <c r="H2257" t="str">
        <f>CONCATENATE(Prequal[[#This Row],[CITY]], ", ",Prequal[[#This Row],[STATE]])</f>
        <v>Downers Grove, IL</v>
      </c>
    </row>
    <row r="2258" spans="2:8" x14ac:dyDescent="0.2">
      <c r="B2258" s="27" t="s">
        <v>240</v>
      </c>
      <c r="C2258" s="28" t="s">
        <v>969</v>
      </c>
      <c r="D2258" s="29" t="s">
        <v>43</v>
      </c>
      <c r="E2258" s="30" t="s">
        <v>947</v>
      </c>
      <c r="F2258" s="28" t="s">
        <v>356</v>
      </c>
      <c r="G2258" s="30" t="s">
        <v>719</v>
      </c>
      <c r="H2258" t="str">
        <f>CONCATENATE(Prequal[[#This Row],[CITY]], ", ",Prequal[[#This Row],[STATE]])</f>
        <v>Chicago, IL</v>
      </c>
    </row>
    <row r="2259" spans="2:8" x14ac:dyDescent="0.2">
      <c r="B2259" s="27" t="s">
        <v>240</v>
      </c>
      <c r="C2259" s="28" t="s">
        <v>969</v>
      </c>
      <c r="D2259" s="29" t="s">
        <v>44</v>
      </c>
      <c r="E2259" s="30" t="s">
        <v>947</v>
      </c>
      <c r="F2259" s="28" t="s">
        <v>356</v>
      </c>
      <c r="G2259" s="30" t="s">
        <v>719</v>
      </c>
      <c r="H2259" t="str">
        <f>CONCATENATE(Prequal[[#This Row],[CITY]], ", ",Prequal[[#This Row],[STATE]])</f>
        <v>Chicago, IL</v>
      </c>
    </row>
    <row r="2260" spans="2:8" x14ac:dyDescent="0.2">
      <c r="B2260" s="27" t="s">
        <v>240</v>
      </c>
      <c r="C2260" s="28" t="s">
        <v>969</v>
      </c>
      <c r="D2260" s="29" t="s">
        <v>46</v>
      </c>
      <c r="E2260" s="30" t="s">
        <v>947</v>
      </c>
      <c r="F2260" s="28" t="s">
        <v>356</v>
      </c>
      <c r="G2260" s="30" t="s">
        <v>719</v>
      </c>
      <c r="H2260" t="str">
        <f>CONCATENATE(Prequal[[#This Row],[CITY]], ", ",Prequal[[#This Row],[STATE]])</f>
        <v>Chicago, IL</v>
      </c>
    </row>
    <row r="2261" spans="2:8" x14ac:dyDescent="0.2">
      <c r="B2261" s="27" t="s">
        <v>240</v>
      </c>
      <c r="C2261" s="28" t="s">
        <v>969</v>
      </c>
      <c r="D2261" s="29" t="s">
        <v>47</v>
      </c>
      <c r="E2261" s="30" t="s">
        <v>947</v>
      </c>
      <c r="F2261" s="28" t="s">
        <v>356</v>
      </c>
      <c r="G2261" s="30" t="s">
        <v>719</v>
      </c>
      <c r="H2261" t="str">
        <f>CONCATENATE(Prequal[[#This Row],[CITY]], ", ",Prequal[[#This Row],[STATE]])</f>
        <v>Chicago, IL</v>
      </c>
    </row>
    <row r="2262" spans="2:8" x14ac:dyDescent="0.2">
      <c r="B2262" s="27" t="s">
        <v>240</v>
      </c>
      <c r="C2262" s="28" t="s">
        <v>969</v>
      </c>
      <c r="D2262" s="29" t="s">
        <v>48</v>
      </c>
      <c r="E2262" s="30" t="s">
        <v>947</v>
      </c>
      <c r="F2262" s="28" t="s">
        <v>356</v>
      </c>
      <c r="G2262" s="30" t="s">
        <v>719</v>
      </c>
      <c r="H2262" t="str">
        <f>CONCATENATE(Prequal[[#This Row],[CITY]], ", ",Prequal[[#This Row],[STATE]])</f>
        <v>Chicago, IL</v>
      </c>
    </row>
    <row r="2263" spans="2:8" x14ac:dyDescent="0.2">
      <c r="B2263" s="27" t="s">
        <v>240</v>
      </c>
      <c r="C2263" s="28" t="s">
        <v>969</v>
      </c>
      <c r="D2263" s="29" t="s">
        <v>4</v>
      </c>
      <c r="E2263" s="30" t="s">
        <v>947</v>
      </c>
      <c r="F2263" s="28" t="s">
        <v>356</v>
      </c>
      <c r="G2263" s="30" t="s">
        <v>719</v>
      </c>
      <c r="H2263" t="str">
        <f>CONCATENATE(Prequal[[#This Row],[CITY]], ", ",Prequal[[#This Row],[STATE]])</f>
        <v>Chicago, IL</v>
      </c>
    </row>
    <row r="2264" spans="2:8" x14ac:dyDescent="0.2">
      <c r="B2264" s="27" t="s">
        <v>240</v>
      </c>
      <c r="C2264" s="28" t="s">
        <v>969</v>
      </c>
      <c r="D2264" s="29" t="s">
        <v>5</v>
      </c>
      <c r="E2264" s="30" t="s">
        <v>947</v>
      </c>
      <c r="F2264" s="28" t="s">
        <v>356</v>
      </c>
      <c r="G2264" s="30" t="s">
        <v>719</v>
      </c>
      <c r="H2264" t="str">
        <f>CONCATENATE(Prequal[[#This Row],[CITY]], ", ",Prequal[[#This Row],[STATE]])</f>
        <v>Chicago, IL</v>
      </c>
    </row>
    <row r="2265" spans="2:8" x14ac:dyDescent="0.2">
      <c r="B2265" s="27" t="s">
        <v>240</v>
      </c>
      <c r="C2265" s="28" t="s">
        <v>969</v>
      </c>
      <c r="D2265" s="29" t="s">
        <v>6</v>
      </c>
      <c r="E2265" s="30" t="s">
        <v>947</v>
      </c>
      <c r="F2265" s="28" t="s">
        <v>356</v>
      </c>
      <c r="G2265" s="30" t="s">
        <v>719</v>
      </c>
      <c r="H2265" t="str">
        <f>CONCATENATE(Prequal[[#This Row],[CITY]], ", ",Prequal[[#This Row],[STATE]])</f>
        <v>Chicago, IL</v>
      </c>
    </row>
    <row r="2266" spans="2:8" x14ac:dyDescent="0.2">
      <c r="B2266" s="31" t="s">
        <v>240</v>
      </c>
      <c r="C2266" s="32" t="s">
        <v>969</v>
      </c>
      <c r="D2266" s="33" t="s">
        <v>7</v>
      </c>
      <c r="E2266" s="30" t="s">
        <v>947</v>
      </c>
      <c r="F2266" s="32" t="s">
        <v>356</v>
      </c>
      <c r="G2266" s="30" t="s">
        <v>719</v>
      </c>
      <c r="H2266" t="str">
        <f>CONCATENATE(Prequal[[#This Row],[CITY]], ", ",Prequal[[#This Row],[STATE]])</f>
        <v>Chicago, IL</v>
      </c>
    </row>
    <row r="2267" spans="2:8" x14ac:dyDescent="0.2">
      <c r="B2267" s="27" t="s">
        <v>240</v>
      </c>
      <c r="C2267" s="28" t="s">
        <v>969</v>
      </c>
      <c r="D2267" s="29" t="s">
        <v>8</v>
      </c>
      <c r="E2267" s="30" t="s">
        <v>947</v>
      </c>
      <c r="F2267" s="28" t="s">
        <v>356</v>
      </c>
      <c r="G2267" s="30" t="s">
        <v>719</v>
      </c>
      <c r="H2267" t="str">
        <f>CONCATENATE(Prequal[[#This Row],[CITY]], ", ",Prequal[[#This Row],[STATE]])</f>
        <v>Chicago, IL</v>
      </c>
    </row>
    <row r="2268" spans="2:8" x14ac:dyDescent="0.2">
      <c r="B2268" s="27" t="s">
        <v>240</v>
      </c>
      <c r="C2268" s="28" t="s">
        <v>969</v>
      </c>
      <c r="D2268" s="29" t="s">
        <v>24</v>
      </c>
      <c r="E2268" s="30" t="s">
        <v>947</v>
      </c>
      <c r="F2268" s="28" t="s">
        <v>356</v>
      </c>
      <c r="G2268" s="30" t="s">
        <v>719</v>
      </c>
      <c r="H2268" t="str">
        <f>CONCATENATE(Prequal[[#This Row],[CITY]], ", ",Prequal[[#This Row],[STATE]])</f>
        <v>Chicago, IL</v>
      </c>
    </row>
    <row r="2269" spans="2:8" x14ac:dyDescent="0.2">
      <c r="B2269" s="27" t="s">
        <v>240</v>
      </c>
      <c r="C2269" s="28" t="s">
        <v>969</v>
      </c>
      <c r="D2269" s="29" t="s">
        <v>25</v>
      </c>
      <c r="E2269" s="30" t="s">
        <v>947</v>
      </c>
      <c r="F2269" s="28" t="s">
        <v>356</v>
      </c>
      <c r="G2269" s="30" t="s">
        <v>719</v>
      </c>
      <c r="H2269" t="str">
        <f>CONCATENATE(Prequal[[#This Row],[CITY]], ", ",Prequal[[#This Row],[STATE]])</f>
        <v>Chicago, IL</v>
      </c>
    </row>
    <row r="2270" spans="2:8" x14ac:dyDescent="0.2">
      <c r="B2270" s="27" t="s">
        <v>240</v>
      </c>
      <c r="C2270" s="28" t="s">
        <v>969</v>
      </c>
      <c r="D2270" s="29" t="s">
        <v>9</v>
      </c>
      <c r="E2270" s="30" t="s">
        <v>947</v>
      </c>
      <c r="F2270" s="28" t="s">
        <v>356</v>
      </c>
      <c r="G2270" s="30" t="s">
        <v>719</v>
      </c>
      <c r="H2270" t="str">
        <f>CONCATENATE(Prequal[[#This Row],[CITY]], ", ",Prequal[[#This Row],[STATE]])</f>
        <v>Chicago, IL</v>
      </c>
    </row>
    <row r="2271" spans="2:8" x14ac:dyDescent="0.2">
      <c r="B2271" s="27" t="s">
        <v>240</v>
      </c>
      <c r="C2271" s="28" t="s">
        <v>969</v>
      </c>
      <c r="D2271" s="29" t="s">
        <v>20</v>
      </c>
      <c r="E2271" s="30" t="s">
        <v>947</v>
      </c>
      <c r="F2271" s="28" t="s">
        <v>356</v>
      </c>
      <c r="G2271" s="30" t="s">
        <v>719</v>
      </c>
      <c r="H2271" t="str">
        <f>CONCATENATE(Prequal[[#This Row],[CITY]], ", ",Prequal[[#This Row],[STATE]])</f>
        <v>Chicago, IL</v>
      </c>
    </row>
    <row r="2272" spans="2:8" x14ac:dyDescent="0.2">
      <c r="B2272" s="27" t="s">
        <v>240</v>
      </c>
      <c r="C2272" s="28" t="s">
        <v>969</v>
      </c>
      <c r="D2272" s="29" t="s">
        <v>49</v>
      </c>
      <c r="E2272" s="30" t="s">
        <v>947</v>
      </c>
      <c r="F2272" s="28" t="s">
        <v>356</v>
      </c>
      <c r="G2272" s="30" t="s">
        <v>719</v>
      </c>
      <c r="H2272" t="str">
        <f>CONCATENATE(Prequal[[#This Row],[CITY]], ", ",Prequal[[#This Row],[STATE]])</f>
        <v>Chicago, IL</v>
      </c>
    </row>
    <row r="2273" spans="2:8" x14ac:dyDescent="0.2">
      <c r="B2273" s="27" t="s">
        <v>240</v>
      </c>
      <c r="C2273" s="28" t="s">
        <v>969</v>
      </c>
      <c r="D2273" s="29" t="s">
        <v>27</v>
      </c>
      <c r="E2273" s="30" t="s">
        <v>947</v>
      </c>
      <c r="F2273" s="28" t="s">
        <v>356</v>
      </c>
      <c r="G2273" s="30" t="s">
        <v>719</v>
      </c>
      <c r="H2273" t="str">
        <f>CONCATENATE(Prequal[[#This Row],[CITY]], ", ",Prequal[[#This Row],[STATE]])</f>
        <v>Chicago, IL</v>
      </c>
    </row>
    <row r="2274" spans="2:8" x14ac:dyDescent="0.2">
      <c r="B2274" s="27" t="s">
        <v>240</v>
      </c>
      <c r="C2274" s="28" t="s">
        <v>969</v>
      </c>
      <c r="D2274" s="29" t="s">
        <v>10</v>
      </c>
      <c r="E2274" s="30" t="s">
        <v>947</v>
      </c>
      <c r="F2274" s="28" t="s">
        <v>356</v>
      </c>
      <c r="G2274" s="30" t="s">
        <v>719</v>
      </c>
      <c r="H2274" t="str">
        <f>CONCATENATE(Prequal[[#This Row],[CITY]], ", ",Prequal[[#This Row],[STATE]])</f>
        <v>Chicago, IL</v>
      </c>
    </row>
    <row r="2275" spans="2:8" x14ac:dyDescent="0.2">
      <c r="B2275" s="27" t="s">
        <v>240</v>
      </c>
      <c r="C2275" s="28" t="s">
        <v>969</v>
      </c>
      <c r="D2275" s="29" t="s">
        <v>21</v>
      </c>
      <c r="E2275" s="30" t="s">
        <v>947</v>
      </c>
      <c r="F2275" s="28" t="s">
        <v>356</v>
      </c>
      <c r="G2275" s="30" t="s">
        <v>719</v>
      </c>
      <c r="H2275" t="str">
        <f>CONCATENATE(Prequal[[#This Row],[CITY]], ", ",Prequal[[#This Row],[STATE]])</f>
        <v>Chicago, IL</v>
      </c>
    </row>
    <row r="2276" spans="2:8" x14ac:dyDescent="0.2">
      <c r="B2276" s="27" t="s">
        <v>240</v>
      </c>
      <c r="C2276" s="28" t="s">
        <v>969</v>
      </c>
      <c r="D2276" s="29" t="s">
        <v>22</v>
      </c>
      <c r="E2276" s="30" t="s">
        <v>947</v>
      </c>
      <c r="F2276" s="28" t="s">
        <v>356</v>
      </c>
      <c r="G2276" s="30" t="s">
        <v>719</v>
      </c>
      <c r="H2276" t="str">
        <f>CONCATENATE(Prequal[[#This Row],[CITY]], ", ",Prequal[[#This Row],[STATE]])</f>
        <v>Chicago, IL</v>
      </c>
    </row>
    <row r="2277" spans="2:8" x14ac:dyDescent="0.2">
      <c r="B2277" s="27" t="s">
        <v>240</v>
      </c>
      <c r="C2277" s="28" t="s">
        <v>969</v>
      </c>
      <c r="D2277" s="29" t="s">
        <v>39</v>
      </c>
      <c r="E2277" s="30" t="s">
        <v>947</v>
      </c>
      <c r="F2277" s="28" t="s">
        <v>356</v>
      </c>
      <c r="G2277" s="30" t="s">
        <v>719</v>
      </c>
      <c r="H2277" t="str">
        <f>CONCATENATE(Prequal[[#This Row],[CITY]], ", ",Prequal[[#This Row],[STATE]])</f>
        <v>Chicago, IL</v>
      </c>
    </row>
    <row r="2278" spans="2:8" x14ac:dyDescent="0.2">
      <c r="B2278" s="27" t="s">
        <v>240</v>
      </c>
      <c r="C2278" s="28" t="s">
        <v>969</v>
      </c>
      <c r="D2278" s="29" t="s">
        <v>37</v>
      </c>
      <c r="E2278" s="30" t="s">
        <v>947</v>
      </c>
      <c r="F2278" s="28" t="s">
        <v>356</v>
      </c>
      <c r="G2278" s="30" t="s">
        <v>719</v>
      </c>
      <c r="H2278" t="str">
        <f>CONCATENATE(Prequal[[#This Row],[CITY]], ", ",Prequal[[#This Row],[STATE]])</f>
        <v>Chicago, IL</v>
      </c>
    </row>
    <row r="2279" spans="2:8" x14ac:dyDescent="0.2">
      <c r="B2279" s="27" t="s">
        <v>240</v>
      </c>
      <c r="C2279" s="28" t="s">
        <v>969</v>
      </c>
      <c r="D2279" s="29" t="s">
        <v>13</v>
      </c>
      <c r="E2279" s="30" t="s">
        <v>947</v>
      </c>
      <c r="F2279" s="28" t="s">
        <v>356</v>
      </c>
      <c r="G2279" s="30" t="s">
        <v>719</v>
      </c>
      <c r="H2279" t="str">
        <f>CONCATENATE(Prequal[[#This Row],[CITY]], ", ",Prequal[[#This Row],[STATE]])</f>
        <v>Chicago, IL</v>
      </c>
    </row>
    <row r="2280" spans="2:8" x14ac:dyDescent="0.2">
      <c r="B2280" s="27" t="s">
        <v>240</v>
      </c>
      <c r="C2280" s="28" t="s">
        <v>969</v>
      </c>
      <c r="D2280" s="29" t="s">
        <v>52</v>
      </c>
      <c r="E2280" s="30" t="s">
        <v>947</v>
      </c>
      <c r="F2280" s="28" t="s">
        <v>356</v>
      </c>
      <c r="G2280" s="30" t="s">
        <v>719</v>
      </c>
      <c r="H2280" t="str">
        <f>CONCATENATE(Prequal[[#This Row],[CITY]], ", ",Prequal[[#This Row],[STATE]])</f>
        <v>Chicago, IL</v>
      </c>
    </row>
    <row r="2281" spans="2:8" x14ac:dyDescent="0.2">
      <c r="B2281" s="27" t="s">
        <v>240</v>
      </c>
      <c r="C2281" s="28" t="s">
        <v>969</v>
      </c>
      <c r="D2281" s="29" t="s">
        <v>14</v>
      </c>
      <c r="E2281" s="30" t="s">
        <v>947</v>
      </c>
      <c r="F2281" s="28" t="s">
        <v>356</v>
      </c>
      <c r="G2281" s="30" t="s">
        <v>719</v>
      </c>
      <c r="H2281" t="str">
        <f>CONCATENATE(Prequal[[#This Row],[CITY]], ", ",Prequal[[#This Row],[STATE]])</f>
        <v>Chicago, IL</v>
      </c>
    </row>
    <row r="2282" spans="2:8" x14ac:dyDescent="0.2">
      <c r="B2282" s="27" t="s">
        <v>240</v>
      </c>
      <c r="C2282" s="28" t="s">
        <v>969</v>
      </c>
      <c r="D2282" s="29" t="s">
        <v>15</v>
      </c>
      <c r="E2282" s="30" t="s">
        <v>947</v>
      </c>
      <c r="F2282" s="28" t="s">
        <v>356</v>
      </c>
      <c r="G2282" s="30" t="s">
        <v>719</v>
      </c>
      <c r="H2282" t="str">
        <f>CONCATENATE(Prequal[[#This Row],[CITY]], ", ",Prequal[[#This Row],[STATE]])</f>
        <v>Chicago, IL</v>
      </c>
    </row>
    <row r="2283" spans="2:8" x14ac:dyDescent="0.2">
      <c r="B2283" s="27" t="s">
        <v>240</v>
      </c>
      <c r="C2283" s="28" t="s">
        <v>969</v>
      </c>
      <c r="D2283" s="29" t="s">
        <v>30</v>
      </c>
      <c r="E2283" s="30" t="s">
        <v>947</v>
      </c>
      <c r="F2283" s="28" t="s">
        <v>356</v>
      </c>
      <c r="G2283" s="30" t="s">
        <v>719</v>
      </c>
      <c r="H2283" t="str">
        <f>CONCATENATE(Prequal[[#This Row],[CITY]], ", ",Prequal[[#This Row],[STATE]])</f>
        <v>Chicago, IL</v>
      </c>
    </row>
    <row r="2284" spans="2:8" x14ac:dyDescent="0.2">
      <c r="B2284" s="27" t="s">
        <v>240</v>
      </c>
      <c r="C2284" s="28" t="s">
        <v>969</v>
      </c>
      <c r="D2284" s="29" t="s">
        <v>53</v>
      </c>
      <c r="E2284" s="30" t="s">
        <v>947</v>
      </c>
      <c r="F2284" s="28" t="s">
        <v>356</v>
      </c>
      <c r="G2284" s="30" t="s">
        <v>719</v>
      </c>
      <c r="H2284" t="str">
        <f>CONCATENATE(Prequal[[#This Row],[CITY]], ", ",Prequal[[#This Row],[STATE]])</f>
        <v>Chicago, IL</v>
      </c>
    </row>
    <row r="2285" spans="2:8" x14ac:dyDescent="0.2">
      <c r="B2285" s="27" t="s">
        <v>240</v>
      </c>
      <c r="C2285" s="28" t="s">
        <v>969</v>
      </c>
      <c r="D2285" s="29" t="s">
        <v>31</v>
      </c>
      <c r="E2285" s="30" t="s">
        <v>947</v>
      </c>
      <c r="F2285" s="28" t="s">
        <v>356</v>
      </c>
      <c r="G2285" s="30" t="s">
        <v>719</v>
      </c>
      <c r="H2285" t="str">
        <f>CONCATENATE(Prequal[[#This Row],[CITY]], ", ",Prequal[[#This Row],[STATE]])</f>
        <v>Chicago, IL</v>
      </c>
    </row>
    <row r="2286" spans="2:8" x14ac:dyDescent="0.2">
      <c r="B2286" s="27" t="s">
        <v>240</v>
      </c>
      <c r="C2286" s="28" t="s">
        <v>969</v>
      </c>
      <c r="D2286" s="29" t="s">
        <v>32</v>
      </c>
      <c r="E2286" s="30" t="s">
        <v>947</v>
      </c>
      <c r="F2286" s="28" t="s">
        <v>356</v>
      </c>
      <c r="G2286" s="30" t="s">
        <v>719</v>
      </c>
      <c r="H2286" t="str">
        <f>CONCATENATE(Prequal[[#This Row],[CITY]], ", ",Prequal[[#This Row],[STATE]])</f>
        <v>Chicago, IL</v>
      </c>
    </row>
    <row r="2287" spans="2:8" x14ac:dyDescent="0.2">
      <c r="B2287" s="27" t="s">
        <v>240</v>
      </c>
      <c r="C2287" s="28" t="s">
        <v>969</v>
      </c>
      <c r="D2287" s="29" t="s">
        <v>54</v>
      </c>
      <c r="E2287" s="30" t="s">
        <v>947</v>
      </c>
      <c r="F2287" s="28" t="s">
        <v>356</v>
      </c>
      <c r="G2287" s="30" t="s">
        <v>719</v>
      </c>
      <c r="H2287" t="str">
        <f>CONCATENATE(Prequal[[#This Row],[CITY]], ", ",Prequal[[#This Row],[STATE]])</f>
        <v>Chicago, IL</v>
      </c>
    </row>
    <row r="2288" spans="2:8" x14ac:dyDescent="0.2">
      <c r="B2288" s="27" t="s">
        <v>240</v>
      </c>
      <c r="C2288" s="28" t="s">
        <v>969</v>
      </c>
      <c r="D2288" s="29" t="s">
        <v>38</v>
      </c>
      <c r="E2288" s="30" t="s">
        <v>947</v>
      </c>
      <c r="F2288" s="28" t="s">
        <v>356</v>
      </c>
      <c r="G2288" s="30" t="s">
        <v>719</v>
      </c>
      <c r="H2288" t="str">
        <f>CONCATENATE(Prequal[[#This Row],[CITY]], ", ",Prequal[[#This Row],[STATE]])</f>
        <v>Chicago, IL</v>
      </c>
    </row>
    <row r="2289" spans="2:8" x14ac:dyDescent="0.2">
      <c r="B2289" s="27" t="s">
        <v>240</v>
      </c>
      <c r="C2289" s="28" t="s">
        <v>969</v>
      </c>
      <c r="D2289" s="29" t="s">
        <v>55</v>
      </c>
      <c r="E2289" s="30" t="s">
        <v>947</v>
      </c>
      <c r="F2289" s="28" t="s">
        <v>356</v>
      </c>
      <c r="G2289" s="30" t="s">
        <v>719</v>
      </c>
      <c r="H2289" t="str">
        <f>CONCATENATE(Prequal[[#This Row],[CITY]], ", ",Prequal[[#This Row],[STATE]])</f>
        <v>Chicago, IL</v>
      </c>
    </row>
    <row r="2290" spans="2:8" x14ac:dyDescent="0.2">
      <c r="B2290" s="27" t="s">
        <v>240</v>
      </c>
      <c r="C2290" s="28" t="s">
        <v>969</v>
      </c>
      <c r="D2290" s="29" t="s">
        <v>56</v>
      </c>
      <c r="E2290" s="30" t="s">
        <v>947</v>
      </c>
      <c r="F2290" s="28" t="s">
        <v>356</v>
      </c>
      <c r="G2290" s="30" t="s">
        <v>719</v>
      </c>
      <c r="H2290" t="str">
        <f>CONCATENATE(Prequal[[#This Row],[CITY]], ", ",Prequal[[#This Row],[STATE]])</f>
        <v>Chicago, IL</v>
      </c>
    </row>
    <row r="2291" spans="2:8" x14ac:dyDescent="0.2">
      <c r="B2291" s="27" t="s">
        <v>240</v>
      </c>
      <c r="C2291" s="28" t="s">
        <v>969</v>
      </c>
      <c r="D2291" s="29" t="s">
        <v>33</v>
      </c>
      <c r="E2291" s="30" t="s">
        <v>947</v>
      </c>
      <c r="F2291" s="28" t="s">
        <v>356</v>
      </c>
      <c r="G2291" s="30" t="s">
        <v>719</v>
      </c>
      <c r="H2291" t="str">
        <f>CONCATENATE(Prequal[[#This Row],[CITY]], ", ",Prequal[[#This Row],[STATE]])</f>
        <v>Chicago, IL</v>
      </c>
    </row>
    <row r="2292" spans="2:8" x14ac:dyDescent="0.2">
      <c r="B2292" s="27" t="s">
        <v>240</v>
      </c>
      <c r="C2292" s="28" t="s">
        <v>969</v>
      </c>
      <c r="D2292" s="29" t="s">
        <v>57</v>
      </c>
      <c r="E2292" s="30" t="s">
        <v>947</v>
      </c>
      <c r="F2292" s="28" t="s">
        <v>356</v>
      </c>
      <c r="G2292" s="30" t="s">
        <v>719</v>
      </c>
      <c r="H2292" t="str">
        <f>CONCATENATE(Prequal[[#This Row],[CITY]], ", ",Prequal[[#This Row],[STATE]])</f>
        <v>Chicago, IL</v>
      </c>
    </row>
    <row r="2293" spans="2:8" x14ac:dyDescent="0.2">
      <c r="B2293" s="27" t="s">
        <v>241</v>
      </c>
      <c r="C2293" s="28" t="s">
        <v>969</v>
      </c>
      <c r="D2293" s="29" t="s">
        <v>46</v>
      </c>
      <c r="E2293" s="30" t="s">
        <v>465</v>
      </c>
      <c r="F2293" s="28" t="s">
        <v>356</v>
      </c>
      <c r="G2293" s="30" t="s">
        <v>912</v>
      </c>
      <c r="H2293" t="str">
        <f>CONCATENATE(Prequal[[#This Row],[CITY]], ", ",Prequal[[#This Row],[STATE]])</f>
        <v>South Elgin, IL</v>
      </c>
    </row>
    <row r="2294" spans="2:8" x14ac:dyDescent="0.2">
      <c r="B2294" s="27" t="s">
        <v>241</v>
      </c>
      <c r="C2294" s="28" t="s">
        <v>969</v>
      </c>
      <c r="D2294" s="29" t="s">
        <v>47</v>
      </c>
      <c r="E2294" s="30" t="s">
        <v>465</v>
      </c>
      <c r="F2294" s="28" t="s">
        <v>356</v>
      </c>
      <c r="G2294" s="30" t="s">
        <v>912</v>
      </c>
      <c r="H2294" t="str">
        <f>CONCATENATE(Prequal[[#This Row],[CITY]], ", ",Prequal[[#This Row],[STATE]])</f>
        <v>South Elgin, IL</v>
      </c>
    </row>
    <row r="2295" spans="2:8" x14ac:dyDescent="0.2">
      <c r="B2295" s="27" t="s">
        <v>241</v>
      </c>
      <c r="C2295" s="28" t="s">
        <v>969</v>
      </c>
      <c r="D2295" s="29" t="s">
        <v>107</v>
      </c>
      <c r="E2295" s="30" t="s">
        <v>465</v>
      </c>
      <c r="F2295" s="28" t="s">
        <v>356</v>
      </c>
      <c r="G2295" s="30" t="s">
        <v>912</v>
      </c>
      <c r="H2295" t="str">
        <f>CONCATENATE(Prequal[[#This Row],[CITY]], ", ",Prequal[[#This Row],[STATE]])</f>
        <v>South Elgin, IL</v>
      </c>
    </row>
    <row r="2296" spans="2:8" x14ac:dyDescent="0.2">
      <c r="B2296" s="27" t="s">
        <v>241</v>
      </c>
      <c r="C2296" s="28" t="s">
        <v>969</v>
      </c>
      <c r="D2296" s="29" t="s">
        <v>108</v>
      </c>
      <c r="E2296" s="30" t="s">
        <v>465</v>
      </c>
      <c r="F2296" s="28" t="s">
        <v>356</v>
      </c>
      <c r="G2296" s="30" t="s">
        <v>912</v>
      </c>
      <c r="H2296" t="str">
        <f>CONCATENATE(Prequal[[#This Row],[CITY]], ", ",Prequal[[#This Row],[STATE]])</f>
        <v>South Elgin, IL</v>
      </c>
    </row>
    <row r="2297" spans="2:8" x14ac:dyDescent="0.2">
      <c r="B2297" s="27" t="s">
        <v>242</v>
      </c>
      <c r="C2297" s="28" t="s">
        <v>969</v>
      </c>
      <c r="D2297" s="29" t="s">
        <v>46</v>
      </c>
      <c r="E2297" s="30" t="s">
        <v>372</v>
      </c>
      <c r="F2297" s="28" t="s">
        <v>356</v>
      </c>
      <c r="G2297" s="30" t="s">
        <v>895</v>
      </c>
      <c r="H2297" t="str">
        <f>CONCATENATE(Prequal[[#This Row],[CITY]], ", ",Prequal[[#This Row],[STATE]])</f>
        <v>Champaign, IL</v>
      </c>
    </row>
    <row r="2298" spans="2:8" x14ac:dyDescent="0.2">
      <c r="B2298" s="27" t="s">
        <v>242</v>
      </c>
      <c r="C2298" s="28" t="s">
        <v>969</v>
      </c>
      <c r="D2298" s="29" t="s">
        <v>47</v>
      </c>
      <c r="E2298" s="30" t="s">
        <v>372</v>
      </c>
      <c r="F2298" s="28" t="s">
        <v>356</v>
      </c>
      <c r="G2298" s="30" t="s">
        <v>895</v>
      </c>
      <c r="H2298" t="str">
        <f>CONCATENATE(Prequal[[#This Row],[CITY]], ", ",Prequal[[#This Row],[STATE]])</f>
        <v>Champaign, IL</v>
      </c>
    </row>
    <row r="2299" spans="2:8" x14ac:dyDescent="0.2">
      <c r="B2299" s="27" t="s">
        <v>243</v>
      </c>
      <c r="C2299" s="28" t="s">
        <v>969</v>
      </c>
      <c r="D2299" s="29" t="s">
        <v>4</v>
      </c>
      <c r="E2299" s="30" t="s">
        <v>466</v>
      </c>
      <c r="F2299" s="28" t="s">
        <v>356</v>
      </c>
      <c r="G2299" s="30" t="s">
        <v>720</v>
      </c>
      <c r="H2299" t="str">
        <f>CONCATENATE(Prequal[[#This Row],[CITY]], ", ",Prequal[[#This Row],[STATE]])</f>
        <v>East Peoria, IL</v>
      </c>
    </row>
    <row r="2300" spans="2:8" x14ac:dyDescent="0.2">
      <c r="B2300" s="27" t="s">
        <v>243</v>
      </c>
      <c r="C2300" s="28" t="s">
        <v>969</v>
      </c>
      <c r="D2300" s="29" t="s">
        <v>5</v>
      </c>
      <c r="E2300" s="30" t="s">
        <v>466</v>
      </c>
      <c r="F2300" s="28" t="s">
        <v>356</v>
      </c>
      <c r="G2300" s="30" t="s">
        <v>720</v>
      </c>
      <c r="H2300" t="str">
        <f>CONCATENATE(Prequal[[#This Row],[CITY]], ", ",Prequal[[#This Row],[STATE]])</f>
        <v>East Peoria, IL</v>
      </c>
    </row>
    <row r="2301" spans="2:8" x14ac:dyDescent="0.2">
      <c r="B2301" s="27" t="s">
        <v>243</v>
      </c>
      <c r="C2301" s="28" t="s">
        <v>969</v>
      </c>
      <c r="D2301" s="29" t="s">
        <v>6</v>
      </c>
      <c r="E2301" s="30" t="s">
        <v>466</v>
      </c>
      <c r="F2301" s="28" t="s">
        <v>356</v>
      </c>
      <c r="G2301" s="30" t="s">
        <v>720</v>
      </c>
      <c r="H2301" t="str">
        <f>CONCATENATE(Prequal[[#This Row],[CITY]], ", ",Prequal[[#This Row],[STATE]])</f>
        <v>East Peoria, IL</v>
      </c>
    </row>
    <row r="2302" spans="2:8" x14ac:dyDescent="0.2">
      <c r="B2302" s="27" t="s">
        <v>243</v>
      </c>
      <c r="C2302" s="28" t="s">
        <v>969</v>
      </c>
      <c r="D2302" s="29" t="s">
        <v>8</v>
      </c>
      <c r="E2302" s="30" t="s">
        <v>466</v>
      </c>
      <c r="F2302" s="28" t="s">
        <v>356</v>
      </c>
      <c r="G2302" s="30" t="s">
        <v>720</v>
      </c>
      <c r="H2302" t="str">
        <f>CONCATENATE(Prequal[[#This Row],[CITY]], ", ",Prequal[[#This Row],[STATE]])</f>
        <v>East Peoria, IL</v>
      </c>
    </row>
    <row r="2303" spans="2:8" x14ac:dyDescent="0.2">
      <c r="B2303" s="27" t="s">
        <v>243</v>
      </c>
      <c r="C2303" s="28" t="s">
        <v>969</v>
      </c>
      <c r="D2303" s="29" t="s">
        <v>24</v>
      </c>
      <c r="E2303" s="30" t="s">
        <v>466</v>
      </c>
      <c r="F2303" s="28" t="s">
        <v>356</v>
      </c>
      <c r="G2303" s="30" t="s">
        <v>720</v>
      </c>
      <c r="H2303" t="str">
        <f>CONCATENATE(Prequal[[#This Row],[CITY]], ", ",Prequal[[#This Row],[STATE]])</f>
        <v>East Peoria, IL</v>
      </c>
    </row>
    <row r="2304" spans="2:8" x14ac:dyDescent="0.2">
      <c r="B2304" s="27" t="s">
        <v>243</v>
      </c>
      <c r="C2304" s="28" t="s">
        <v>969</v>
      </c>
      <c r="D2304" s="29" t="s">
        <v>25</v>
      </c>
      <c r="E2304" s="30" t="s">
        <v>466</v>
      </c>
      <c r="F2304" s="28" t="s">
        <v>356</v>
      </c>
      <c r="G2304" s="30" t="s">
        <v>720</v>
      </c>
      <c r="H2304" t="str">
        <f>CONCATENATE(Prequal[[#This Row],[CITY]], ", ",Prequal[[#This Row],[STATE]])</f>
        <v>East Peoria, IL</v>
      </c>
    </row>
    <row r="2305" spans="2:8" x14ac:dyDescent="0.2">
      <c r="B2305" s="27" t="s">
        <v>243</v>
      </c>
      <c r="C2305" s="28" t="s">
        <v>969</v>
      </c>
      <c r="D2305" s="29" t="s">
        <v>9</v>
      </c>
      <c r="E2305" s="30" t="s">
        <v>466</v>
      </c>
      <c r="F2305" s="28" t="s">
        <v>356</v>
      </c>
      <c r="G2305" s="30" t="s">
        <v>720</v>
      </c>
      <c r="H2305" t="str">
        <f>CONCATENATE(Prequal[[#This Row],[CITY]], ", ",Prequal[[#This Row],[STATE]])</f>
        <v>East Peoria, IL</v>
      </c>
    </row>
    <row r="2306" spans="2:8" x14ac:dyDescent="0.2">
      <c r="B2306" s="27" t="s">
        <v>243</v>
      </c>
      <c r="C2306" s="28" t="s">
        <v>969</v>
      </c>
      <c r="D2306" s="29" t="s">
        <v>27</v>
      </c>
      <c r="E2306" s="30" t="s">
        <v>466</v>
      </c>
      <c r="F2306" s="28" t="s">
        <v>356</v>
      </c>
      <c r="G2306" s="30" t="s">
        <v>720</v>
      </c>
      <c r="H2306" t="str">
        <f>CONCATENATE(Prequal[[#This Row],[CITY]], ", ",Prequal[[#This Row],[STATE]])</f>
        <v>East Peoria, IL</v>
      </c>
    </row>
    <row r="2307" spans="2:8" x14ac:dyDescent="0.2">
      <c r="B2307" s="27" t="s">
        <v>243</v>
      </c>
      <c r="C2307" s="28" t="s">
        <v>969</v>
      </c>
      <c r="D2307" s="29" t="s">
        <v>10</v>
      </c>
      <c r="E2307" s="30" t="s">
        <v>466</v>
      </c>
      <c r="F2307" s="28" t="s">
        <v>356</v>
      </c>
      <c r="G2307" s="30" t="s">
        <v>720</v>
      </c>
      <c r="H2307" t="str">
        <f>CONCATENATE(Prequal[[#This Row],[CITY]], ", ",Prequal[[#This Row],[STATE]])</f>
        <v>East Peoria, IL</v>
      </c>
    </row>
    <row r="2308" spans="2:8" x14ac:dyDescent="0.2">
      <c r="B2308" s="27" t="s">
        <v>243</v>
      </c>
      <c r="C2308" s="28" t="s">
        <v>969</v>
      </c>
      <c r="D2308" s="29" t="s">
        <v>21</v>
      </c>
      <c r="E2308" s="30" t="s">
        <v>466</v>
      </c>
      <c r="F2308" s="28" t="s">
        <v>356</v>
      </c>
      <c r="G2308" s="30" t="s">
        <v>720</v>
      </c>
      <c r="H2308" t="str">
        <f>CONCATENATE(Prequal[[#This Row],[CITY]], ", ",Prequal[[#This Row],[STATE]])</f>
        <v>East Peoria, IL</v>
      </c>
    </row>
    <row r="2309" spans="2:8" x14ac:dyDescent="0.2">
      <c r="B2309" s="27" t="s">
        <v>243</v>
      </c>
      <c r="C2309" s="28" t="s">
        <v>969</v>
      </c>
      <c r="D2309" s="29" t="s">
        <v>11</v>
      </c>
      <c r="E2309" s="30" t="s">
        <v>466</v>
      </c>
      <c r="F2309" s="28" t="s">
        <v>356</v>
      </c>
      <c r="G2309" s="30" t="s">
        <v>720</v>
      </c>
      <c r="H2309" t="str">
        <f>CONCATENATE(Prequal[[#This Row],[CITY]], ", ",Prequal[[#This Row],[STATE]])</f>
        <v>East Peoria, IL</v>
      </c>
    </row>
    <row r="2310" spans="2:8" x14ac:dyDescent="0.2">
      <c r="B2310" s="27" t="s">
        <v>243</v>
      </c>
      <c r="C2310" s="28" t="s">
        <v>969</v>
      </c>
      <c r="D2310" s="29" t="s">
        <v>12</v>
      </c>
      <c r="E2310" s="30" t="s">
        <v>466</v>
      </c>
      <c r="F2310" s="28" t="s">
        <v>356</v>
      </c>
      <c r="G2310" s="30" t="s">
        <v>720</v>
      </c>
      <c r="H2310" t="str">
        <f>CONCATENATE(Prequal[[#This Row],[CITY]], ", ",Prequal[[#This Row],[STATE]])</f>
        <v>East Peoria, IL</v>
      </c>
    </row>
    <row r="2311" spans="2:8" x14ac:dyDescent="0.2">
      <c r="B2311" s="27" t="s">
        <v>243</v>
      </c>
      <c r="C2311" s="28" t="s">
        <v>969</v>
      </c>
      <c r="D2311" s="29" t="s">
        <v>29</v>
      </c>
      <c r="E2311" s="30" t="s">
        <v>466</v>
      </c>
      <c r="F2311" s="28" t="s">
        <v>356</v>
      </c>
      <c r="G2311" s="30" t="s">
        <v>720</v>
      </c>
      <c r="H2311" t="str">
        <f>CONCATENATE(Prequal[[#This Row],[CITY]], ", ",Prequal[[#This Row],[STATE]])</f>
        <v>East Peoria, IL</v>
      </c>
    </row>
    <row r="2312" spans="2:8" x14ac:dyDescent="0.2">
      <c r="B2312" s="27" t="s">
        <v>243</v>
      </c>
      <c r="C2312" s="28" t="s">
        <v>969</v>
      </c>
      <c r="D2312" s="29" t="s">
        <v>37</v>
      </c>
      <c r="E2312" s="30" t="s">
        <v>466</v>
      </c>
      <c r="F2312" s="28" t="s">
        <v>356</v>
      </c>
      <c r="G2312" s="30" t="s">
        <v>720</v>
      </c>
      <c r="H2312" t="str">
        <f>CONCATENATE(Prequal[[#This Row],[CITY]], ", ",Prequal[[#This Row],[STATE]])</f>
        <v>East Peoria, IL</v>
      </c>
    </row>
    <row r="2313" spans="2:8" x14ac:dyDescent="0.2">
      <c r="B2313" s="27" t="s">
        <v>243</v>
      </c>
      <c r="C2313" s="28" t="s">
        <v>969</v>
      </c>
      <c r="D2313" s="29" t="s">
        <v>13</v>
      </c>
      <c r="E2313" s="30" t="s">
        <v>466</v>
      </c>
      <c r="F2313" s="28" t="s">
        <v>356</v>
      </c>
      <c r="G2313" s="30" t="s">
        <v>720</v>
      </c>
      <c r="H2313" t="str">
        <f>CONCATENATE(Prequal[[#This Row],[CITY]], ", ",Prequal[[#This Row],[STATE]])</f>
        <v>East Peoria, IL</v>
      </c>
    </row>
    <row r="2314" spans="2:8" x14ac:dyDescent="0.2">
      <c r="B2314" s="27" t="s">
        <v>243</v>
      </c>
      <c r="C2314" s="28" t="s">
        <v>969</v>
      </c>
      <c r="D2314" s="29" t="s">
        <v>14</v>
      </c>
      <c r="E2314" s="30" t="s">
        <v>466</v>
      </c>
      <c r="F2314" s="28" t="s">
        <v>356</v>
      </c>
      <c r="G2314" s="30" t="s">
        <v>720</v>
      </c>
      <c r="H2314" t="str">
        <f>CONCATENATE(Prequal[[#This Row],[CITY]], ", ",Prequal[[#This Row],[STATE]])</f>
        <v>East Peoria, IL</v>
      </c>
    </row>
    <row r="2315" spans="2:8" x14ac:dyDescent="0.2">
      <c r="B2315" s="27" t="s">
        <v>243</v>
      </c>
      <c r="C2315" s="28" t="s">
        <v>969</v>
      </c>
      <c r="D2315" s="29" t="s">
        <v>15</v>
      </c>
      <c r="E2315" s="30" t="s">
        <v>466</v>
      </c>
      <c r="F2315" s="28" t="s">
        <v>356</v>
      </c>
      <c r="G2315" s="30" t="s">
        <v>720</v>
      </c>
      <c r="H2315" t="str">
        <f>CONCATENATE(Prequal[[#This Row],[CITY]], ", ",Prequal[[#This Row],[STATE]])</f>
        <v>East Peoria, IL</v>
      </c>
    </row>
    <row r="2316" spans="2:8" x14ac:dyDescent="0.2">
      <c r="B2316" s="27" t="s">
        <v>243</v>
      </c>
      <c r="C2316" s="28" t="s">
        <v>969</v>
      </c>
      <c r="D2316" s="29" t="s">
        <v>31</v>
      </c>
      <c r="E2316" s="30" t="s">
        <v>466</v>
      </c>
      <c r="F2316" s="28" t="s">
        <v>356</v>
      </c>
      <c r="G2316" s="30" t="s">
        <v>720</v>
      </c>
      <c r="H2316" t="str">
        <f>CONCATENATE(Prequal[[#This Row],[CITY]], ", ",Prequal[[#This Row],[STATE]])</f>
        <v>East Peoria, IL</v>
      </c>
    </row>
    <row r="2317" spans="2:8" x14ac:dyDescent="0.2">
      <c r="B2317" s="27" t="s">
        <v>243</v>
      </c>
      <c r="C2317" s="28" t="s">
        <v>969</v>
      </c>
      <c r="D2317" s="29" t="s">
        <v>32</v>
      </c>
      <c r="E2317" s="30" t="s">
        <v>466</v>
      </c>
      <c r="F2317" s="28" t="s">
        <v>356</v>
      </c>
      <c r="G2317" s="30" t="s">
        <v>720</v>
      </c>
      <c r="H2317" t="str">
        <f>CONCATENATE(Prequal[[#This Row],[CITY]], ", ",Prequal[[#This Row],[STATE]])</f>
        <v>East Peoria, IL</v>
      </c>
    </row>
    <row r="2318" spans="2:8" x14ac:dyDescent="0.2">
      <c r="B2318" s="27" t="s">
        <v>244</v>
      </c>
      <c r="C2318" s="28" t="s">
        <v>969</v>
      </c>
      <c r="D2318" s="29" t="s">
        <v>5</v>
      </c>
      <c r="E2318" s="30" t="s">
        <v>467</v>
      </c>
      <c r="F2318" s="28" t="s">
        <v>356</v>
      </c>
      <c r="G2318" s="30" t="s">
        <v>721</v>
      </c>
      <c r="H2318" t="str">
        <f>CONCATENATE(Prequal[[#This Row],[CITY]], ", ",Prequal[[#This Row],[STATE]])</f>
        <v>Effingham, IL</v>
      </c>
    </row>
    <row r="2319" spans="2:8" x14ac:dyDescent="0.2">
      <c r="B2319" s="27" t="s">
        <v>244</v>
      </c>
      <c r="C2319" s="28" t="s">
        <v>969</v>
      </c>
      <c r="D2319" s="29" t="s">
        <v>27</v>
      </c>
      <c r="E2319" s="30" t="s">
        <v>467</v>
      </c>
      <c r="F2319" s="28" t="s">
        <v>356</v>
      </c>
      <c r="G2319" s="30" t="s">
        <v>721</v>
      </c>
      <c r="H2319" t="str">
        <f>CONCATENATE(Prequal[[#This Row],[CITY]], ", ",Prequal[[#This Row],[STATE]])</f>
        <v>Effingham, IL</v>
      </c>
    </row>
    <row r="2320" spans="2:8" x14ac:dyDescent="0.2">
      <c r="B2320" s="27" t="s">
        <v>244</v>
      </c>
      <c r="C2320" s="28" t="s">
        <v>969</v>
      </c>
      <c r="D2320" s="29" t="s">
        <v>10</v>
      </c>
      <c r="E2320" s="30" t="s">
        <v>467</v>
      </c>
      <c r="F2320" s="28" t="s">
        <v>356</v>
      </c>
      <c r="G2320" s="30" t="s">
        <v>721</v>
      </c>
      <c r="H2320" t="str">
        <f>CONCATENATE(Prequal[[#This Row],[CITY]], ", ",Prequal[[#This Row],[STATE]])</f>
        <v>Effingham, IL</v>
      </c>
    </row>
    <row r="2321" spans="2:8" x14ac:dyDescent="0.2">
      <c r="B2321" s="27" t="s">
        <v>244</v>
      </c>
      <c r="C2321" s="28" t="s">
        <v>969</v>
      </c>
      <c r="D2321" s="29" t="s">
        <v>29</v>
      </c>
      <c r="E2321" s="30" t="s">
        <v>467</v>
      </c>
      <c r="F2321" s="28" t="s">
        <v>356</v>
      </c>
      <c r="G2321" s="30" t="s">
        <v>721</v>
      </c>
      <c r="H2321" t="str">
        <f>CONCATENATE(Prequal[[#This Row],[CITY]], ", ",Prequal[[#This Row],[STATE]])</f>
        <v>Effingham, IL</v>
      </c>
    </row>
    <row r="2322" spans="2:8" x14ac:dyDescent="0.2">
      <c r="B2322" s="27" t="s">
        <v>244</v>
      </c>
      <c r="C2322" s="28" t="s">
        <v>969</v>
      </c>
      <c r="D2322" s="29" t="s">
        <v>14</v>
      </c>
      <c r="E2322" s="30" t="s">
        <v>467</v>
      </c>
      <c r="F2322" s="28" t="s">
        <v>356</v>
      </c>
      <c r="G2322" s="30" t="s">
        <v>721</v>
      </c>
      <c r="H2322" t="str">
        <f>CONCATENATE(Prequal[[#This Row],[CITY]], ", ",Prequal[[#This Row],[STATE]])</f>
        <v>Effingham, IL</v>
      </c>
    </row>
    <row r="2323" spans="2:8" x14ac:dyDescent="0.2">
      <c r="B2323" s="27" t="s">
        <v>994</v>
      </c>
      <c r="C2323" s="28" t="s">
        <v>969</v>
      </c>
      <c r="D2323" s="29" t="s">
        <v>125</v>
      </c>
      <c r="E2323" s="30" t="s">
        <v>947</v>
      </c>
      <c r="F2323" s="28" t="s">
        <v>356</v>
      </c>
      <c r="G2323" s="30" t="s">
        <v>995</v>
      </c>
      <c r="H2323" t="str">
        <f>CONCATENATE(Prequal[[#This Row],[CITY]], ", ",Prequal[[#This Row],[STATE]])</f>
        <v>Chicago, IL</v>
      </c>
    </row>
    <row r="2324" spans="2:8" x14ac:dyDescent="0.2">
      <c r="B2324" s="27" t="s">
        <v>994</v>
      </c>
      <c r="C2324" s="28" t="s">
        <v>969</v>
      </c>
      <c r="D2324" s="29" t="s">
        <v>4</v>
      </c>
      <c r="E2324" s="30" t="s">
        <v>947</v>
      </c>
      <c r="F2324" s="28" t="s">
        <v>356</v>
      </c>
      <c r="G2324" s="30" t="s">
        <v>995</v>
      </c>
      <c r="H2324" t="str">
        <f>CONCATENATE(Prequal[[#This Row],[CITY]], ", ",Prequal[[#This Row],[STATE]])</f>
        <v>Chicago, IL</v>
      </c>
    </row>
    <row r="2325" spans="2:8" x14ac:dyDescent="0.2">
      <c r="B2325" s="27" t="s">
        <v>994</v>
      </c>
      <c r="C2325" s="28" t="s">
        <v>969</v>
      </c>
      <c r="D2325" s="29" t="s">
        <v>5</v>
      </c>
      <c r="E2325" s="30" t="s">
        <v>947</v>
      </c>
      <c r="F2325" s="28" t="s">
        <v>356</v>
      </c>
      <c r="G2325" s="30" t="s">
        <v>995</v>
      </c>
      <c r="H2325" t="str">
        <f>CONCATENATE(Prequal[[#This Row],[CITY]], ", ",Prequal[[#This Row],[STATE]])</f>
        <v>Chicago, IL</v>
      </c>
    </row>
    <row r="2326" spans="2:8" x14ac:dyDescent="0.2">
      <c r="B2326" s="27" t="s">
        <v>994</v>
      </c>
      <c r="C2326" s="28" t="s">
        <v>969</v>
      </c>
      <c r="D2326" s="29" t="s">
        <v>7</v>
      </c>
      <c r="E2326" s="30" t="s">
        <v>947</v>
      </c>
      <c r="F2326" s="28" t="s">
        <v>356</v>
      </c>
      <c r="G2326" s="30" t="s">
        <v>995</v>
      </c>
      <c r="H2326" t="str">
        <f>CONCATENATE(Prequal[[#This Row],[CITY]], ", ",Prequal[[#This Row],[STATE]])</f>
        <v>Chicago, IL</v>
      </c>
    </row>
    <row r="2327" spans="2:8" x14ac:dyDescent="0.2">
      <c r="B2327" s="27" t="s">
        <v>994</v>
      </c>
      <c r="C2327" s="28" t="s">
        <v>969</v>
      </c>
      <c r="D2327" s="29" t="s">
        <v>8</v>
      </c>
      <c r="E2327" s="30" t="s">
        <v>947</v>
      </c>
      <c r="F2327" s="28" t="s">
        <v>356</v>
      </c>
      <c r="G2327" s="30" t="s">
        <v>995</v>
      </c>
      <c r="H2327" t="str">
        <f>CONCATENATE(Prequal[[#This Row],[CITY]], ", ",Prequal[[#This Row],[STATE]])</f>
        <v>Chicago, IL</v>
      </c>
    </row>
    <row r="2328" spans="2:8" x14ac:dyDescent="0.2">
      <c r="B2328" s="27" t="s">
        <v>994</v>
      </c>
      <c r="C2328" s="28" t="s">
        <v>969</v>
      </c>
      <c r="D2328" s="29" t="s">
        <v>25</v>
      </c>
      <c r="E2328" s="30" t="s">
        <v>947</v>
      </c>
      <c r="F2328" s="28" t="s">
        <v>356</v>
      </c>
      <c r="G2328" s="30" t="s">
        <v>995</v>
      </c>
      <c r="H2328" t="str">
        <f>CONCATENATE(Prequal[[#This Row],[CITY]], ", ",Prequal[[#This Row],[STATE]])</f>
        <v>Chicago, IL</v>
      </c>
    </row>
    <row r="2329" spans="2:8" x14ac:dyDescent="0.2">
      <c r="B2329" s="27" t="s">
        <v>994</v>
      </c>
      <c r="C2329" s="28" t="s">
        <v>969</v>
      </c>
      <c r="D2329" s="29" t="s">
        <v>9</v>
      </c>
      <c r="E2329" s="30" t="s">
        <v>947</v>
      </c>
      <c r="F2329" s="28" t="s">
        <v>356</v>
      </c>
      <c r="G2329" s="30" t="s">
        <v>995</v>
      </c>
      <c r="H2329" t="str">
        <f>CONCATENATE(Prequal[[#This Row],[CITY]], ", ",Prequal[[#This Row],[STATE]])</f>
        <v>Chicago, IL</v>
      </c>
    </row>
    <row r="2330" spans="2:8" x14ac:dyDescent="0.2">
      <c r="B2330" s="27" t="s">
        <v>994</v>
      </c>
      <c r="C2330" s="28" t="s">
        <v>969</v>
      </c>
      <c r="D2330" s="29" t="s">
        <v>49</v>
      </c>
      <c r="E2330" s="30" t="s">
        <v>947</v>
      </c>
      <c r="F2330" s="28" t="s">
        <v>356</v>
      </c>
      <c r="G2330" s="30" t="s">
        <v>995</v>
      </c>
      <c r="H2330" t="str">
        <f>CONCATENATE(Prequal[[#This Row],[CITY]], ", ",Prequal[[#This Row],[STATE]])</f>
        <v>Chicago, IL</v>
      </c>
    </row>
    <row r="2331" spans="2:8" x14ac:dyDescent="0.2">
      <c r="B2331" s="27" t="s">
        <v>994</v>
      </c>
      <c r="C2331" s="28" t="s">
        <v>969</v>
      </c>
      <c r="D2331" s="29" t="s">
        <v>59</v>
      </c>
      <c r="E2331" s="30" t="s">
        <v>947</v>
      </c>
      <c r="F2331" s="28" t="s">
        <v>356</v>
      </c>
      <c r="G2331" s="30" t="s">
        <v>995</v>
      </c>
      <c r="H2331" t="str">
        <f>CONCATENATE(Prequal[[#This Row],[CITY]], ", ",Prequal[[#This Row],[STATE]])</f>
        <v>Chicago, IL</v>
      </c>
    </row>
    <row r="2332" spans="2:8" x14ac:dyDescent="0.2">
      <c r="B2332" s="27" t="s">
        <v>994</v>
      </c>
      <c r="C2332" s="28" t="s">
        <v>969</v>
      </c>
      <c r="D2332" s="29" t="s">
        <v>10</v>
      </c>
      <c r="E2332" s="30" t="s">
        <v>947</v>
      </c>
      <c r="F2332" s="28" t="s">
        <v>356</v>
      </c>
      <c r="G2332" s="30" t="s">
        <v>995</v>
      </c>
      <c r="H2332" t="str">
        <f>CONCATENATE(Prequal[[#This Row],[CITY]], ", ",Prequal[[#This Row],[STATE]])</f>
        <v>Chicago, IL</v>
      </c>
    </row>
    <row r="2333" spans="2:8" x14ac:dyDescent="0.2">
      <c r="B2333" s="27" t="s">
        <v>994</v>
      </c>
      <c r="C2333" s="28" t="s">
        <v>969</v>
      </c>
      <c r="D2333" s="29" t="s">
        <v>21</v>
      </c>
      <c r="E2333" s="30" t="s">
        <v>947</v>
      </c>
      <c r="F2333" s="28" t="s">
        <v>356</v>
      </c>
      <c r="G2333" s="30" t="s">
        <v>995</v>
      </c>
      <c r="H2333" t="str">
        <f>CONCATENATE(Prequal[[#This Row],[CITY]], ", ",Prequal[[#This Row],[STATE]])</f>
        <v>Chicago, IL</v>
      </c>
    </row>
    <row r="2334" spans="2:8" x14ac:dyDescent="0.2">
      <c r="B2334" s="27" t="s">
        <v>994</v>
      </c>
      <c r="C2334" s="28" t="s">
        <v>969</v>
      </c>
      <c r="D2334" s="29" t="s">
        <v>22</v>
      </c>
      <c r="E2334" s="30" t="s">
        <v>947</v>
      </c>
      <c r="F2334" s="28" t="s">
        <v>356</v>
      </c>
      <c r="G2334" s="30" t="s">
        <v>995</v>
      </c>
      <c r="H2334" t="str">
        <f>CONCATENATE(Prequal[[#This Row],[CITY]], ", ",Prequal[[#This Row],[STATE]])</f>
        <v>Chicago, IL</v>
      </c>
    </row>
    <row r="2335" spans="2:8" x14ac:dyDescent="0.2">
      <c r="B2335" s="27" t="s">
        <v>994</v>
      </c>
      <c r="C2335" s="28" t="s">
        <v>969</v>
      </c>
      <c r="D2335" s="29" t="s">
        <v>51</v>
      </c>
      <c r="E2335" s="30" t="s">
        <v>947</v>
      </c>
      <c r="F2335" s="28" t="s">
        <v>356</v>
      </c>
      <c r="G2335" s="30" t="s">
        <v>995</v>
      </c>
      <c r="H2335" t="str">
        <f>CONCATENATE(Prequal[[#This Row],[CITY]], ", ",Prequal[[#This Row],[STATE]])</f>
        <v>Chicago, IL</v>
      </c>
    </row>
    <row r="2336" spans="2:8" x14ac:dyDescent="0.2">
      <c r="B2336" s="27" t="s">
        <v>994</v>
      </c>
      <c r="C2336" s="28" t="s">
        <v>969</v>
      </c>
      <c r="D2336" s="29" t="s">
        <v>12</v>
      </c>
      <c r="E2336" s="30" t="s">
        <v>947</v>
      </c>
      <c r="F2336" s="28" t="s">
        <v>356</v>
      </c>
      <c r="G2336" s="30" t="s">
        <v>995</v>
      </c>
      <c r="H2336" t="str">
        <f>CONCATENATE(Prequal[[#This Row],[CITY]], ", ",Prequal[[#This Row],[STATE]])</f>
        <v>Chicago, IL</v>
      </c>
    </row>
    <row r="2337" spans="2:8" x14ac:dyDescent="0.2">
      <c r="B2337" s="27" t="s">
        <v>994</v>
      </c>
      <c r="C2337" s="28" t="s">
        <v>969</v>
      </c>
      <c r="D2337" s="29" t="s">
        <v>37</v>
      </c>
      <c r="E2337" s="30" t="s">
        <v>947</v>
      </c>
      <c r="F2337" s="28" t="s">
        <v>356</v>
      </c>
      <c r="G2337" s="30" t="s">
        <v>995</v>
      </c>
      <c r="H2337" t="str">
        <f>CONCATENATE(Prequal[[#This Row],[CITY]], ", ",Prequal[[#This Row],[STATE]])</f>
        <v>Chicago, IL</v>
      </c>
    </row>
    <row r="2338" spans="2:8" x14ac:dyDescent="0.2">
      <c r="B2338" s="27" t="s">
        <v>994</v>
      </c>
      <c r="C2338" s="28" t="s">
        <v>969</v>
      </c>
      <c r="D2338" s="29" t="s">
        <v>13</v>
      </c>
      <c r="E2338" s="30" t="s">
        <v>947</v>
      </c>
      <c r="F2338" s="28" t="s">
        <v>356</v>
      </c>
      <c r="G2338" s="30" t="s">
        <v>995</v>
      </c>
      <c r="H2338" t="str">
        <f>CONCATENATE(Prequal[[#This Row],[CITY]], ", ",Prequal[[#This Row],[STATE]])</f>
        <v>Chicago, IL</v>
      </c>
    </row>
    <row r="2339" spans="2:8" x14ac:dyDescent="0.2">
      <c r="B2339" s="27" t="s">
        <v>994</v>
      </c>
      <c r="C2339" s="28" t="s">
        <v>969</v>
      </c>
      <c r="D2339" s="29" t="s">
        <v>14</v>
      </c>
      <c r="E2339" s="30" t="s">
        <v>947</v>
      </c>
      <c r="F2339" s="28" t="s">
        <v>356</v>
      </c>
      <c r="G2339" s="30" t="s">
        <v>995</v>
      </c>
      <c r="H2339" t="str">
        <f>CONCATENATE(Prequal[[#This Row],[CITY]], ", ",Prequal[[#This Row],[STATE]])</f>
        <v>Chicago, IL</v>
      </c>
    </row>
    <row r="2340" spans="2:8" x14ac:dyDescent="0.2">
      <c r="B2340" s="27" t="s">
        <v>994</v>
      </c>
      <c r="C2340" s="28" t="s">
        <v>969</v>
      </c>
      <c r="D2340" s="29" t="s">
        <v>15</v>
      </c>
      <c r="E2340" s="30" t="s">
        <v>947</v>
      </c>
      <c r="F2340" s="28" t="s">
        <v>356</v>
      </c>
      <c r="G2340" s="30" t="s">
        <v>995</v>
      </c>
      <c r="H2340" t="str">
        <f>CONCATENATE(Prequal[[#This Row],[CITY]], ", ",Prequal[[#This Row],[STATE]])</f>
        <v>Chicago, IL</v>
      </c>
    </row>
    <row r="2341" spans="2:8" x14ac:dyDescent="0.2">
      <c r="B2341" s="27" t="s">
        <v>994</v>
      </c>
      <c r="C2341" s="28" t="s">
        <v>969</v>
      </c>
      <c r="D2341" s="29" t="s">
        <v>31</v>
      </c>
      <c r="E2341" s="30" t="s">
        <v>947</v>
      </c>
      <c r="F2341" s="28" t="s">
        <v>356</v>
      </c>
      <c r="G2341" s="30" t="s">
        <v>995</v>
      </c>
      <c r="H2341" t="str">
        <f>CONCATENATE(Prequal[[#This Row],[CITY]], ", ",Prequal[[#This Row],[STATE]])</f>
        <v>Chicago, IL</v>
      </c>
    </row>
    <row r="2342" spans="2:8" x14ac:dyDescent="0.2">
      <c r="B2342" s="27" t="s">
        <v>994</v>
      </c>
      <c r="C2342" s="28" t="s">
        <v>969</v>
      </c>
      <c r="D2342" s="29" t="s">
        <v>32</v>
      </c>
      <c r="E2342" s="30" t="s">
        <v>947</v>
      </c>
      <c r="F2342" s="28" t="s">
        <v>356</v>
      </c>
      <c r="G2342" s="30" t="s">
        <v>995</v>
      </c>
      <c r="H2342" t="str">
        <f>CONCATENATE(Prequal[[#This Row],[CITY]], ", ",Prequal[[#This Row],[STATE]])</f>
        <v>Chicago, IL</v>
      </c>
    </row>
    <row r="2343" spans="2:8" x14ac:dyDescent="0.2">
      <c r="B2343" s="27" t="s">
        <v>994</v>
      </c>
      <c r="C2343" s="28" t="s">
        <v>969</v>
      </c>
      <c r="D2343" s="29" t="s">
        <v>54</v>
      </c>
      <c r="E2343" s="30" t="s">
        <v>947</v>
      </c>
      <c r="F2343" s="28" t="s">
        <v>356</v>
      </c>
      <c r="G2343" s="30" t="s">
        <v>995</v>
      </c>
      <c r="H2343" t="str">
        <f>CONCATENATE(Prequal[[#This Row],[CITY]], ", ",Prequal[[#This Row],[STATE]])</f>
        <v>Chicago, IL</v>
      </c>
    </row>
    <row r="2344" spans="2:8" x14ac:dyDescent="0.2">
      <c r="B2344" s="27" t="s">
        <v>245</v>
      </c>
      <c r="C2344" s="28" t="s">
        <v>970</v>
      </c>
      <c r="D2344" s="29" t="s">
        <v>46</v>
      </c>
      <c r="E2344" s="30" t="s">
        <v>468</v>
      </c>
      <c r="F2344" s="28" t="s">
        <v>356</v>
      </c>
      <c r="G2344" s="30" t="s">
        <v>722</v>
      </c>
      <c r="H2344" t="str">
        <f>CONCATENATE(Prequal[[#This Row],[CITY]], ", ",Prequal[[#This Row],[STATE]])</f>
        <v>Morton, IL</v>
      </c>
    </row>
    <row r="2345" spans="2:8" x14ac:dyDescent="0.2">
      <c r="B2345" s="27" t="s">
        <v>245</v>
      </c>
      <c r="C2345" s="28" t="s">
        <v>970</v>
      </c>
      <c r="D2345" s="29" t="s">
        <v>47</v>
      </c>
      <c r="E2345" s="30" t="s">
        <v>468</v>
      </c>
      <c r="F2345" s="28" t="s">
        <v>356</v>
      </c>
      <c r="G2345" s="30" t="s">
        <v>722</v>
      </c>
      <c r="H2345" t="str">
        <f>CONCATENATE(Prequal[[#This Row],[CITY]], ", ",Prequal[[#This Row],[STATE]])</f>
        <v>Morton, IL</v>
      </c>
    </row>
    <row r="2346" spans="2:8" x14ac:dyDescent="0.2">
      <c r="B2346" s="27" t="s">
        <v>245</v>
      </c>
      <c r="C2346" s="28" t="s">
        <v>970</v>
      </c>
      <c r="D2346" s="29" t="s">
        <v>48</v>
      </c>
      <c r="E2346" s="30" t="s">
        <v>468</v>
      </c>
      <c r="F2346" s="28" t="s">
        <v>356</v>
      </c>
      <c r="G2346" s="30" t="s">
        <v>722</v>
      </c>
      <c r="H2346" t="str">
        <f>CONCATENATE(Prequal[[#This Row],[CITY]], ", ",Prequal[[#This Row],[STATE]])</f>
        <v>Morton, IL</v>
      </c>
    </row>
    <row r="2347" spans="2:8" x14ac:dyDescent="0.2">
      <c r="B2347" s="27" t="s">
        <v>245</v>
      </c>
      <c r="C2347" s="28" t="s">
        <v>970</v>
      </c>
      <c r="D2347" s="29" t="s">
        <v>4</v>
      </c>
      <c r="E2347" s="30" t="s">
        <v>468</v>
      </c>
      <c r="F2347" s="28" t="s">
        <v>356</v>
      </c>
      <c r="G2347" s="30" t="s">
        <v>722</v>
      </c>
      <c r="H2347" t="str">
        <f>CONCATENATE(Prequal[[#This Row],[CITY]], ", ",Prequal[[#This Row],[STATE]])</f>
        <v>Morton, IL</v>
      </c>
    </row>
    <row r="2348" spans="2:8" x14ac:dyDescent="0.2">
      <c r="B2348" s="27" t="s">
        <v>245</v>
      </c>
      <c r="C2348" s="28" t="s">
        <v>970</v>
      </c>
      <c r="D2348" s="29" t="s">
        <v>5</v>
      </c>
      <c r="E2348" s="30" t="s">
        <v>468</v>
      </c>
      <c r="F2348" s="28" t="s">
        <v>356</v>
      </c>
      <c r="G2348" s="30" t="s">
        <v>722</v>
      </c>
      <c r="H2348" t="str">
        <f>CONCATENATE(Prequal[[#This Row],[CITY]], ", ",Prequal[[#This Row],[STATE]])</f>
        <v>Morton, IL</v>
      </c>
    </row>
    <row r="2349" spans="2:8" x14ac:dyDescent="0.2">
      <c r="B2349" s="27" t="s">
        <v>245</v>
      </c>
      <c r="C2349" s="28" t="s">
        <v>970</v>
      </c>
      <c r="D2349" s="29" t="s">
        <v>6</v>
      </c>
      <c r="E2349" s="30" t="s">
        <v>468</v>
      </c>
      <c r="F2349" s="28" t="s">
        <v>356</v>
      </c>
      <c r="G2349" s="30" t="s">
        <v>722</v>
      </c>
      <c r="H2349" t="str">
        <f>CONCATENATE(Prequal[[#This Row],[CITY]], ", ",Prequal[[#This Row],[STATE]])</f>
        <v>Morton, IL</v>
      </c>
    </row>
    <row r="2350" spans="2:8" x14ac:dyDescent="0.2">
      <c r="B2350" s="27" t="s">
        <v>245</v>
      </c>
      <c r="C2350" s="28" t="s">
        <v>970</v>
      </c>
      <c r="D2350" s="29" t="s">
        <v>7</v>
      </c>
      <c r="E2350" s="30" t="s">
        <v>468</v>
      </c>
      <c r="F2350" s="28" t="s">
        <v>356</v>
      </c>
      <c r="G2350" s="30" t="s">
        <v>722</v>
      </c>
      <c r="H2350" t="str">
        <f>CONCATENATE(Prequal[[#This Row],[CITY]], ", ",Prequal[[#This Row],[STATE]])</f>
        <v>Morton, IL</v>
      </c>
    </row>
    <row r="2351" spans="2:8" x14ac:dyDescent="0.2">
      <c r="B2351" s="27" t="s">
        <v>245</v>
      </c>
      <c r="C2351" s="28" t="s">
        <v>970</v>
      </c>
      <c r="D2351" s="29" t="s">
        <v>8</v>
      </c>
      <c r="E2351" s="30" t="s">
        <v>468</v>
      </c>
      <c r="F2351" s="28" t="s">
        <v>356</v>
      </c>
      <c r="G2351" s="30" t="s">
        <v>722</v>
      </c>
      <c r="H2351" t="str">
        <f>CONCATENATE(Prequal[[#This Row],[CITY]], ", ",Prequal[[#This Row],[STATE]])</f>
        <v>Morton, IL</v>
      </c>
    </row>
    <row r="2352" spans="2:8" x14ac:dyDescent="0.2">
      <c r="B2352" s="27" t="s">
        <v>245</v>
      </c>
      <c r="C2352" s="28" t="s">
        <v>970</v>
      </c>
      <c r="D2352" s="29" t="s">
        <v>9</v>
      </c>
      <c r="E2352" s="30" t="s">
        <v>468</v>
      </c>
      <c r="F2352" s="28" t="s">
        <v>356</v>
      </c>
      <c r="G2352" s="30" t="s">
        <v>722</v>
      </c>
      <c r="H2352" t="str">
        <f>CONCATENATE(Prequal[[#This Row],[CITY]], ", ",Prequal[[#This Row],[STATE]])</f>
        <v>Morton, IL</v>
      </c>
    </row>
    <row r="2353" spans="2:8" x14ac:dyDescent="0.2">
      <c r="B2353" s="27" t="s">
        <v>245</v>
      </c>
      <c r="C2353" s="28" t="s">
        <v>970</v>
      </c>
      <c r="D2353" s="29" t="s">
        <v>27</v>
      </c>
      <c r="E2353" s="30" t="s">
        <v>468</v>
      </c>
      <c r="F2353" s="28" t="s">
        <v>356</v>
      </c>
      <c r="G2353" s="30" t="s">
        <v>722</v>
      </c>
      <c r="H2353" t="str">
        <f>CONCATENATE(Prequal[[#This Row],[CITY]], ", ",Prequal[[#This Row],[STATE]])</f>
        <v>Morton, IL</v>
      </c>
    </row>
    <row r="2354" spans="2:8" x14ac:dyDescent="0.2">
      <c r="B2354" s="27" t="s">
        <v>245</v>
      </c>
      <c r="C2354" s="28" t="s">
        <v>970</v>
      </c>
      <c r="D2354" s="29" t="s">
        <v>10</v>
      </c>
      <c r="E2354" s="30" t="s">
        <v>468</v>
      </c>
      <c r="F2354" s="28" t="s">
        <v>356</v>
      </c>
      <c r="G2354" s="30" t="s">
        <v>722</v>
      </c>
      <c r="H2354" t="str">
        <f>CONCATENATE(Prequal[[#This Row],[CITY]], ", ",Prequal[[#This Row],[STATE]])</f>
        <v>Morton, IL</v>
      </c>
    </row>
    <row r="2355" spans="2:8" x14ac:dyDescent="0.2">
      <c r="B2355" s="27" t="s">
        <v>245</v>
      </c>
      <c r="C2355" s="28" t="s">
        <v>970</v>
      </c>
      <c r="D2355" s="29" t="s">
        <v>107</v>
      </c>
      <c r="E2355" s="30" t="s">
        <v>468</v>
      </c>
      <c r="F2355" s="28" t="s">
        <v>356</v>
      </c>
      <c r="G2355" s="30" t="s">
        <v>722</v>
      </c>
      <c r="H2355" t="str">
        <f>CONCATENATE(Prequal[[#This Row],[CITY]], ", ",Prequal[[#This Row],[STATE]])</f>
        <v>Morton, IL</v>
      </c>
    </row>
    <row r="2356" spans="2:8" x14ac:dyDescent="0.2">
      <c r="B2356" s="27" t="s">
        <v>245</v>
      </c>
      <c r="C2356" s="28" t="s">
        <v>970</v>
      </c>
      <c r="D2356" s="29" t="s">
        <v>108</v>
      </c>
      <c r="E2356" s="30" t="s">
        <v>468</v>
      </c>
      <c r="F2356" s="28" t="s">
        <v>356</v>
      </c>
      <c r="G2356" s="30" t="s">
        <v>722</v>
      </c>
      <c r="H2356" t="str">
        <f>CONCATENATE(Prequal[[#This Row],[CITY]], ", ",Prequal[[#This Row],[STATE]])</f>
        <v>Morton, IL</v>
      </c>
    </row>
    <row r="2357" spans="2:8" x14ac:dyDescent="0.2">
      <c r="B2357" s="27" t="s">
        <v>245</v>
      </c>
      <c r="C2357" s="28" t="s">
        <v>970</v>
      </c>
      <c r="D2357" s="29" t="s">
        <v>12</v>
      </c>
      <c r="E2357" s="30" t="s">
        <v>468</v>
      </c>
      <c r="F2357" s="28" t="s">
        <v>356</v>
      </c>
      <c r="G2357" s="30" t="s">
        <v>722</v>
      </c>
      <c r="H2357" t="str">
        <f>CONCATENATE(Prequal[[#This Row],[CITY]], ", ",Prequal[[#This Row],[STATE]])</f>
        <v>Morton, IL</v>
      </c>
    </row>
    <row r="2358" spans="2:8" x14ac:dyDescent="0.2">
      <c r="B2358" s="27" t="s">
        <v>245</v>
      </c>
      <c r="C2358" s="28" t="s">
        <v>970</v>
      </c>
      <c r="D2358" s="29" t="s">
        <v>29</v>
      </c>
      <c r="E2358" s="30" t="s">
        <v>468</v>
      </c>
      <c r="F2358" s="28" t="s">
        <v>356</v>
      </c>
      <c r="G2358" s="30" t="s">
        <v>722</v>
      </c>
      <c r="H2358" t="str">
        <f>CONCATENATE(Prequal[[#This Row],[CITY]], ", ",Prequal[[#This Row],[STATE]])</f>
        <v>Morton, IL</v>
      </c>
    </row>
    <row r="2359" spans="2:8" x14ac:dyDescent="0.2">
      <c r="B2359" s="27" t="s">
        <v>245</v>
      </c>
      <c r="C2359" s="28" t="s">
        <v>970</v>
      </c>
      <c r="D2359" s="29" t="s">
        <v>13</v>
      </c>
      <c r="E2359" s="30" t="s">
        <v>468</v>
      </c>
      <c r="F2359" s="28" t="s">
        <v>356</v>
      </c>
      <c r="G2359" s="30" t="s">
        <v>722</v>
      </c>
      <c r="H2359" t="str">
        <f>CONCATENATE(Prequal[[#This Row],[CITY]], ", ",Prequal[[#This Row],[STATE]])</f>
        <v>Morton, IL</v>
      </c>
    </row>
    <row r="2360" spans="2:8" x14ac:dyDescent="0.2">
      <c r="B2360" s="27" t="s">
        <v>245</v>
      </c>
      <c r="C2360" s="28" t="s">
        <v>970</v>
      </c>
      <c r="D2360" s="29" t="s">
        <v>14</v>
      </c>
      <c r="E2360" s="30" t="s">
        <v>468</v>
      </c>
      <c r="F2360" s="28" t="s">
        <v>356</v>
      </c>
      <c r="G2360" s="30" t="s">
        <v>722</v>
      </c>
      <c r="H2360" t="str">
        <f>CONCATENATE(Prequal[[#This Row],[CITY]], ", ",Prequal[[#This Row],[STATE]])</f>
        <v>Morton, IL</v>
      </c>
    </row>
    <row r="2361" spans="2:8" x14ac:dyDescent="0.2">
      <c r="B2361" s="27" t="s">
        <v>245</v>
      </c>
      <c r="C2361" s="28" t="s">
        <v>970</v>
      </c>
      <c r="D2361" s="29" t="s">
        <v>15</v>
      </c>
      <c r="E2361" s="30" t="s">
        <v>468</v>
      </c>
      <c r="F2361" s="28" t="s">
        <v>356</v>
      </c>
      <c r="G2361" s="30" t="s">
        <v>722</v>
      </c>
      <c r="H2361" t="str">
        <f>CONCATENATE(Prequal[[#This Row],[CITY]], ", ",Prequal[[#This Row],[STATE]])</f>
        <v>Morton, IL</v>
      </c>
    </row>
    <row r="2362" spans="2:8" x14ac:dyDescent="0.2">
      <c r="B2362" s="27" t="s">
        <v>246</v>
      </c>
      <c r="C2362" s="28" t="s">
        <v>969</v>
      </c>
      <c r="D2362" s="29" t="s">
        <v>4</v>
      </c>
      <c r="E2362" s="30" t="s">
        <v>482</v>
      </c>
      <c r="F2362" s="28" t="s">
        <v>356</v>
      </c>
      <c r="G2362" s="30" t="s">
        <v>723</v>
      </c>
      <c r="H2362" t="str">
        <f>CONCATENATE(Prequal[[#This Row],[CITY]], ", ",Prequal[[#This Row],[STATE]])</f>
        <v>Edwardsville, IL</v>
      </c>
    </row>
    <row r="2363" spans="2:8" x14ac:dyDescent="0.2">
      <c r="B2363" s="27" t="s">
        <v>246</v>
      </c>
      <c r="C2363" s="28" t="s">
        <v>969</v>
      </c>
      <c r="D2363" s="29" t="s">
        <v>5</v>
      </c>
      <c r="E2363" s="30" t="s">
        <v>482</v>
      </c>
      <c r="F2363" s="28" t="s">
        <v>356</v>
      </c>
      <c r="G2363" s="30" t="s">
        <v>723</v>
      </c>
      <c r="H2363" t="str">
        <f>CONCATENATE(Prequal[[#This Row],[CITY]], ", ",Prequal[[#This Row],[STATE]])</f>
        <v>Edwardsville, IL</v>
      </c>
    </row>
    <row r="2364" spans="2:8" x14ac:dyDescent="0.2">
      <c r="B2364" s="27" t="s">
        <v>246</v>
      </c>
      <c r="C2364" s="28" t="s">
        <v>969</v>
      </c>
      <c r="D2364" s="29" t="s">
        <v>8</v>
      </c>
      <c r="E2364" s="30" t="s">
        <v>482</v>
      </c>
      <c r="F2364" s="28" t="s">
        <v>356</v>
      </c>
      <c r="G2364" s="30" t="s">
        <v>723</v>
      </c>
      <c r="H2364" t="str">
        <f>CONCATENATE(Prequal[[#This Row],[CITY]], ", ",Prequal[[#This Row],[STATE]])</f>
        <v>Edwardsville, IL</v>
      </c>
    </row>
    <row r="2365" spans="2:8" x14ac:dyDescent="0.2">
      <c r="B2365" s="27" t="s">
        <v>246</v>
      </c>
      <c r="C2365" s="28" t="s">
        <v>969</v>
      </c>
      <c r="D2365" s="29" t="s">
        <v>24</v>
      </c>
      <c r="E2365" s="30" t="s">
        <v>482</v>
      </c>
      <c r="F2365" s="28" t="s">
        <v>356</v>
      </c>
      <c r="G2365" s="30" t="s">
        <v>723</v>
      </c>
      <c r="H2365" t="str">
        <f>CONCATENATE(Prequal[[#This Row],[CITY]], ", ",Prequal[[#This Row],[STATE]])</f>
        <v>Edwardsville, IL</v>
      </c>
    </row>
    <row r="2366" spans="2:8" x14ac:dyDescent="0.2">
      <c r="B2366" s="27" t="s">
        <v>246</v>
      </c>
      <c r="C2366" s="28" t="s">
        <v>969</v>
      </c>
      <c r="D2366" s="29" t="s">
        <v>25</v>
      </c>
      <c r="E2366" s="30" t="s">
        <v>482</v>
      </c>
      <c r="F2366" s="28" t="s">
        <v>356</v>
      </c>
      <c r="G2366" s="30" t="s">
        <v>723</v>
      </c>
      <c r="H2366" t="str">
        <f>CONCATENATE(Prequal[[#This Row],[CITY]], ", ",Prequal[[#This Row],[STATE]])</f>
        <v>Edwardsville, IL</v>
      </c>
    </row>
    <row r="2367" spans="2:8" x14ac:dyDescent="0.2">
      <c r="B2367" s="27" t="s">
        <v>246</v>
      </c>
      <c r="C2367" s="28" t="s">
        <v>969</v>
      </c>
      <c r="D2367" s="29" t="s">
        <v>9</v>
      </c>
      <c r="E2367" s="30" t="s">
        <v>482</v>
      </c>
      <c r="F2367" s="28" t="s">
        <v>356</v>
      </c>
      <c r="G2367" s="30" t="s">
        <v>723</v>
      </c>
      <c r="H2367" t="str">
        <f>CONCATENATE(Prequal[[#This Row],[CITY]], ", ",Prequal[[#This Row],[STATE]])</f>
        <v>Edwardsville, IL</v>
      </c>
    </row>
    <row r="2368" spans="2:8" x14ac:dyDescent="0.2">
      <c r="B2368" s="27" t="s">
        <v>246</v>
      </c>
      <c r="C2368" s="28" t="s">
        <v>969</v>
      </c>
      <c r="D2368" s="29" t="s">
        <v>26</v>
      </c>
      <c r="E2368" s="30" t="s">
        <v>482</v>
      </c>
      <c r="F2368" s="28" t="s">
        <v>356</v>
      </c>
      <c r="G2368" s="30" t="s">
        <v>723</v>
      </c>
      <c r="H2368" t="str">
        <f>CONCATENATE(Prequal[[#This Row],[CITY]], ", ",Prequal[[#This Row],[STATE]])</f>
        <v>Edwardsville, IL</v>
      </c>
    </row>
    <row r="2369" spans="2:8" x14ac:dyDescent="0.2">
      <c r="B2369" s="27" t="s">
        <v>246</v>
      </c>
      <c r="C2369" s="28" t="s">
        <v>969</v>
      </c>
      <c r="D2369" s="29" t="s">
        <v>20</v>
      </c>
      <c r="E2369" s="30" t="s">
        <v>482</v>
      </c>
      <c r="F2369" s="28" t="s">
        <v>356</v>
      </c>
      <c r="G2369" s="30" t="s">
        <v>723</v>
      </c>
      <c r="H2369" t="str">
        <f>CONCATENATE(Prequal[[#This Row],[CITY]], ", ",Prequal[[#This Row],[STATE]])</f>
        <v>Edwardsville, IL</v>
      </c>
    </row>
    <row r="2370" spans="2:8" x14ac:dyDescent="0.2">
      <c r="B2370" s="27" t="s">
        <v>246</v>
      </c>
      <c r="C2370" s="28" t="s">
        <v>969</v>
      </c>
      <c r="D2370" s="29" t="s">
        <v>21</v>
      </c>
      <c r="E2370" s="30" t="s">
        <v>482</v>
      </c>
      <c r="F2370" s="28" t="s">
        <v>356</v>
      </c>
      <c r="G2370" s="30" t="s">
        <v>723</v>
      </c>
      <c r="H2370" t="str">
        <f>CONCATENATE(Prequal[[#This Row],[CITY]], ", ",Prequal[[#This Row],[STATE]])</f>
        <v>Edwardsville, IL</v>
      </c>
    </row>
    <row r="2371" spans="2:8" x14ac:dyDescent="0.2">
      <c r="B2371" s="27" t="s">
        <v>246</v>
      </c>
      <c r="C2371" s="28" t="s">
        <v>969</v>
      </c>
      <c r="D2371" s="29" t="s">
        <v>22</v>
      </c>
      <c r="E2371" s="30" t="s">
        <v>482</v>
      </c>
      <c r="F2371" s="28" t="s">
        <v>356</v>
      </c>
      <c r="G2371" s="30" t="s">
        <v>723</v>
      </c>
      <c r="H2371" t="str">
        <f>CONCATENATE(Prequal[[#This Row],[CITY]], ", ",Prequal[[#This Row],[STATE]])</f>
        <v>Edwardsville, IL</v>
      </c>
    </row>
    <row r="2372" spans="2:8" x14ac:dyDescent="0.2">
      <c r="B2372" s="27" t="s">
        <v>246</v>
      </c>
      <c r="C2372" s="28" t="s">
        <v>969</v>
      </c>
      <c r="D2372" s="29" t="s">
        <v>30</v>
      </c>
      <c r="E2372" s="30" t="s">
        <v>482</v>
      </c>
      <c r="F2372" s="28" t="s">
        <v>356</v>
      </c>
      <c r="G2372" s="30" t="s">
        <v>723</v>
      </c>
      <c r="H2372" t="str">
        <f>CONCATENATE(Prequal[[#This Row],[CITY]], ", ",Prequal[[#This Row],[STATE]])</f>
        <v>Edwardsville, IL</v>
      </c>
    </row>
    <row r="2373" spans="2:8" x14ac:dyDescent="0.2">
      <c r="B2373" s="27" t="s">
        <v>246</v>
      </c>
      <c r="C2373" s="28" t="s">
        <v>969</v>
      </c>
      <c r="D2373" s="29" t="s">
        <v>53</v>
      </c>
      <c r="E2373" s="30" t="s">
        <v>482</v>
      </c>
      <c r="F2373" s="28" t="s">
        <v>356</v>
      </c>
      <c r="G2373" s="30" t="s">
        <v>723</v>
      </c>
      <c r="H2373" t="str">
        <f>CONCATENATE(Prequal[[#This Row],[CITY]], ", ",Prequal[[#This Row],[STATE]])</f>
        <v>Edwardsville, IL</v>
      </c>
    </row>
    <row r="2374" spans="2:8" x14ac:dyDescent="0.2">
      <c r="B2374" s="27" t="s">
        <v>246</v>
      </c>
      <c r="C2374" s="28" t="s">
        <v>969</v>
      </c>
      <c r="D2374" s="29" t="s">
        <v>31</v>
      </c>
      <c r="E2374" s="30" t="s">
        <v>482</v>
      </c>
      <c r="F2374" s="28" t="s">
        <v>356</v>
      </c>
      <c r="G2374" s="30" t="s">
        <v>723</v>
      </c>
      <c r="H2374" t="str">
        <f>CONCATENATE(Prequal[[#This Row],[CITY]], ", ",Prequal[[#This Row],[STATE]])</f>
        <v>Edwardsville, IL</v>
      </c>
    </row>
    <row r="2375" spans="2:8" x14ac:dyDescent="0.2">
      <c r="B2375" s="27" t="s">
        <v>246</v>
      </c>
      <c r="C2375" s="28" t="s">
        <v>969</v>
      </c>
      <c r="D2375" s="29" t="s">
        <v>32</v>
      </c>
      <c r="E2375" s="30" t="s">
        <v>482</v>
      </c>
      <c r="F2375" s="28" t="s">
        <v>356</v>
      </c>
      <c r="G2375" s="30" t="s">
        <v>723</v>
      </c>
      <c r="H2375" t="str">
        <f>CONCATENATE(Prequal[[#This Row],[CITY]], ", ",Prequal[[#This Row],[STATE]])</f>
        <v>Edwardsville, IL</v>
      </c>
    </row>
    <row r="2376" spans="2:8" x14ac:dyDescent="0.2">
      <c r="B2376" s="27" t="s">
        <v>246</v>
      </c>
      <c r="C2376" s="28" t="s">
        <v>969</v>
      </c>
      <c r="D2376" s="29" t="s">
        <v>54</v>
      </c>
      <c r="E2376" s="30" t="s">
        <v>482</v>
      </c>
      <c r="F2376" s="28" t="s">
        <v>356</v>
      </c>
      <c r="G2376" s="30" t="s">
        <v>723</v>
      </c>
      <c r="H2376" t="str">
        <f>CONCATENATE(Prequal[[#This Row],[CITY]], ", ",Prequal[[#This Row],[STATE]])</f>
        <v>Edwardsville, IL</v>
      </c>
    </row>
    <row r="2377" spans="2:8" x14ac:dyDescent="0.2">
      <c r="B2377" s="27" t="s">
        <v>246</v>
      </c>
      <c r="C2377" s="28" t="s">
        <v>969</v>
      </c>
      <c r="D2377" s="29" t="s">
        <v>38</v>
      </c>
      <c r="E2377" s="30" t="s">
        <v>482</v>
      </c>
      <c r="F2377" s="28" t="s">
        <v>356</v>
      </c>
      <c r="G2377" s="30" t="s">
        <v>723</v>
      </c>
      <c r="H2377" t="str">
        <f>CONCATENATE(Prequal[[#This Row],[CITY]], ", ",Prequal[[#This Row],[STATE]])</f>
        <v>Edwardsville, IL</v>
      </c>
    </row>
    <row r="2378" spans="2:8" x14ac:dyDescent="0.2">
      <c r="B2378" s="27" t="s">
        <v>246</v>
      </c>
      <c r="C2378" s="28" t="s">
        <v>969</v>
      </c>
      <c r="D2378" s="29" t="s">
        <v>55</v>
      </c>
      <c r="E2378" s="30" t="s">
        <v>482</v>
      </c>
      <c r="F2378" s="28" t="s">
        <v>356</v>
      </c>
      <c r="G2378" s="30" t="s">
        <v>723</v>
      </c>
      <c r="H2378" t="str">
        <f>CONCATENATE(Prequal[[#This Row],[CITY]], ", ",Prequal[[#This Row],[STATE]])</f>
        <v>Edwardsville, IL</v>
      </c>
    </row>
    <row r="2379" spans="2:8" x14ac:dyDescent="0.2">
      <c r="B2379" s="27" t="s">
        <v>1074</v>
      </c>
      <c r="C2379" s="28" t="s">
        <v>969</v>
      </c>
      <c r="D2379" s="29" t="s">
        <v>5</v>
      </c>
      <c r="E2379" s="30" t="s">
        <v>409</v>
      </c>
      <c r="F2379" s="28" t="s">
        <v>356</v>
      </c>
      <c r="G2379" s="30" t="s">
        <v>1075</v>
      </c>
      <c r="H2379" t="str">
        <f>CONCATENATE(Prequal[[#This Row],[CITY]], ", ",Prequal[[#This Row],[STATE]])</f>
        <v>Peoria, IL</v>
      </c>
    </row>
    <row r="2380" spans="2:8" x14ac:dyDescent="0.2">
      <c r="B2380" s="27" t="s">
        <v>1074</v>
      </c>
      <c r="C2380" s="28" t="s">
        <v>969</v>
      </c>
      <c r="D2380" s="29" t="s">
        <v>29</v>
      </c>
      <c r="E2380" s="30" t="s">
        <v>409</v>
      </c>
      <c r="F2380" s="28" t="s">
        <v>356</v>
      </c>
      <c r="G2380" s="30" t="s">
        <v>1075</v>
      </c>
      <c r="H2380" t="str">
        <f>CONCATENATE(Prequal[[#This Row],[CITY]], ", ",Prequal[[#This Row],[STATE]])</f>
        <v>Peoria, IL</v>
      </c>
    </row>
    <row r="2381" spans="2:8" x14ac:dyDescent="0.2">
      <c r="B2381" s="27" t="s">
        <v>827</v>
      </c>
      <c r="C2381" s="28" t="s">
        <v>969</v>
      </c>
      <c r="D2381" s="29" t="s">
        <v>39</v>
      </c>
      <c r="E2381" s="30" t="s">
        <v>391</v>
      </c>
      <c r="F2381" s="28" t="s">
        <v>356</v>
      </c>
      <c r="G2381" s="30" t="s">
        <v>1076</v>
      </c>
      <c r="H2381" t="str">
        <f>CONCATENATE(Prequal[[#This Row],[CITY]], ", ",Prequal[[#This Row],[STATE]])</f>
        <v>Rosemont, IL</v>
      </c>
    </row>
    <row r="2382" spans="2:8" x14ac:dyDescent="0.2">
      <c r="B2382" s="27" t="s">
        <v>512</v>
      </c>
      <c r="C2382" s="28" t="s">
        <v>969</v>
      </c>
      <c r="D2382" s="29" t="s">
        <v>5</v>
      </c>
      <c r="E2382" s="30" t="s">
        <v>358</v>
      </c>
      <c r="F2382" s="28" t="s">
        <v>356</v>
      </c>
      <c r="G2382" s="30" t="s">
        <v>835</v>
      </c>
      <c r="H2382" t="str">
        <f>CONCATENATE(Prequal[[#This Row],[CITY]], ", ",Prequal[[#This Row],[STATE]])</f>
        <v>Lisle, IL</v>
      </c>
    </row>
    <row r="2383" spans="2:8" x14ac:dyDescent="0.2">
      <c r="B2383" s="27" t="s">
        <v>512</v>
      </c>
      <c r="C2383" s="28" t="s">
        <v>969</v>
      </c>
      <c r="D2383" s="29" t="s">
        <v>27</v>
      </c>
      <c r="E2383" s="30" t="s">
        <v>358</v>
      </c>
      <c r="F2383" s="28" t="s">
        <v>356</v>
      </c>
      <c r="G2383" s="30" t="s">
        <v>835</v>
      </c>
      <c r="H2383" t="str">
        <f>CONCATENATE(Prequal[[#This Row],[CITY]], ", ",Prequal[[#This Row],[STATE]])</f>
        <v>Lisle, IL</v>
      </c>
    </row>
    <row r="2384" spans="2:8" x14ac:dyDescent="0.2">
      <c r="B2384" s="27" t="s">
        <v>512</v>
      </c>
      <c r="C2384" s="28" t="s">
        <v>969</v>
      </c>
      <c r="D2384" s="29" t="s">
        <v>10</v>
      </c>
      <c r="E2384" s="30" t="s">
        <v>358</v>
      </c>
      <c r="F2384" s="28" t="s">
        <v>356</v>
      </c>
      <c r="G2384" s="30" t="s">
        <v>835</v>
      </c>
      <c r="H2384" t="str">
        <f>CONCATENATE(Prequal[[#This Row],[CITY]], ", ",Prequal[[#This Row],[STATE]])</f>
        <v>Lisle, IL</v>
      </c>
    </row>
    <row r="2385" spans="2:8" x14ac:dyDescent="0.2">
      <c r="B2385" s="27" t="s">
        <v>512</v>
      </c>
      <c r="C2385" s="28" t="s">
        <v>969</v>
      </c>
      <c r="D2385" s="29" t="s">
        <v>29</v>
      </c>
      <c r="E2385" s="30" t="s">
        <v>358</v>
      </c>
      <c r="F2385" s="28" t="s">
        <v>356</v>
      </c>
      <c r="G2385" s="30" t="s">
        <v>835</v>
      </c>
      <c r="H2385" t="str">
        <f>CONCATENATE(Prequal[[#This Row],[CITY]], ", ",Prequal[[#This Row],[STATE]])</f>
        <v>Lisle, IL</v>
      </c>
    </row>
    <row r="2386" spans="2:8" x14ac:dyDescent="0.2">
      <c r="B2386" s="27" t="s">
        <v>512</v>
      </c>
      <c r="C2386" s="28" t="s">
        <v>969</v>
      </c>
      <c r="D2386" s="29" t="s">
        <v>14</v>
      </c>
      <c r="E2386" s="30" t="s">
        <v>358</v>
      </c>
      <c r="F2386" s="28" t="s">
        <v>356</v>
      </c>
      <c r="G2386" s="30" t="s">
        <v>835</v>
      </c>
      <c r="H2386" t="str">
        <f>CONCATENATE(Prequal[[#This Row],[CITY]], ", ",Prequal[[#This Row],[STATE]])</f>
        <v>Lisle, IL</v>
      </c>
    </row>
    <row r="2387" spans="2:8" x14ac:dyDescent="0.2">
      <c r="B2387" s="27" t="s">
        <v>247</v>
      </c>
      <c r="C2387" s="28" t="s">
        <v>969</v>
      </c>
      <c r="D2387" s="29" t="s">
        <v>45</v>
      </c>
      <c r="E2387" s="30" t="s">
        <v>947</v>
      </c>
      <c r="F2387" s="28" t="s">
        <v>356</v>
      </c>
      <c r="G2387" s="30" t="s">
        <v>1085</v>
      </c>
      <c r="H2387" t="str">
        <f>CONCATENATE(Prequal[[#This Row],[CITY]], ", ",Prequal[[#This Row],[STATE]])</f>
        <v>Chicago, IL</v>
      </c>
    </row>
    <row r="2388" spans="2:8" x14ac:dyDescent="0.2">
      <c r="B2388" s="27" t="s">
        <v>247</v>
      </c>
      <c r="C2388" s="28" t="s">
        <v>969</v>
      </c>
      <c r="D2388" s="29" t="s">
        <v>46</v>
      </c>
      <c r="E2388" s="30" t="s">
        <v>947</v>
      </c>
      <c r="F2388" s="28" t="s">
        <v>356</v>
      </c>
      <c r="G2388" s="30" t="s">
        <v>1085</v>
      </c>
      <c r="H2388" t="str">
        <f>CONCATENATE(Prequal[[#This Row],[CITY]], ", ",Prequal[[#This Row],[STATE]])</f>
        <v>Chicago, IL</v>
      </c>
    </row>
    <row r="2389" spans="2:8" x14ac:dyDescent="0.2">
      <c r="B2389" s="27" t="s">
        <v>247</v>
      </c>
      <c r="C2389" s="28" t="s">
        <v>969</v>
      </c>
      <c r="D2389" s="29" t="s">
        <v>47</v>
      </c>
      <c r="E2389" s="30" t="s">
        <v>947</v>
      </c>
      <c r="F2389" s="28" t="s">
        <v>356</v>
      </c>
      <c r="G2389" s="30" t="s">
        <v>1085</v>
      </c>
      <c r="H2389" t="str">
        <f>CONCATENATE(Prequal[[#This Row],[CITY]], ", ",Prequal[[#This Row],[STATE]])</f>
        <v>Chicago, IL</v>
      </c>
    </row>
    <row r="2390" spans="2:8" x14ac:dyDescent="0.2">
      <c r="B2390" s="27" t="s">
        <v>247</v>
      </c>
      <c r="C2390" s="28" t="s">
        <v>969</v>
      </c>
      <c r="D2390" s="29" t="s">
        <v>4</v>
      </c>
      <c r="E2390" s="30" t="s">
        <v>947</v>
      </c>
      <c r="F2390" s="28" t="s">
        <v>356</v>
      </c>
      <c r="G2390" s="30" t="s">
        <v>1085</v>
      </c>
      <c r="H2390" t="str">
        <f>CONCATENATE(Prequal[[#This Row],[CITY]], ", ",Prequal[[#This Row],[STATE]])</f>
        <v>Chicago, IL</v>
      </c>
    </row>
    <row r="2391" spans="2:8" x14ac:dyDescent="0.2">
      <c r="B2391" s="27" t="s">
        <v>247</v>
      </c>
      <c r="C2391" s="28" t="s">
        <v>969</v>
      </c>
      <c r="D2391" s="29" t="s">
        <v>5</v>
      </c>
      <c r="E2391" s="30" t="s">
        <v>947</v>
      </c>
      <c r="F2391" s="28" t="s">
        <v>356</v>
      </c>
      <c r="G2391" s="30" t="s">
        <v>1085</v>
      </c>
      <c r="H2391" t="str">
        <f>CONCATENATE(Prequal[[#This Row],[CITY]], ", ",Prequal[[#This Row],[STATE]])</f>
        <v>Chicago, IL</v>
      </c>
    </row>
    <row r="2392" spans="2:8" x14ac:dyDescent="0.2">
      <c r="B2392" s="27" t="s">
        <v>247</v>
      </c>
      <c r="C2392" s="28" t="s">
        <v>969</v>
      </c>
      <c r="D2392" s="29" t="s">
        <v>7</v>
      </c>
      <c r="E2392" s="30" t="s">
        <v>947</v>
      </c>
      <c r="F2392" s="28" t="s">
        <v>356</v>
      </c>
      <c r="G2392" s="30" t="s">
        <v>1085</v>
      </c>
      <c r="H2392" t="str">
        <f>CONCATENATE(Prequal[[#This Row],[CITY]], ", ",Prequal[[#This Row],[STATE]])</f>
        <v>Chicago, IL</v>
      </c>
    </row>
    <row r="2393" spans="2:8" x14ac:dyDescent="0.2">
      <c r="B2393" s="27" t="s">
        <v>247</v>
      </c>
      <c r="C2393" s="28" t="s">
        <v>969</v>
      </c>
      <c r="D2393" s="29" t="s">
        <v>8</v>
      </c>
      <c r="E2393" s="30" t="s">
        <v>947</v>
      </c>
      <c r="F2393" s="28" t="s">
        <v>356</v>
      </c>
      <c r="G2393" s="30" t="s">
        <v>1085</v>
      </c>
      <c r="H2393" t="str">
        <f>CONCATENATE(Prequal[[#This Row],[CITY]], ", ",Prequal[[#This Row],[STATE]])</f>
        <v>Chicago, IL</v>
      </c>
    </row>
    <row r="2394" spans="2:8" x14ac:dyDescent="0.2">
      <c r="B2394" s="27" t="s">
        <v>247</v>
      </c>
      <c r="C2394" s="28" t="s">
        <v>969</v>
      </c>
      <c r="D2394" s="29" t="s">
        <v>24</v>
      </c>
      <c r="E2394" s="30" t="s">
        <v>947</v>
      </c>
      <c r="F2394" s="28" t="s">
        <v>356</v>
      </c>
      <c r="G2394" s="30" t="s">
        <v>1085</v>
      </c>
      <c r="H2394" t="str">
        <f>CONCATENATE(Prequal[[#This Row],[CITY]], ", ",Prequal[[#This Row],[STATE]])</f>
        <v>Chicago, IL</v>
      </c>
    </row>
    <row r="2395" spans="2:8" x14ac:dyDescent="0.2">
      <c r="B2395" s="27" t="s">
        <v>247</v>
      </c>
      <c r="C2395" s="28" t="s">
        <v>969</v>
      </c>
      <c r="D2395" s="29" t="s">
        <v>25</v>
      </c>
      <c r="E2395" s="30" t="s">
        <v>947</v>
      </c>
      <c r="F2395" s="28" t="s">
        <v>356</v>
      </c>
      <c r="G2395" s="30" t="s">
        <v>1085</v>
      </c>
      <c r="H2395" t="str">
        <f>CONCATENATE(Prequal[[#This Row],[CITY]], ", ",Prequal[[#This Row],[STATE]])</f>
        <v>Chicago, IL</v>
      </c>
    </row>
    <row r="2396" spans="2:8" x14ac:dyDescent="0.2">
      <c r="B2396" s="27" t="s">
        <v>247</v>
      </c>
      <c r="C2396" s="28" t="s">
        <v>969</v>
      </c>
      <c r="D2396" s="29" t="s">
        <v>9</v>
      </c>
      <c r="E2396" s="30" t="s">
        <v>947</v>
      </c>
      <c r="F2396" s="28" t="s">
        <v>356</v>
      </c>
      <c r="G2396" s="30" t="s">
        <v>1085</v>
      </c>
      <c r="H2396" t="str">
        <f>CONCATENATE(Prequal[[#This Row],[CITY]], ", ",Prequal[[#This Row],[STATE]])</f>
        <v>Chicago, IL</v>
      </c>
    </row>
    <row r="2397" spans="2:8" x14ac:dyDescent="0.2">
      <c r="B2397" s="27" t="s">
        <v>247</v>
      </c>
      <c r="C2397" s="28" t="s">
        <v>969</v>
      </c>
      <c r="D2397" s="29" t="s">
        <v>27</v>
      </c>
      <c r="E2397" s="30" t="s">
        <v>947</v>
      </c>
      <c r="F2397" s="28" t="s">
        <v>356</v>
      </c>
      <c r="G2397" s="30" t="s">
        <v>1085</v>
      </c>
      <c r="H2397" t="str">
        <f>CONCATENATE(Prequal[[#This Row],[CITY]], ", ",Prequal[[#This Row],[STATE]])</f>
        <v>Chicago, IL</v>
      </c>
    </row>
    <row r="2398" spans="2:8" x14ac:dyDescent="0.2">
      <c r="B2398" s="27" t="s">
        <v>247</v>
      </c>
      <c r="C2398" s="28" t="s">
        <v>969</v>
      </c>
      <c r="D2398" s="29" t="s">
        <v>10</v>
      </c>
      <c r="E2398" s="30" t="s">
        <v>947</v>
      </c>
      <c r="F2398" s="28" t="s">
        <v>356</v>
      </c>
      <c r="G2398" s="30" t="s">
        <v>1085</v>
      </c>
      <c r="H2398" t="str">
        <f>CONCATENATE(Prequal[[#This Row],[CITY]], ", ",Prequal[[#This Row],[STATE]])</f>
        <v>Chicago, IL</v>
      </c>
    </row>
    <row r="2399" spans="2:8" x14ac:dyDescent="0.2">
      <c r="B2399" s="27" t="s">
        <v>247</v>
      </c>
      <c r="C2399" s="28" t="s">
        <v>969</v>
      </c>
      <c r="D2399" s="29" t="s">
        <v>51</v>
      </c>
      <c r="E2399" s="30" t="s">
        <v>947</v>
      </c>
      <c r="F2399" s="28" t="s">
        <v>356</v>
      </c>
      <c r="G2399" s="30" t="s">
        <v>1085</v>
      </c>
      <c r="H2399" t="str">
        <f>CONCATENATE(Prequal[[#This Row],[CITY]], ", ",Prequal[[#This Row],[STATE]])</f>
        <v>Chicago, IL</v>
      </c>
    </row>
    <row r="2400" spans="2:8" x14ac:dyDescent="0.2">
      <c r="B2400" s="27" t="s">
        <v>247</v>
      </c>
      <c r="C2400" s="28" t="s">
        <v>969</v>
      </c>
      <c r="D2400" s="29" t="s">
        <v>12</v>
      </c>
      <c r="E2400" s="30" t="s">
        <v>947</v>
      </c>
      <c r="F2400" s="28" t="s">
        <v>356</v>
      </c>
      <c r="G2400" s="30" t="s">
        <v>1085</v>
      </c>
      <c r="H2400" t="str">
        <f>CONCATENATE(Prequal[[#This Row],[CITY]], ", ",Prequal[[#This Row],[STATE]])</f>
        <v>Chicago, IL</v>
      </c>
    </row>
    <row r="2401" spans="2:8" x14ac:dyDescent="0.2">
      <c r="B2401" s="27" t="s">
        <v>247</v>
      </c>
      <c r="C2401" s="28" t="s">
        <v>969</v>
      </c>
      <c r="D2401" s="29" t="s">
        <v>37</v>
      </c>
      <c r="E2401" s="30" t="s">
        <v>947</v>
      </c>
      <c r="F2401" s="28" t="s">
        <v>356</v>
      </c>
      <c r="G2401" s="30" t="s">
        <v>1085</v>
      </c>
      <c r="H2401" t="str">
        <f>CONCATENATE(Prequal[[#This Row],[CITY]], ", ",Prequal[[#This Row],[STATE]])</f>
        <v>Chicago, IL</v>
      </c>
    </row>
    <row r="2402" spans="2:8" x14ac:dyDescent="0.2">
      <c r="B2402" s="27" t="s">
        <v>247</v>
      </c>
      <c r="C2402" s="28" t="s">
        <v>969</v>
      </c>
      <c r="D2402" s="29" t="s">
        <v>13</v>
      </c>
      <c r="E2402" s="30" t="s">
        <v>947</v>
      </c>
      <c r="F2402" s="28" t="s">
        <v>356</v>
      </c>
      <c r="G2402" s="30" t="s">
        <v>1085</v>
      </c>
      <c r="H2402" t="str">
        <f>CONCATENATE(Prequal[[#This Row],[CITY]], ", ",Prequal[[#This Row],[STATE]])</f>
        <v>Chicago, IL</v>
      </c>
    </row>
    <row r="2403" spans="2:8" x14ac:dyDescent="0.2">
      <c r="B2403" s="27" t="s">
        <v>247</v>
      </c>
      <c r="C2403" s="28" t="s">
        <v>969</v>
      </c>
      <c r="D2403" s="29" t="s">
        <v>14</v>
      </c>
      <c r="E2403" s="30" t="s">
        <v>947</v>
      </c>
      <c r="F2403" s="28" t="s">
        <v>356</v>
      </c>
      <c r="G2403" s="30" t="s">
        <v>1085</v>
      </c>
      <c r="H2403" t="str">
        <f>CONCATENATE(Prequal[[#This Row],[CITY]], ", ",Prequal[[#This Row],[STATE]])</f>
        <v>Chicago, IL</v>
      </c>
    </row>
    <row r="2404" spans="2:8" x14ac:dyDescent="0.2">
      <c r="B2404" s="27" t="s">
        <v>247</v>
      </c>
      <c r="C2404" s="28" t="s">
        <v>969</v>
      </c>
      <c r="D2404" s="29" t="s">
        <v>15</v>
      </c>
      <c r="E2404" s="30" t="s">
        <v>947</v>
      </c>
      <c r="F2404" s="28" t="s">
        <v>356</v>
      </c>
      <c r="G2404" s="30" t="s">
        <v>1085</v>
      </c>
      <c r="H2404" t="str">
        <f>CONCATENATE(Prequal[[#This Row],[CITY]], ", ",Prequal[[#This Row],[STATE]])</f>
        <v>Chicago, IL</v>
      </c>
    </row>
    <row r="2405" spans="2:8" x14ac:dyDescent="0.2">
      <c r="B2405" s="27" t="s">
        <v>247</v>
      </c>
      <c r="C2405" s="28" t="s">
        <v>969</v>
      </c>
      <c r="D2405" s="29" t="s">
        <v>30</v>
      </c>
      <c r="E2405" s="30" t="s">
        <v>947</v>
      </c>
      <c r="F2405" s="28" t="s">
        <v>356</v>
      </c>
      <c r="G2405" s="30" t="s">
        <v>1085</v>
      </c>
      <c r="H2405" t="str">
        <f>CONCATENATE(Prequal[[#This Row],[CITY]], ", ",Prequal[[#This Row],[STATE]])</f>
        <v>Chicago, IL</v>
      </c>
    </row>
    <row r="2406" spans="2:8" x14ac:dyDescent="0.2">
      <c r="B2406" s="27" t="s">
        <v>247</v>
      </c>
      <c r="C2406" s="28" t="s">
        <v>969</v>
      </c>
      <c r="D2406" s="29" t="s">
        <v>31</v>
      </c>
      <c r="E2406" s="30" t="s">
        <v>947</v>
      </c>
      <c r="F2406" s="28" t="s">
        <v>356</v>
      </c>
      <c r="G2406" s="30" t="s">
        <v>1085</v>
      </c>
      <c r="H2406" t="str">
        <f>CONCATENATE(Prequal[[#This Row],[CITY]], ", ",Prequal[[#This Row],[STATE]])</f>
        <v>Chicago, IL</v>
      </c>
    </row>
    <row r="2407" spans="2:8" x14ac:dyDescent="0.2">
      <c r="B2407" s="27" t="s">
        <v>247</v>
      </c>
      <c r="C2407" s="28" t="s">
        <v>969</v>
      </c>
      <c r="D2407" s="29" t="s">
        <v>32</v>
      </c>
      <c r="E2407" s="30" t="s">
        <v>947</v>
      </c>
      <c r="F2407" s="28" t="s">
        <v>356</v>
      </c>
      <c r="G2407" s="30" t="s">
        <v>1085</v>
      </c>
      <c r="H2407" t="str">
        <f>CONCATENATE(Prequal[[#This Row],[CITY]], ", ",Prequal[[#This Row],[STATE]])</f>
        <v>Chicago, IL</v>
      </c>
    </row>
    <row r="2408" spans="2:8" x14ac:dyDescent="0.2">
      <c r="B2408" s="27" t="s">
        <v>247</v>
      </c>
      <c r="C2408" s="28" t="s">
        <v>969</v>
      </c>
      <c r="D2408" s="29" t="s">
        <v>38</v>
      </c>
      <c r="E2408" s="30" t="s">
        <v>947</v>
      </c>
      <c r="F2408" s="28" t="s">
        <v>356</v>
      </c>
      <c r="G2408" s="30" t="s">
        <v>1085</v>
      </c>
      <c r="H2408" t="str">
        <f>CONCATENATE(Prequal[[#This Row],[CITY]], ", ",Prequal[[#This Row],[STATE]])</f>
        <v>Chicago, IL</v>
      </c>
    </row>
    <row r="2409" spans="2:8" x14ac:dyDescent="0.2">
      <c r="B2409" s="27" t="s">
        <v>247</v>
      </c>
      <c r="C2409" s="28" t="s">
        <v>969</v>
      </c>
      <c r="D2409" s="29" t="s">
        <v>56</v>
      </c>
      <c r="E2409" s="30" t="s">
        <v>947</v>
      </c>
      <c r="F2409" s="28" t="s">
        <v>356</v>
      </c>
      <c r="G2409" s="30" t="s">
        <v>1085</v>
      </c>
      <c r="H2409" t="str">
        <f>CONCATENATE(Prequal[[#This Row],[CITY]], ", ",Prequal[[#This Row],[STATE]])</f>
        <v>Chicago, IL</v>
      </c>
    </row>
    <row r="2410" spans="2:8" x14ac:dyDescent="0.2">
      <c r="B2410" s="27" t="s">
        <v>247</v>
      </c>
      <c r="C2410" s="28" t="s">
        <v>969</v>
      </c>
      <c r="D2410" s="29" t="s">
        <v>33</v>
      </c>
      <c r="E2410" s="30" t="s">
        <v>947</v>
      </c>
      <c r="F2410" s="28" t="s">
        <v>356</v>
      </c>
      <c r="G2410" s="30" t="s">
        <v>1085</v>
      </c>
      <c r="H2410" t="str">
        <f>CONCATENATE(Prequal[[#This Row],[CITY]], ", ",Prequal[[#This Row],[STATE]])</f>
        <v>Chicago, IL</v>
      </c>
    </row>
    <row r="2411" spans="2:8" x14ac:dyDescent="0.2">
      <c r="B2411" s="27" t="s">
        <v>247</v>
      </c>
      <c r="C2411" s="28" t="s">
        <v>969</v>
      </c>
      <c r="D2411" s="29" t="s">
        <v>57</v>
      </c>
      <c r="E2411" s="30" t="s">
        <v>947</v>
      </c>
      <c r="F2411" s="28" t="s">
        <v>356</v>
      </c>
      <c r="G2411" s="30" t="s">
        <v>1085</v>
      </c>
      <c r="H2411" t="str">
        <f>CONCATENATE(Prequal[[#This Row],[CITY]], ", ",Prequal[[#This Row],[STATE]])</f>
        <v>Chicago, IL</v>
      </c>
    </row>
    <row r="2412" spans="2:8" x14ac:dyDescent="0.2">
      <c r="B2412" s="27" t="s">
        <v>248</v>
      </c>
      <c r="C2412" s="28" t="s">
        <v>969</v>
      </c>
      <c r="D2412" s="29" t="s">
        <v>5</v>
      </c>
      <c r="E2412" s="30" t="s">
        <v>397</v>
      </c>
      <c r="F2412" s="28" t="s">
        <v>378</v>
      </c>
      <c r="G2412" s="30" t="s">
        <v>724</v>
      </c>
      <c r="H2412" t="str">
        <f>CONCATENATE(Prequal[[#This Row],[CITY]], ", ",Prequal[[#This Row],[STATE]])</f>
        <v>Madison, WI</v>
      </c>
    </row>
    <row r="2413" spans="2:8" x14ac:dyDescent="0.2">
      <c r="B2413" s="27" t="s">
        <v>248</v>
      </c>
      <c r="C2413" s="28" t="s">
        <v>969</v>
      </c>
      <c r="D2413" s="29" t="s">
        <v>25</v>
      </c>
      <c r="E2413" s="30" t="s">
        <v>397</v>
      </c>
      <c r="F2413" s="28" t="s">
        <v>378</v>
      </c>
      <c r="G2413" s="30" t="s">
        <v>724</v>
      </c>
      <c r="H2413" t="str">
        <f>CONCATENATE(Prequal[[#This Row],[CITY]], ", ",Prequal[[#This Row],[STATE]])</f>
        <v>Madison, WI</v>
      </c>
    </row>
    <row r="2414" spans="2:8" x14ac:dyDescent="0.2">
      <c r="B2414" s="27" t="s">
        <v>248</v>
      </c>
      <c r="C2414" s="28" t="s">
        <v>969</v>
      </c>
      <c r="D2414" s="29" t="s">
        <v>9</v>
      </c>
      <c r="E2414" s="30" t="s">
        <v>397</v>
      </c>
      <c r="F2414" s="28" t="s">
        <v>378</v>
      </c>
      <c r="G2414" s="30" t="s">
        <v>724</v>
      </c>
      <c r="H2414" t="str">
        <f>CONCATENATE(Prequal[[#This Row],[CITY]], ", ",Prequal[[#This Row],[STATE]])</f>
        <v>Madison, WI</v>
      </c>
    </row>
    <row r="2415" spans="2:8" x14ac:dyDescent="0.2">
      <c r="B2415" s="27" t="s">
        <v>248</v>
      </c>
      <c r="C2415" s="28" t="s">
        <v>969</v>
      </c>
      <c r="D2415" s="29" t="s">
        <v>27</v>
      </c>
      <c r="E2415" s="30" t="s">
        <v>397</v>
      </c>
      <c r="F2415" s="28" t="s">
        <v>378</v>
      </c>
      <c r="G2415" s="30" t="s">
        <v>724</v>
      </c>
      <c r="H2415" t="str">
        <f>CONCATENATE(Prequal[[#This Row],[CITY]], ", ",Prequal[[#This Row],[STATE]])</f>
        <v>Madison, WI</v>
      </c>
    </row>
    <row r="2416" spans="2:8" x14ac:dyDescent="0.2">
      <c r="B2416" s="27" t="s">
        <v>248</v>
      </c>
      <c r="C2416" s="28" t="s">
        <v>969</v>
      </c>
      <c r="D2416" s="29" t="s">
        <v>14</v>
      </c>
      <c r="E2416" s="30" t="s">
        <v>397</v>
      </c>
      <c r="F2416" s="28" t="s">
        <v>378</v>
      </c>
      <c r="G2416" s="30" t="s">
        <v>724</v>
      </c>
      <c r="H2416" t="str">
        <f>CONCATENATE(Prequal[[#This Row],[CITY]], ", ",Prequal[[#This Row],[STATE]])</f>
        <v>Madison, WI</v>
      </c>
    </row>
    <row r="2417" spans="2:8" x14ac:dyDescent="0.2">
      <c r="B2417" s="27" t="s">
        <v>249</v>
      </c>
      <c r="C2417" s="28" t="s">
        <v>969</v>
      </c>
      <c r="D2417" s="29" t="s">
        <v>5</v>
      </c>
      <c r="E2417" s="30" t="s">
        <v>397</v>
      </c>
      <c r="F2417" s="28" t="s">
        <v>378</v>
      </c>
      <c r="G2417" s="30" t="s">
        <v>1040</v>
      </c>
      <c r="H2417" t="str">
        <f>CONCATENATE(Prequal[[#This Row],[CITY]], ", ",Prequal[[#This Row],[STATE]])</f>
        <v>Madison, WI</v>
      </c>
    </row>
    <row r="2418" spans="2:8" x14ac:dyDescent="0.2">
      <c r="B2418" s="27" t="s">
        <v>250</v>
      </c>
      <c r="C2418" s="28" t="s">
        <v>970</v>
      </c>
      <c r="D2418" s="29" t="s">
        <v>59</v>
      </c>
      <c r="E2418" s="30" t="s">
        <v>947</v>
      </c>
      <c r="F2418" s="28" t="s">
        <v>356</v>
      </c>
      <c r="G2418" s="30" t="s">
        <v>725</v>
      </c>
      <c r="H2418" t="str">
        <f>CONCATENATE(Prequal[[#This Row],[CITY]], ", ",Prequal[[#This Row],[STATE]])</f>
        <v>Chicago, IL</v>
      </c>
    </row>
    <row r="2419" spans="2:8" x14ac:dyDescent="0.2">
      <c r="B2419" s="27" t="s">
        <v>251</v>
      </c>
      <c r="C2419" s="28" t="s">
        <v>970</v>
      </c>
      <c r="D2419" s="29" t="s">
        <v>39</v>
      </c>
      <c r="E2419" s="30" t="s">
        <v>947</v>
      </c>
      <c r="F2419" s="28" t="s">
        <v>356</v>
      </c>
      <c r="G2419" s="30" t="s">
        <v>726</v>
      </c>
      <c r="H2419" t="str">
        <f>CONCATENATE(Prequal[[#This Row],[CITY]], ", ",Prequal[[#This Row],[STATE]])</f>
        <v>Chicago, IL</v>
      </c>
    </row>
    <row r="2420" spans="2:8" x14ac:dyDescent="0.2">
      <c r="B2420" s="27" t="s">
        <v>252</v>
      </c>
      <c r="C2420" s="28" t="s">
        <v>970</v>
      </c>
      <c r="D2420" s="29" t="s">
        <v>46</v>
      </c>
      <c r="E2420" s="30" t="s">
        <v>469</v>
      </c>
      <c r="F2420" s="28" t="s">
        <v>356</v>
      </c>
      <c r="G2420" s="30" t="s">
        <v>727</v>
      </c>
      <c r="H2420" t="str">
        <f>CONCATENATE(Prequal[[#This Row],[CITY]], ", ",Prequal[[#This Row],[STATE]])</f>
        <v>Plainfield, IL</v>
      </c>
    </row>
    <row r="2421" spans="2:8" x14ac:dyDescent="0.2">
      <c r="B2421" s="27" t="s">
        <v>252</v>
      </c>
      <c r="C2421" s="28" t="s">
        <v>970</v>
      </c>
      <c r="D2421" s="29" t="s">
        <v>47</v>
      </c>
      <c r="E2421" s="30" t="s">
        <v>469</v>
      </c>
      <c r="F2421" s="28" t="s">
        <v>356</v>
      </c>
      <c r="G2421" s="30" t="s">
        <v>727</v>
      </c>
      <c r="H2421" t="str">
        <f>CONCATENATE(Prequal[[#This Row],[CITY]], ", ",Prequal[[#This Row],[STATE]])</f>
        <v>Plainfield, IL</v>
      </c>
    </row>
    <row r="2422" spans="2:8" x14ac:dyDescent="0.2">
      <c r="B2422" s="27" t="s">
        <v>252</v>
      </c>
      <c r="C2422" s="28" t="s">
        <v>970</v>
      </c>
      <c r="D2422" s="29" t="s">
        <v>48</v>
      </c>
      <c r="E2422" s="30" t="s">
        <v>469</v>
      </c>
      <c r="F2422" s="28" t="s">
        <v>356</v>
      </c>
      <c r="G2422" s="30" t="s">
        <v>727</v>
      </c>
      <c r="H2422" t="str">
        <f>CONCATENATE(Prequal[[#This Row],[CITY]], ", ",Prequal[[#This Row],[STATE]])</f>
        <v>Plainfield, IL</v>
      </c>
    </row>
    <row r="2423" spans="2:8" x14ac:dyDescent="0.2">
      <c r="B2423" s="27" t="s">
        <v>252</v>
      </c>
      <c r="C2423" s="28" t="s">
        <v>970</v>
      </c>
      <c r="D2423" s="29" t="s">
        <v>10</v>
      </c>
      <c r="E2423" s="30" t="s">
        <v>469</v>
      </c>
      <c r="F2423" s="28" t="s">
        <v>356</v>
      </c>
      <c r="G2423" s="30" t="s">
        <v>727</v>
      </c>
      <c r="H2423" t="str">
        <f>CONCATENATE(Prequal[[#This Row],[CITY]], ", ",Prequal[[#This Row],[STATE]])</f>
        <v>Plainfield, IL</v>
      </c>
    </row>
    <row r="2424" spans="2:8" x14ac:dyDescent="0.2">
      <c r="B2424" s="27" t="s">
        <v>252</v>
      </c>
      <c r="C2424" s="28" t="s">
        <v>970</v>
      </c>
      <c r="D2424" s="29" t="s">
        <v>107</v>
      </c>
      <c r="E2424" s="30" t="s">
        <v>469</v>
      </c>
      <c r="F2424" s="28" t="s">
        <v>356</v>
      </c>
      <c r="G2424" s="30" t="s">
        <v>727</v>
      </c>
      <c r="H2424" t="str">
        <f>CONCATENATE(Prequal[[#This Row],[CITY]], ", ",Prequal[[#This Row],[STATE]])</f>
        <v>Plainfield, IL</v>
      </c>
    </row>
    <row r="2425" spans="2:8" x14ac:dyDescent="0.2">
      <c r="B2425" s="27" t="s">
        <v>252</v>
      </c>
      <c r="C2425" s="28" t="s">
        <v>970</v>
      </c>
      <c r="D2425" s="29" t="s">
        <v>108</v>
      </c>
      <c r="E2425" s="30" t="s">
        <v>469</v>
      </c>
      <c r="F2425" s="28" t="s">
        <v>356</v>
      </c>
      <c r="G2425" s="30" t="s">
        <v>727</v>
      </c>
      <c r="H2425" t="str">
        <f>CONCATENATE(Prequal[[#This Row],[CITY]], ", ",Prequal[[#This Row],[STATE]])</f>
        <v>Plainfield, IL</v>
      </c>
    </row>
    <row r="2426" spans="2:8" x14ac:dyDescent="0.2">
      <c r="B2426" s="27" t="s">
        <v>1052</v>
      </c>
      <c r="C2426" s="28" t="s">
        <v>969</v>
      </c>
      <c r="D2426" s="29" t="s">
        <v>39</v>
      </c>
      <c r="E2426" s="30" t="s">
        <v>1053</v>
      </c>
      <c r="F2426" s="28" t="s">
        <v>868</v>
      </c>
      <c r="G2426" s="30" t="s">
        <v>1054</v>
      </c>
      <c r="H2426" t="str">
        <f>CONCATENATE(Prequal[[#This Row],[CITY]], ", ",Prequal[[#This Row],[STATE]])</f>
        <v>San Francisco, CA</v>
      </c>
    </row>
    <row r="2427" spans="2:8" x14ac:dyDescent="0.2">
      <c r="B2427" s="27" t="s">
        <v>253</v>
      </c>
      <c r="C2427" s="28" t="s">
        <v>969</v>
      </c>
      <c r="D2427" s="29" t="s">
        <v>5</v>
      </c>
      <c r="E2427" s="30" t="s">
        <v>470</v>
      </c>
      <c r="F2427" s="28" t="s">
        <v>356</v>
      </c>
      <c r="G2427" s="30" t="s">
        <v>728</v>
      </c>
      <c r="H2427" t="str">
        <f>CONCATENATE(Prequal[[#This Row],[CITY]], ", ",Prequal[[#This Row],[STATE]])</f>
        <v>Willowbrook, IL</v>
      </c>
    </row>
    <row r="2428" spans="2:8" x14ac:dyDescent="0.2">
      <c r="B2428" s="27" t="s">
        <v>253</v>
      </c>
      <c r="C2428" s="28" t="s">
        <v>969</v>
      </c>
      <c r="D2428" s="29" t="s">
        <v>10</v>
      </c>
      <c r="E2428" s="30" t="s">
        <v>470</v>
      </c>
      <c r="F2428" s="28" t="s">
        <v>356</v>
      </c>
      <c r="G2428" s="30" t="s">
        <v>728</v>
      </c>
      <c r="H2428" t="str">
        <f>CONCATENATE(Prequal[[#This Row],[CITY]], ", ",Prequal[[#This Row],[STATE]])</f>
        <v>Willowbrook, IL</v>
      </c>
    </row>
    <row r="2429" spans="2:8" x14ac:dyDescent="0.2">
      <c r="B2429" s="27" t="s">
        <v>522</v>
      </c>
      <c r="C2429" s="28" t="s">
        <v>969</v>
      </c>
      <c r="D2429" s="29" t="s">
        <v>81</v>
      </c>
      <c r="E2429" s="30" t="s">
        <v>478</v>
      </c>
      <c r="F2429" s="28" t="s">
        <v>378</v>
      </c>
      <c r="G2429" s="30" t="s">
        <v>729</v>
      </c>
      <c r="H2429" t="str">
        <f>CONCATENATE(Prequal[[#This Row],[CITY]], ", ",Prequal[[#This Row],[STATE]])</f>
        <v>Sheboygan Falls, WI</v>
      </c>
    </row>
    <row r="2430" spans="2:8" x14ac:dyDescent="0.2">
      <c r="B2430" s="27" t="s">
        <v>522</v>
      </c>
      <c r="C2430" s="28" t="s">
        <v>969</v>
      </c>
      <c r="D2430" s="29" t="s">
        <v>63</v>
      </c>
      <c r="E2430" s="30" t="s">
        <v>478</v>
      </c>
      <c r="F2430" s="28" t="s">
        <v>378</v>
      </c>
      <c r="G2430" s="30" t="s">
        <v>729</v>
      </c>
      <c r="H2430" t="str">
        <f>CONCATENATE(Prequal[[#This Row],[CITY]], ", ",Prequal[[#This Row],[STATE]])</f>
        <v>Sheboygan Falls, WI</v>
      </c>
    </row>
    <row r="2431" spans="2:8" x14ac:dyDescent="0.2">
      <c r="B2431" s="27" t="s">
        <v>254</v>
      </c>
      <c r="C2431" s="28" t="s">
        <v>969</v>
      </c>
      <c r="D2431" s="29" t="s">
        <v>4</v>
      </c>
      <c r="E2431" s="30" t="s">
        <v>471</v>
      </c>
      <c r="F2431" s="28" t="s">
        <v>356</v>
      </c>
      <c r="G2431" s="30" t="s">
        <v>730</v>
      </c>
      <c r="H2431" t="str">
        <f>CONCATENATE(Prequal[[#This Row],[CITY]], ", ",Prequal[[#This Row],[STATE]])</f>
        <v>Collinsville, IL</v>
      </c>
    </row>
    <row r="2432" spans="2:8" x14ac:dyDescent="0.2">
      <c r="B2432" s="27" t="s">
        <v>254</v>
      </c>
      <c r="C2432" s="28" t="s">
        <v>969</v>
      </c>
      <c r="D2432" s="29" t="s">
        <v>5</v>
      </c>
      <c r="E2432" s="30" t="s">
        <v>471</v>
      </c>
      <c r="F2432" s="28" t="s">
        <v>356</v>
      </c>
      <c r="G2432" s="30" t="s">
        <v>730</v>
      </c>
      <c r="H2432" t="str">
        <f>CONCATENATE(Prequal[[#This Row],[CITY]], ", ",Prequal[[#This Row],[STATE]])</f>
        <v>Collinsville, IL</v>
      </c>
    </row>
    <row r="2433" spans="2:8" x14ac:dyDescent="0.2">
      <c r="B2433" s="27" t="s">
        <v>254</v>
      </c>
      <c r="C2433" s="28" t="s">
        <v>969</v>
      </c>
      <c r="D2433" s="29" t="s">
        <v>7</v>
      </c>
      <c r="E2433" s="30" t="s">
        <v>471</v>
      </c>
      <c r="F2433" s="28" t="s">
        <v>356</v>
      </c>
      <c r="G2433" s="30" t="s">
        <v>730</v>
      </c>
      <c r="H2433" t="str">
        <f>CONCATENATE(Prequal[[#This Row],[CITY]], ", ",Prequal[[#This Row],[STATE]])</f>
        <v>Collinsville, IL</v>
      </c>
    </row>
    <row r="2434" spans="2:8" x14ac:dyDescent="0.2">
      <c r="B2434" s="27" t="s">
        <v>254</v>
      </c>
      <c r="C2434" s="28" t="s">
        <v>969</v>
      </c>
      <c r="D2434" s="29" t="s">
        <v>8</v>
      </c>
      <c r="E2434" s="30" t="s">
        <v>471</v>
      </c>
      <c r="F2434" s="28" t="s">
        <v>356</v>
      </c>
      <c r="G2434" s="30" t="s">
        <v>730</v>
      </c>
      <c r="H2434" t="str">
        <f>CONCATENATE(Prequal[[#This Row],[CITY]], ", ",Prequal[[#This Row],[STATE]])</f>
        <v>Collinsville, IL</v>
      </c>
    </row>
    <row r="2435" spans="2:8" x14ac:dyDescent="0.2">
      <c r="B2435" s="27" t="s">
        <v>254</v>
      </c>
      <c r="C2435" s="28" t="s">
        <v>969</v>
      </c>
      <c r="D2435" s="29" t="s">
        <v>24</v>
      </c>
      <c r="E2435" s="30" t="s">
        <v>471</v>
      </c>
      <c r="F2435" s="28" t="s">
        <v>356</v>
      </c>
      <c r="G2435" s="30" t="s">
        <v>730</v>
      </c>
      <c r="H2435" t="str">
        <f>CONCATENATE(Prequal[[#This Row],[CITY]], ", ",Prequal[[#This Row],[STATE]])</f>
        <v>Collinsville, IL</v>
      </c>
    </row>
    <row r="2436" spans="2:8" x14ac:dyDescent="0.2">
      <c r="B2436" s="27" t="s">
        <v>254</v>
      </c>
      <c r="C2436" s="28" t="s">
        <v>969</v>
      </c>
      <c r="D2436" s="29" t="s">
        <v>25</v>
      </c>
      <c r="E2436" s="30" t="s">
        <v>471</v>
      </c>
      <c r="F2436" s="28" t="s">
        <v>356</v>
      </c>
      <c r="G2436" s="30" t="s">
        <v>730</v>
      </c>
      <c r="H2436" t="str">
        <f>CONCATENATE(Prequal[[#This Row],[CITY]], ", ",Prequal[[#This Row],[STATE]])</f>
        <v>Collinsville, IL</v>
      </c>
    </row>
    <row r="2437" spans="2:8" x14ac:dyDescent="0.2">
      <c r="B2437" s="27" t="s">
        <v>254</v>
      </c>
      <c r="C2437" s="28" t="s">
        <v>969</v>
      </c>
      <c r="D2437" s="29" t="s">
        <v>9</v>
      </c>
      <c r="E2437" s="30" t="s">
        <v>471</v>
      </c>
      <c r="F2437" s="28" t="s">
        <v>356</v>
      </c>
      <c r="G2437" s="30" t="s">
        <v>730</v>
      </c>
      <c r="H2437" t="str">
        <f>CONCATENATE(Prequal[[#This Row],[CITY]], ", ",Prequal[[#This Row],[STATE]])</f>
        <v>Collinsville, IL</v>
      </c>
    </row>
    <row r="2438" spans="2:8" x14ac:dyDescent="0.2">
      <c r="B2438" s="27" t="s">
        <v>254</v>
      </c>
      <c r="C2438" s="28" t="s">
        <v>969</v>
      </c>
      <c r="D2438" s="29" t="s">
        <v>27</v>
      </c>
      <c r="E2438" s="30" t="s">
        <v>471</v>
      </c>
      <c r="F2438" s="28" t="s">
        <v>356</v>
      </c>
      <c r="G2438" s="30" t="s">
        <v>730</v>
      </c>
      <c r="H2438" t="str">
        <f>CONCATENATE(Prequal[[#This Row],[CITY]], ", ",Prequal[[#This Row],[STATE]])</f>
        <v>Collinsville, IL</v>
      </c>
    </row>
    <row r="2439" spans="2:8" x14ac:dyDescent="0.2">
      <c r="B2439" s="27" t="s">
        <v>254</v>
      </c>
      <c r="C2439" s="28" t="s">
        <v>969</v>
      </c>
      <c r="D2439" s="29" t="s">
        <v>10</v>
      </c>
      <c r="E2439" s="30" t="s">
        <v>471</v>
      </c>
      <c r="F2439" s="28" t="s">
        <v>356</v>
      </c>
      <c r="G2439" s="30" t="s">
        <v>730</v>
      </c>
      <c r="H2439" t="str">
        <f>CONCATENATE(Prequal[[#This Row],[CITY]], ", ",Prequal[[#This Row],[STATE]])</f>
        <v>Collinsville, IL</v>
      </c>
    </row>
    <row r="2440" spans="2:8" x14ac:dyDescent="0.2">
      <c r="B2440" s="27" t="s">
        <v>254</v>
      </c>
      <c r="C2440" s="28" t="s">
        <v>969</v>
      </c>
      <c r="D2440" s="29" t="s">
        <v>29</v>
      </c>
      <c r="E2440" s="30" t="s">
        <v>471</v>
      </c>
      <c r="F2440" s="28" t="s">
        <v>356</v>
      </c>
      <c r="G2440" s="30" t="s">
        <v>730</v>
      </c>
      <c r="H2440" t="str">
        <f>CONCATENATE(Prequal[[#This Row],[CITY]], ", ",Prequal[[#This Row],[STATE]])</f>
        <v>Collinsville, IL</v>
      </c>
    </row>
    <row r="2441" spans="2:8" x14ac:dyDescent="0.2">
      <c r="B2441" s="27" t="s">
        <v>254</v>
      </c>
      <c r="C2441" s="28" t="s">
        <v>969</v>
      </c>
      <c r="D2441" s="29" t="s">
        <v>37</v>
      </c>
      <c r="E2441" s="30" t="s">
        <v>471</v>
      </c>
      <c r="F2441" s="28" t="s">
        <v>356</v>
      </c>
      <c r="G2441" s="30" t="s">
        <v>730</v>
      </c>
      <c r="H2441" t="str">
        <f>CONCATENATE(Prequal[[#This Row],[CITY]], ", ",Prequal[[#This Row],[STATE]])</f>
        <v>Collinsville, IL</v>
      </c>
    </row>
    <row r="2442" spans="2:8" x14ac:dyDescent="0.2">
      <c r="B2442" s="27" t="s">
        <v>254</v>
      </c>
      <c r="C2442" s="28" t="s">
        <v>969</v>
      </c>
      <c r="D2442" s="29" t="s">
        <v>13</v>
      </c>
      <c r="E2442" s="30" t="s">
        <v>471</v>
      </c>
      <c r="F2442" s="28" t="s">
        <v>356</v>
      </c>
      <c r="G2442" s="30" t="s">
        <v>730</v>
      </c>
      <c r="H2442" t="str">
        <f>CONCATENATE(Prequal[[#This Row],[CITY]], ", ",Prequal[[#This Row],[STATE]])</f>
        <v>Collinsville, IL</v>
      </c>
    </row>
    <row r="2443" spans="2:8" x14ac:dyDescent="0.2">
      <c r="B2443" s="27" t="s">
        <v>254</v>
      </c>
      <c r="C2443" s="32" t="s">
        <v>969</v>
      </c>
      <c r="D2443" s="29" t="s">
        <v>14</v>
      </c>
      <c r="E2443" s="30" t="s">
        <v>471</v>
      </c>
      <c r="F2443" s="28" t="s">
        <v>356</v>
      </c>
      <c r="G2443" s="40" t="s">
        <v>730</v>
      </c>
      <c r="H2443" t="str">
        <f>CONCATENATE(Prequal[[#This Row],[CITY]], ", ",Prequal[[#This Row],[STATE]])</f>
        <v>Collinsville, IL</v>
      </c>
    </row>
    <row r="2444" spans="2:8" x14ac:dyDescent="0.2">
      <c r="B2444" s="27" t="s">
        <v>254</v>
      </c>
      <c r="C2444" s="28" t="s">
        <v>969</v>
      </c>
      <c r="D2444" s="29" t="s">
        <v>15</v>
      </c>
      <c r="E2444" s="30" t="s">
        <v>471</v>
      </c>
      <c r="F2444" s="28" t="s">
        <v>356</v>
      </c>
      <c r="G2444" s="30" t="s">
        <v>730</v>
      </c>
      <c r="H2444" t="str">
        <f>CONCATENATE(Prequal[[#This Row],[CITY]], ", ",Prequal[[#This Row],[STATE]])</f>
        <v>Collinsville, IL</v>
      </c>
    </row>
    <row r="2445" spans="2:8" x14ac:dyDescent="0.2">
      <c r="B2445" s="27" t="s">
        <v>254</v>
      </c>
      <c r="C2445" s="28" t="s">
        <v>969</v>
      </c>
      <c r="D2445" s="29" t="s">
        <v>30</v>
      </c>
      <c r="E2445" s="30" t="s">
        <v>471</v>
      </c>
      <c r="F2445" s="28" t="s">
        <v>356</v>
      </c>
      <c r="G2445" s="30" t="s">
        <v>730</v>
      </c>
      <c r="H2445" t="str">
        <f>CONCATENATE(Prequal[[#This Row],[CITY]], ", ",Prequal[[#This Row],[STATE]])</f>
        <v>Collinsville, IL</v>
      </c>
    </row>
    <row r="2446" spans="2:8" x14ac:dyDescent="0.2">
      <c r="B2446" s="27" t="s">
        <v>254</v>
      </c>
      <c r="C2446" s="28" t="s">
        <v>969</v>
      </c>
      <c r="D2446" s="29" t="s">
        <v>31</v>
      </c>
      <c r="E2446" s="30" t="s">
        <v>471</v>
      </c>
      <c r="F2446" s="28" t="s">
        <v>356</v>
      </c>
      <c r="G2446" s="30" t="s">
        <v>730</v>
      </c>
      <c r="H2446" t="str">
        <f>CONCATENATE(Prequal[[#This Row],[CITY]], ", ",Prequal[[#This Row],[STATE]])</f>
        <v>Collinsville, IL</v>
      </c>
    </row>
    <row r="2447" spans="2:8" x14ac:dyDescent="0.2">
      <c r="B2447" s="27" t="s">
        <v>254</v>
      </c>
      <c r="C2447" s="28" t="s">
        <v>969</v>
      </c>
      <c r="D2447" s="29" t="s">
        <v>32</v>
      </c>
      <c r="E2447" s="30" t="s">
        <v>471</v>
      </c>
      <c r="F2447" s="28" t="s">
        <v>356</v>
      </c>
      <c r="G2447" s="30" t="s">
        <v>730</v>
      </c>
      <c r="H2447" t="str">
        <f>CONCATENATE(Prequal[[#This Row],[CITY]], ", ",Prequal[[#This Row],[STATE]])</f>
        <v>Collinsville, IL</v>
      </c>
    </row>
    <row r="2448" spans="2:8" x14ac:dyDescent="0.2">
      <c r="B2448" s="27" t="s">
        <v>917</v>
      </c>
      <c r="C2448" s="28" t="s">
        <v>969</v>
      </c>
      <c r="D2448" s="29" t="s">
        <v>11</v>
      </c>
      <c r="E2448" s="30" t="s">
        <v>947</v>
      </c>
      <c r="F2448" s="28" t="s">
        <v>356</v>
      </c>
      <c r="G2448" s="30" t="s">
        <v>924</v>
      </c>
      <c r="H2448" t="str">
        <f>CONCATENATE(Prequal[[#This Row],[CITY]], ", ",Prequal[[#This Row],[STATE]])</f>
        <v>Chicago, IL</v>
      </c>
    </row>
    <row r="2449" spans="2:8" x14ac:dyDescent="0.2">
      <c r="B2449" s="27" t="s">
        <v>1119</v>
      </c>
      <c r="C2449" s="28" t="s">
        <v>970</v>
      </c>
      <c r="D2449" s="29" t="s">
        <v>43</v>
      </c>
      <c r="E2449" s="30" t="s">
        <v>385</v>
      </c>
      <c r="F2449" s="28" t="s">
        <v>378</v>
      </c>
      <c r="G2449" s="30" t="s">
        <v>1120</v>
      </c>
      <c r="H2449" t="str">
        <f>CONCATENATE(Prequal[[#This Row],[CITY]], ", ",Prequal[[#This Row],[STATE]])</f>
        <v>Milwaukee, WI</v>
      </c>
    </row>
    <row r="2450" spans="2:8" x14ac:dyDescent="0.2">
      <c r="B2450" s="27" t="s">
        <v>1119</v>
      </c>
      <c r="C2450" s="28" t="s">
        <v>970</v>
      </c>
      <c r="D2450" s="29" t="s">
        <v>9</v>
      </c>
      <c r="E2450" s="30" t="s">
        <v>385</v>
      </c>
      <c r="F2450" s="28" t="s">
        <v>378</v>
      </c>
      <c r="G2450" s="30" t="s">
        <v>1120</v>
      </c>
      <c r="H2450" t="str">
        <f>CONCATENATE(Prequal[[#This Row],[CITY]], ", ",Prequal[[#This Row],[STATE]])</f>
        <v>Milwaukee, WI</v>
      </c>
    </row>
    <row r="2451" spans="2:8" x14ac:dyDescent="0.2">
      <c r="B2451" s="27" t="s">
        <v>1119</v>
      </c>
      <c r="C2451" s="28" t="s">
        <v>970</v>
      </c>
      <c r="D2451" s="29" t="s">
        <v>10</v>
      </c>
      <c r="E2451" s="30" t="s">
        <v>385</v>
      </c>
      <c r="F2451" s="28" t="s">
        <v>378</v>
      </c>
      <c r="G2451" s="30" t="s">
        <v>1120</v>
      </c>
      <c r="H2451" t="str">
        <f>CONCATENATE(Prequal[[#This Row],[CITY]], ", ",Prequal[[#This Row],[STATE]])</f>
        <v>Milwaukee, WI</v>
      </c>
    </row>
    <row r="2452" spans="2:8" x14ac:dyDescent="0.2">
      <c r="B2452" s="27" t="s">
        <v>1119</v>
      </c>
      <c r="C2452" s="28" t="s">
        <v>970</v>
      </c>
      <c r="D2452" s="29" t="s">
        <v>29</v>
      </c>
      <c r="E2452" s="30" t="s">
        <v>385</v>
      </c>
      <c r="F2452" s="28" t="s">
        <v>378</v>
      </c>
      <c r="G2452" s="30" t="s">
        <v>1120</v>
      </c>
      <c r="H2452" t="str">
        <f>CONCATENATE(Prequal[[#This Row],[CITY]], ", ",Prequal[[#This Row],[STATE]])</f>
        <v>Milwaukee, WI</v>
      </c>
    </row>
    <row r="2453" spans="2:8" x14ac:dyDescent="0.2">
      <c r="B2453" s="27" t="s">
        <v>840</v>
      </c>
      <c r="C2453" s="28" t="s">
        <v>970</v>
      </c>
      <c r="D2453" s="29" t="s">
        <v>59</v>
      </c>
      <c r="E2453" s="30" t="s">
        <v>947</v>
      </c>
      <c r="F2453" s="28" t="s">
        <v>356</v>
      </c>
      <c r="G2453" s="30" t="s">
        <v>841</v>
      </c>
      <c r="H2453" t="str">
        <f>CONCATENATE(Prequal[[#This Row],[CITY]], ", ",Prequal[[#This Row],[STATE]])</f>
        <v>Chicago, IL</v>
      </c>
    </row>
    <row r="2454" spans="2:8" x14ac:dyDescent="0.2">
      <c r="B2454" s="27" t="s">
        <v>840</v>
      </c>
      <c r="C2454" s="28" t="s">
        <v>970</v>
      </c>
      <c r="D2454" s="29" t="s">
        <v>10</v>
      </c>
      <c r="E2454" s="30" t="s">
        <v>947</v>
      </c>
      <c r="F2454" s="28" t="s">
        <v>356</v>
      </c>
      <c r="G2454" s="30" t="s">
        <v>841</v>
      </c>
      <c r="H2454" t="str">
        <f>CONCATENATE(Prequal[[#This Row],[CITY]], ", ",Prequal[[#This Row],[STATE]])</f>
        <v>Chicago, IL</v>
      </c>
    </row>
    <row r="2455" spans="2:8" x14ac:dyDescent="0.2">
      <c r="B2455" s="27" t="s">
        <v>840</v>
      </c>
      <c r="C2455" s="28" t="s">
        <v>970</v>
      </c>
      <c r="D2455" s="29" t="s">
        <v>51</v>
      </c>
      <c r="E2455" s="30" t="s">
        <v>947</v>
      </c>
      <c r="F2455" s="28" t="s">
        <v>356</v>
      </c>
      <c r="G2455" s="30" t="s">
        <v>841</v>
      </c>
      <c r="H2455" t="str">
        <f>CONCATENATE(Prequal[[#This Row],[CITY]], ", ",Prequal[[#This Row],[STATE]])</f>
        <v>Chicago, IL</v>
      </c>
    </row>
    <row r="2456" spans="2:8" x14ac:dyDescent="0.2">
      <c r="B2456" s="27" t="s">
        <v>539</v>
      </c>
      <c r="C2456" s="28" t="s">
        <v>969</v>
      </c>
      <c r="D2456" s="29" t="s">
        <v>5</v>
      </c>
      <c r="E2456" s="30" t="s">
        <v>443</v>
      </c>
      <c r="F2456" s="28" t="s">
        <v>444</v>
      </c>
      <c r="G2456" s="30" t="s">
        <v>1000</v>
      </c>
      <c r="H2456" t="str">
        <f>CONCATENATE(Prequal[[#This Row],[CITY]], ", ",Prequal[[#This Row],[STATE]])</f>
        <v>Dubuque, IA</v>
      </c>
    </row>
    <row r="2457" spans="2:8" x14ac:dyDescent="0.2">
      <c r="B2457" s="27" t="s">
        <v>539</v>
      </c>
      <c r="C2457" s="28" t="s">
        <v>969</v>
      </c>
      <c r="D2457" s="29" t="s">
        <v>8</v>
      </c>
      <c r="E2457" s="30" t="s">
        <v>443</v>
      </c>
      <c r="F2457" s="28" t="s">
        <v>444</v>
      </c>
      <c r="G2457" s="30" t="s">
        <v>1000</v>
      </c>
      <c r="H2457" t="str">
        <f>CONCATENATE(Prequal[[#This Row],[CITY]], ", ",Prequal[[#This Row],[STATE]])</f>
        <v>Dubuque, IA</v>
      </c>
    </row>
    <row r="2458" spans="2:8" x14ac:dyDescent="0.2">
      <c r="B2458" s="27" t="s">
        <v>539</v>
      </c>
      <c r="C2458" s="28" t="s">
        <v>969</v>
      </c>
      <c r="D2458" s="29" t="s">
        <v>9</v>
      </c>
      <c r="E2458" s="30" t="s">
        <v>443</v>
      </c>
      <c r="F2458" s="28" t="s">
        <v>444</v>
      </c>
      <c r="G2458" s="30" t="s">
        <v>1000</v>
      </c>
      <c r="H2458" t="str">
        <f>CONCATENATE(Prequal[[#This Row],[CITY]], ", ",Prequal[[#This Row],[STATE]])</f>
        <v>Dubuque, IA</v>
      </c>
    </row>
    <row r="2459" spans="2:8" x14ac:dyDescent="0.2">
      <c r="B2459" s="27" t="s">
        <v>539</v>
      </c>
      <c r="C2459" s="28" t="s">
        <v>969</v>
      </c>
      <c r="D2459" s="29" t="s">
        <v>10</v>
      </c>
      <c r="E2459" s="30" t="s">
        <v>443</v>
      </c>
      <c r="F2459" s="28" t="s">
        <v>444</v>
      </c>
      <c r="G2459" s="30" t="s">
        <v>1000</v>
      </c>
      <c r="H2459" t="str">
        <f>CONCATENATE(Prequal[[#This Row],[CITY]], ", ",Prequal[[#This Row],[STATE]])</f>
        <v>Dubuque, IA</v>
      </c>
    </row>
    <row r="2460" spans="2:8" x14ac:dyDescent="0.2">
      <c r="B2460" s="27" t="s">
        <v>539</v>
      </c>
      <c r="C2460" s="28" t="s">
        <v>969</v>
      </c>
      <c r="D2460" s="29" t="s">
        <v>12</v>
      </c>
      <c r="E2460" s="30" t="s">
        <v>443</v>
      </c>
      <c r="F2460" s="28" t="s">
        <v>444</v>
      </c>
      <c r="G2460" s="30" t="s">
        <v>1000</v>
      </c>
      <c r="H2460" t="str">
        <f>CONCATENATE(Prequal[[#This Row],[CITY]], ", ",Prequal[[#This Row],[STATE]])</f>
        <v>Dubuque, IA</v>
      </c>
    </row>
    <row r="2461" spans="2:8" x14ac:dyDescent="0.2">
      <c r="B2461" s="27" t="s">
        <v>539</v>
      </c>
      <c r="C2461" s="28" t="s">
        <v>969</v>
      </c>
      <c r="D2461" s="29" t="s">
        <v>29</v>
      </c>
      <c r="E2461" s="30" t="s">
        <v>443</v>
      </c>
      <c r="F2461" s="28" t="s">
        <v>444</v>
      </c>
      <c r="G2461" s="30" t="s">
        <v>1000</v>
      </c>
      <c r="H2461" t="str">
        <f>CONCATENATE(Prequal[[#This Row],[CITY]], ", ",Prequal[[#This Row],[STATE]])</f>
        <v>Dubuque, IA</v>
      </c>
    </row>
    <row r="2462" spans="2:8" x14ac:dyDescent="0.2">
      <c r="B2462" s="27" t="s">
        <v>539</v>
      </c>
      <c r="C2462" s="28" t="s">
        <v>969</v>
      </c>
      <c r="D2462" s="29" t="s">
        <v>15</v>
      </c>
      <c r="E2462" s="30" t="s">
        <v>443</v>
      </c>
      <c r="F2462" s="28" t="s">
        <v>444</v>
      </c>
      <c r="G2462" s="30" t="s">
        <v>1000</v>
      </c>
      <c r="H2462" t="str">
        <f>CONCATENATE(Prequal[[#This Row],[CITY]], ", ",Prequal[[#This Row],[STATE]])</f>
        <v>Dubuque, IA</v>
      </c>
    </row>
    <row r="2463" spans="2:8" x14ac:dyDescent="0.2">
      <c r="B2463" s="27" t="s">
        <v>539</v>
      </c>
      <c r="C2463" s="28" t="s">
        <v>969</v>
      </c>
      <c r="D2463" s="29" t="s">
        <v>31</v>
      </c>
      <c r="E2463" s="30" t="s">
        <v>443</v>
      </c>
      <c r="F2463" s="28" t="s">
        <v>444</v>
      </c>
      <c r="G2463" s="30" t="s">
        <v>1000</v>
      </c>
      <c r="H2463" t="str">
        <f>CONCATENATE(Prequal[[#This Row],[CITY]], ", ",Prequal[[#This Row],[STATE]])</f>
        <v>Dubuque, IA</v>
      </c>
    </row>
    <row r="2464" spans="2:8" x14ac:dyDescent="0.2">
      <c r="B2464" s="27" t="s">
        <v>539</v>
      </c>
      <c r="C2464" s="28" t="s">
        <v>969</v>
      </c>
      <c r="D2464" s="29" t="s">
        <v>32</v>
      </c>
      <c r="E2464" s="30" t="s">
        <v>443</v>
      </c>
      <c r="F2464" s="28" t="s">
        <v>444</v>
      </c>
      <c r="G2464" s="30" t="s">
        <v>1000</v>
      </c>
      <c r="H2464" t="str">
        <f>CONCATENATE(Prequal[[#This Row],[CITY]], ", ",Prequal[[#This Row],[STATE]])</f>
        <v>Dubuque, IA</v>
      </c>
    </row>
    <row r="2465" spans="2:8" x14ac:dyDescent="0.2">
      <c r="B2465" s="27" t="s">
        <v>255</v>
      </c>
      <c r="C2465" s="28" t="s">
        <v>969</v>
      </c>
      <c r="D2465" s="29" t="s">
        <v>4</v>
      </c>
      <c r="E2465" s="30" t="s">
        <v>947</v>
      </c>
      <c r="F2465" s="28" t="s">
        <v>356</v>
      </c>
      <c r="G2465" s="30" t="s">
        <v>731</v>
      </c>
      <c r="H2465" t="str">
        <f>CONCATENATE(Prequal[[#This Row],[CITY]], ", ",Prequal[[#This Row],[STATE]])</f>
        <v>Chicago, IL</v>
      </c>
    </row>
    <row r="2466" spans="2:8" x14ac:dyDescent="0.2">
      <c r="B2466" s="27" t="s">
        <v>255</v>
      </c>
      <c r="C2466" s="28" t="s">
        <v>969</v>
      </c>
      <c r="D2466" s="29" t="s">
        <v>5</v>
      </c>
      <c r="E2466" s="30" t="s">
        <v>947</v>
      </c>
      <c r="F2466" s="28" t="s">
        <v>356</v>
      </c>
      <c r="G2466" s="30" t="s">
        <v>731</v>
      </c>
      <c r="H2466" t="str">
        <f>CONCATENATE(Prequal[[#This Row],[CITY]], ", ",Prequal[[#This Row],[STATE]])</f>
        <v>Chicago, IL</v>
      </c>
    </row>
    <row r="2467" spans="2:8" x14ac:dyDescent="0.2">
      <c r="B2467" s="27" t="s">
        <v>255</v>
      </c>
      <c r="C2467" s="28" t="s">
        <v>969</v>
      </c>
      <c r="D2467" s="29" t="s">
        <v>10</v>
      </c>
      <c r="E2467" s="30" t="s">
        <v>947</v>
      </c>
      <c r="F2467" s="28" t="s">
        <v>356</v>
      </c>
      <c r="G2467" s="30" t="s">
        <v>731</v>
      </c>
      <c r="H2467" t="str">
        <f>CONCATENATE(Prequal[[#This Row],[CITY]], ", ",Prequal[[#This Row],[STATE]])</f>
        <v>Chicago, IL</v>
      </c>
    </row>
    <row r="2468" spans="2:8" x14ac:dyDescent="0.2">
      <c r="B2468" s="27" t="s">
        <v>255</v>
      </c>
      <c r="C2468" s="28" t="s">
        <v>969</v>
      </c>
      <c r="D2468" s="29" t="s">
        <v>13</v>
      </c>
      <c r="E2468" s="30" t="s">
        <v>947</v>
      </c>
      <c r="F2468" s="28" t="s">
        <v>356</v>
      </c>
      <c r="G2468" s="30" t="s">
        <v>731</v>
      </c>
      <c r="H2468" t="str">
        <f>CONCATENATE(Prequal[[#This Row],[CITY]], ", ",Prequal[[#This Row],[STATE]])</f>
        <v>Chicago, IL</v>
      </c>
    </row>
    <row r="2469" spans="2:8" x14ac:dyDescent="0.2">
      <c r="B2469" s="27" t="s">
        <v>255</v>
      </c>
      <c r="C2469" s="28" t="s">
        <v>969</v>
      </c>
      <c r="D2469" s="29" t="s">
        <v>14</v>
      </c>
      <c r="E2469" s="30" t="s">
        <v>947</v>
      </c>
      <c r="F2469" s="28" t="s">
        <v>356</v>
      </c>
      <c r="G2469" s="30" t="s">
        <v>731</v>
      </c>
      <c r="H2469" t="str">
        <f>CONCATENATE(Prequal[[#This Row],[CITY]], ", ",Prequal[[#This Row],[STATE]])</f>
        <v>Chicago, IL</v>
      </c>
    </row>
    <row r="2470" spans="2:8" x14ac:dyDescent="0.2">
      <c r="B2470" s="27" t="s">
        <v>255</v>
      </c>
      <c r="C2470" s="28" t="s">
        <v>969</v>
      </c>
      <c r="D2470" s="29" t="s">
        <v>30</v>
      </c>
      <c r="E2470" s="30" t="s">
        <v>947</v>
      </c>
      <c r="F2470" s="28" t="s">
        <v>356</v>
      </c>
      <c r="G2470" s="30" t="s">
        <v>731</v>
      </c>
      <c r="H2470" t="str">
        <f>CONCATENATE(Prequal[[#This Row],[CITY]], ", ",Prequal[[#This Row],[STATE]])</f>
        <v>Chicago, IL</v>
      </c>
    </row>
    <row r="2471" spans="2:8" x14ac:dyDescent="0.2">
      <c r="B2471" s="27" t="s">
        <v>255</v>
      </c>
      <c r="C2471" s="28" t="s">
        <v>969</v>
      </c>
      <c r="D2471" s="29" t="s">
        <v>31</v>
      </c>
      <c r="E2471" s="30" t="s">
        <v>947</v>
      </c>
      <c r="F2471" s="28" t="s">
        <v>356</v>
      </c>
      <c r="G2471" s="30" t="s">
        <v>731</v>
      </c>
      <c r="H2471" t="str">
        <f>CONCATENATE(Prequal[[#This Row],[CITY]], ", ",Prequal[[#This Row],[STATE]])</f>
        <v>Chicago, IL</v>
      </c>
    </row>
    <row r="2472" spans="2:8" x14ac:dyDescent="0.2">
      <c r="B2472" s="27" t="s">
        <v>255</v>
      </c>
      <c r="C2472" s="28" t="s">
        <v>969</v>
      </c>
      <c r="D2472" s="29" t="s">
        <v>32</v>
      </c>
      <c r="E2472" s="30" t="s">
        <v>947</v>
      </c>
      <c r="F2472" s="28" t="s">
        <v>356</v>
      </c>
      <c r="G2472" s="30" t="s">
        <v>731</v>
      </c>
      <c r="H2472" t="str">
        <f>CONCATENATE(Prequal[[#This Row],[CITY]], ", ",Prequal[[#This Row],[STATE]])</f>
        <v>Chicago, IL</v>
      </c>
    </row>
    <row r="2473" spans="2:8" x14ac:dyDescent="0.2">
      <c r="B2473" s="27" t="s">
        <v>255</v>
      </c>
      <c r="C2473" s="28" t="s">
        <v>969</v>
      </c>
      <c r="D2473" s="29" t="s">
        <v>54</v>
      </c>
      <c r="E2473" s="30" t="s">
        <v>947</v>
      </c>
      <c r="F2473" s="28" t="s">
        <v>356</v>
      </c>
      <c r="G2473" s="30" t="s">
        <v>731</v>
      </c>
      <c r="H2473" t="str">
        <f>CONCATENATE(Prequal[[#This Row],[CITY]], ", ",Prequal[[#This Row],[STATE]])</f>
        <v>Chicago, IL</v>
      </c>
    </row>
    <row r="2474" spans="2:8" x14ac:dyDescent="0.2">
      <c r="B2474" s="27" t="s">
        <v>256</v>
      </c>
      <c r="C2474" s="28" t="s">
        <v>970</v>
      </c>
      <c r="D2474" s="29" t="s">
        <v>4</v>
      </c>
      <c r="E2474" s="30" t="s">
        <v>472</v>
      </c>
      <c r="F2474" s="28" t="s">
        <v>356</v>
      </c>
      <c r="G2474" s="30" t="s">
        <v>732</v>
      </c>
      <c r="H2474" t="str">
        <f>CONCATENATE(Prequal[[#This Row],[CITY]], ", ",Prequal[[#This Row],[STATE]])</f>
        <v>Wheaton, IL</v>
      </c>
    </row>
    <row r="2475" spans="2:8" x14ac:dyDescent="0.2">
      <c r="B2475" s="27" t="s">
        <v>256</v>
      </c>
      <c r="C2475" s="28" t="s">
        <v>970</v>
      </c>
      <c r="D2475" s="29" t="s">
        <v>5</v>
      </c>
      <c r="E2475" s="30" t="s">
        <v>472</v>
      </c>
      <c r="F2475" s="28" t="s">
        <v>356</v>
      </c>
      <c r="G2475" s="30" t="s">
        <v>732</v>
      </c>
      <c r="H2475" t="str">
        <f>CONCATENATE(Prequal[[#This Row],[CITY]], ", ",Prequal[[#This Row],[STATE]])</f>
        <v>Wheaton, IL</v>
      </c>
    </row>
    <row r="2476" spans="2:8" x14ac:dyDescent="0.2">
      <c r="B2476" s="27" t="s">
        <v>256</v>
      </c>
      <c r="C2476" s="28" t="s">
        <v>970</v>
      </c>
      <c r="D2476" s="29" t="s">
        <v>25</v>
      </c>
      <c r="E2476" s="30" t="s">
        <v>472</v>
      </c>
      <c r="F2476" s="28" t="s">
        <v>356</v>
      </c>
      <c r="G2476" s="30" t="s">
        <v>732</v>
      </c>
      <c r="H2476" t="str">
        <f>CONCATENATE(Prequal[[#This Row],[CITY]], ", ",Prequal[[#This Row],[STATE]])</f>
        <v>Wheaton, IL</v>
      </c>
    </row>
    <row r="2477" spans="2:8" x14ac:dyDescent="0.2">
      <c r="B2477" s="27" t="s">
        <v>256</v>
      </c>
      <c r="C2477" s="28" t="s">
        <v>970</v>
      </c>
      <c r="D2477" s="29" t="s">
        <v>9</v>
      </c>
      <c r="E2477" s="30" t="s">
        <v>472</v>
      </c>
      <c r="F2477" s="28" t="s">
        <v>356</v>
      </c>
      <c r="G2477" s="30" t="s">
        <v>732</v>
      </c>
      <c r="H2477" t="str">
        <f>CONCATENATE(Prequal[[#This Row],[CITY]], ", ",Prequal[[#This Row],[STATE]])</f>
        <v>Wheaton, IL</v>
      </c>
    </row>
    <row r="2478" spans="2:8" x14ac:dyDescent="0.2">
      <c r="B2478" s="27" t="s">
        <v>256</v>
      </c>
      <c r="C2478" s="28" t="s">
        <v>970</v>
      </c>
      <c r="D2478" s="29" t="s">
        <v>10</v>
      </c>
      <c r="E2478" s="30" t="s">
        <v>472</v>
      </c>
      <c r="F2478" s="28" t="s">
        <v>356</v>
      </c>
      <c r="G2478" s="30" t="s">
        <v>732</v>
      </c>
      <c r="H2478" t="str">
        <f>CONCATENATE(Prequal[[#This Row],[CITY]], ", ",Prequal[[#This Row],[STATE]])</f>
        <v>Wheaton, IL</v>
      </c>
    </row>
    <row r="2479" spans="2:8" x14ac:dyDescent="0.2">
      <c r="B2479" s="27" t="s">
        <v>256</v>
      </c>
      <c r="C2479" s="28" t="s">
        <v>970</v>
      </c>
      <c r="D2479" s="29" t="s">
        <v>37</v>
      </c>
      <c r="E2479" s="30" t="s">
        <v>472</v>
      </c>
      <c r="F2479" s="28" t="s">
        <v>356</v>
      </c>
      <c r="G2479" s="30" t="s">
        <v>732</v>
      </c>
      <c r="H2479" t="str">
        <f>CONCATENATE(Prequal[[#This Row],[CITY]], ", ",Prequal[[#This Row],[STATE]])</f>
        <v>Wheaton, IL</v>
      </c>
    </row>
    <row r="2480" spans="2:8" x14ac:dyDescent="0.2">
      <c r="B2480" s="27" t="s">
        <v>256</v>
      </c>
      <c r="C2480" s="28" t="s">
        <v>970</v>
      </c>
      <c r="D2480" s="29" t="s">
        <v>13</v>
      </c>
      <c r="E2480" s="30" t="s">
        <v>472</v>
      </c>
      <c r="F2480" s="28" t="s">
        <v>356</v>
      </c>
      <c r="G2480" s="30" t="s">
        <v>732</v>
      </c>
      <c r="H2480" t="str">
        <f>CONCATENATE(Prequal[[#This Row],[CITY]], ", ",Prequal[[#This Row],[STATE]])</f>
        <v>Wheaton, IL</v>
      </c>
    </row>
    <row r="2481" spans="2:8" x14ac:dyDescent="0.2">
      <c r="B2481" s="27" t="s">
        <v>256</v>
      </c>
      <c r="C2481" s="28" t="s">
        <v>970</v>
      </c>
      <c r="D2481" s="29" t="s">
        <v>14</v>
      </c>
      <c r="E2481" s="30" t="s">
        <v>472</v>
      </c>
      <c r="F2481" s="28" t="s">
        <v>356</v>
      </c>
      <c r="G2481" s="30" t="s">
        <v>732</v>
      </c>
      <c r="H2481" t="str">
        <f>CONCATENATE(Prequal[[#This Row],[CITY]], ", ",Prequal[[#This Row],[STATE]])</f>
        <v>Wheaton, IL</v>
      </c>
    </row>
    <row r="2482" spans="2:8" x14ac:dyDescent="0.2">
      <c r="B2482" s="27" t="s">
        <v>1032</v>
      </c>
      <c r="C2482" s="28" t="s">
        <v>969</v>
      </c>
      <c r="D2482" s="29" t="s">
        <v>43</v>
      </c>
      <c r="E2482" s="30" t="s">
        <v>1033</v>
      </c>
      <c r="F2482" s="28" t="s">
        <v>356</v>
      </c>
      <c r="G2482" s="30" t="s">
        <v>1034</v>
      </c>
      <c r="H2482" t="str">
        <f>CONCATENATE(Prequal[[#This Row],[CITY]], ", ",Prequal[[#This Row],[STATE]])</f>
        <v>Park Rige, IL</v>
      </c>
    </row>
    <row r="2483" spans="2:8" x14ac:dyDescent="0.2">
      <c r="B2483" s="27" t="s">
        <v>1032</v>
      </c>
      <c r="C2483" s="28" t="s">
        <v>969</v>
      </c>
      <c r="D2483" s="29" t="s">
        <v>44</v>
      </c>
      <c r="E2483" s="30" t="s">
        <v>1033</v>
      </c>
      <c r="F2483" s="28" t="s">
        <v>356</v>
      </c>
      <c r="G2483" s="30" t="s">
        <v>1034</v>
      </c>
      <c r="H2483" t="str">
        <f>CONCATENATE(Prequal[[#This Row],[CITY]], ", ",Prequal[[#This Row],[STATE]])</f>
        <v>Park Rige, IL</v>
      </c>
    </row>
    <row r="2484" spans="2:8" x14ac:dyDescent="0.2">
      <c r="B2484" s="27" t="s">
        <v>1032</v>
      </c>
      <c r="C2484" s="28" t="s">
        <v>969</v>
      </c>
      <c r="D2484" s="29" t="s">
        <v>4</v>
      </c>
      <c r="E2484" s="30" t="s">
        <v>1033</v>
      </c>
      <c r="F2484" s="28" t="s">
        <v>356</v>
      </c>
      <c r="G2484" s="30" t="s">
        <v>1034</v>
      </c>
      <c r="H2484" t="str">
        <f>CONCATENATE(Prequal[[#This Row],[CITY]], ", ",Prequal[[#This Row],[STATE]])</f>
        <v>Park Rige, IL</v>
      </c>
    </row>
    <row r="2485" spans="2:8" x14ac:dyDescent="0.2">
      <c r="B2485" s="27" t="s">
        <v>1032</v>
      </c>
      <c r="C2485" s="28" t="s">
        <v>969</v>
      </c>
      <c r="D2485" s="29" t="s">
        <v>5</v>
      </c>
      <c r="E2485" s="30" t="s">
        <v>1033</v>
      </c>
      <c r="F2485" s="28" t="s">
        <v>356</v>
      </c>
      <c r="G2485" s="30" t="s">
        <v>1034</v>
      </c>
      <c r="H2485" t="str">
        <f>CONCATENATE(Prequal[[#This Row],[CITY]], ", ",Prequal[[#This Row],[STATE]])</f>
        <v>Park Rige, IL</v>
      </c>
    </row>
    <row r="2486" spans="2:8" x14ac:dyDescent="0.2">
      <c r="B2486" s="27" t="s">
        <v>1032</v>
      </c>
      <c r="C2486" s="28" t="s">
        <v>969</v>
      </c>
      <c r="D2486" s="29" t="s">
        <v>24</v>
      </c>
      <c r="E2486" s="30" t="s">
        <v>1033</v>
      </c>
      <c r="F2486" s="28" t="s">
        <v>356</v>
      </c>
      <c r="G2486" s="30" t="s">
        <v>1034</v>
      </c>
      <c r="H2486" t="str">
        <f>CONCATENATE(Prequal[[#This Row],[CITY]], ", ",Prequal[[#This Row],[STATE]])</f>
        <v>Park Rige, IL</v>
      </c>
    </row>
    <row r="2487" spans="2:8" x14ac:dyDescent="0.2">
      <c r="B2487" s="27" t="s">
        <v>1032</v>
      </c>
      <c r="C2487" s="28" t="s">
        <v>969</v>
      </c>
      <c r="D2487" s="29" t="s">
        <v>25</v>
      </c>
      <c r="E2487" s="30" t="s">
        <v>1033</v>
      </c>
      <c r="F2487" s="28" t="s">
        <v>356</v>
      </c>
      <c r="G2487" s="30" t="s">
        <v>1034</v>
      </c>
      <c r="H2487" t="str">
        <f>CONCATENATE(Prequal[[#This Row],[CITY]], ", ",Prequal[[#This Row],[STATE]])</f>
        <v>Park Rige, IL</v>
      </c>
    </row>
    <row r="2488" spans="2:8" x14ac:dyDescent="0.2">
      <c r="B2488" s="27" t="s">
        <v>1032</v>
      </c>
      <c r="C2488" s="28" t="s">
        <v>969</v>
      </c>
      <c r="D2488" s="29" t="s">
        <v>9</v>
      </c>
      <c r="E2488" s="30" t="s">
        <v>1033</v>
      </c>
      <c r="F2488" s="28" t="s">
        <v>356</v>
      </c>
      <c r="G2488" s="30" t="s">
        <v>1034</v>
      </c>
      <c r="H2488" t="str">
        <f>CONCATENATE(Prequal[[#This Row],[CITY]], ", ",Prequal[[#This Row],[STATE]])</f>
        <v>Park Rige, IL</v>
      </c>
    </row>
    <row r="2489" spans="2:8" x14ac:dyDescent="0.2">
      <c r="B2489" s="27" t="s">
        <v>1032</v>
      </c>
      <c r="C2489" s="28" t="s">
        <v>969</v>
      </c>
      <c r="D2489" s="29" t="s">
        <v>51</v>
      </c>
      <c r="E2489" s="30" t="s">
        <v>1033</v>
      </c>
      <c r="F2489" s="28" t="s">
        <v>356</v>
      </c>
      <c r="G2489" s="30" t="s">
        <v>1034</v>
      </c>
      <c r="H2489" t="str">
        <f>CONCATENATE(Prequal[[#This Row],[CITY]], ", ",Prequal[[#This Row],[STATE]])</f>
        <v>Park Rige, IL</v>
      </c>
    </row>
    <row r="2490" spans="2:8" x14ac:dyDescent="0.2">
      <c r="B2490" s="27" t="s">
        <v>1032</v>
      </c>
      <c r="C2490" s="28" t="s">
        <v>969</v>
      </c>
      <c r="D2490" s="29" t="s">
        <v>39</v>
      </c>
      <c r="E2490" s="30" t="s">
        <v>1033</v>
      </c>
      <c r="F2490" s="28" t="s">
        <v>356</v>
      </c>
      <c r="G2490" s="30" t="s">
        <v>1034</v>
      </c>
      <c r="H2490" t="str">
        <f>CONCATENATE(Prequal[[#This Row],[CITY]], ", ",Prequal[[#This Row],[STATE]])</f>
        <v>Park Rige, IL</v>
      </c>
    </row>
    <row r="2491" spans="2:8" x14ac:dyDescent="0.2">
      <c r="B2491" s="27" t="s">
        <v>1032</v>
      </c>
      <c r="C2491" s="28" t="s">
        <v>969</v>
      </c>
      <c r="D2491" s="29" t="s">
        <v>37</v>
      </c>
      <c r="E2491" s="30" t="s">
        <v>1033</v>
      </c>
      <c r="F2491" s="28" t="s">
        <v>356</v>
      </c>
      <c r="G2491" s="30" t="s">
        <v>1034</v>
      </c>
      <c r="H2491" t="str">
        <f>CONCATENATE(Prequal[[#This Row],[CITY]], ", ",Prequal[[#This Row],[STATE]])</f>
        <v>Park Rige, IL</v>
      </c>
    </row>
    <row r="2492" spans="2:8" x14ac:dyDescent="0.2">
      <c r="B2492" s="27" t="s">
        <v>1032</v>
      </c>
      <c r="C2492" s="28" t="s">
        <v>969</v>
      </c>
      <c r="D2492" s="29" t="s">
        <v>13</v>
      </c>
      <c r="E2492" s="30" t="s">
        <v>1033</v>
      </c>
      <c r="F2492" s="28" t="s">
        <v>356</v>
      </c>
      <c r="G2492" s="30" t="s">
        <v>1034</v>
      </c>
      <c r="H2492" t="str">
        <f>CONCATENATE(Prequal[[#This Row],[CITY]], ", ",Prequal[[#This Row],[STATE]])</f>
        <v>Park Rige, IL</v>
      </c>
    </row>
    <row r="2493" spans="2:8" x14ac:dyDescent="0.2">
      <c r="B2493" s="27" t="s">
        <v>1032</v>
      </c>
      <c r="C2493" s="28" t="s">
        <v>969</v>
      </c>
      <c r="D2493" s="29" t="s">
        <v>14</v>
      </c>
      <c r="E2493" s="30" t="s">
        <v>1033</v>
      </c>
      <c r="F2493" s="28" t="s">
        <v>356</v>
      </c>
      <c r="G2493" s="30" t="s">
        <v>1034</v>
      </c>
      <c r="H2493" t="str">
        <f>CONCATENATE(Prequal[[#This Row],[CITY]], ", ",Prequal[[#This Row],[STATE]])</f>
        <v>Park Rige, IL</v>
      </c>
    </row>
    <row r="2494" spans="2:8" x14ac:dyDescent="0.2">
      <c r="B2494" s="27" t="s">
        <v>257</v>
      </c>
      <c r="C2494" s="28" t="s">
        <v>969</v>
      </c>
      <c r="D2494" s="29" t="s">
        <v>43</v>
      </c>
      <c r="E2494" s="30" t="s">
        <v>947</v>
      </c>
      <c r="F2494" s="28" t="s">
        <v>356</v>
      </c>
      <c r="G2494" s="30" t="s">
        <v>733</v>
      </c>
      <c r="H2494" t="str">
        <f>CONCATENATE(Prequal[[#This Row],[CITY]], ", ",Prequal[[#This Row],[STATE]])</f>
        <v>Chicago, IL</v>
      </c>
    </row>
    <row r="2495" spans="2:8" x14ac:dyDescent="0.2">
      <c r="B2495" s="27" t="s">
        <v>257</v>
      </c>
      <c r="C2495" s="28" t="s">
        <v>969</v>
      </c>
      <c r="D2495" s="29" t="s">
        <v>44</v>
      </c>
      <c r="E2495" s="30" t="s">
        <v>947</v>
      </c>
      <c r="F2495" s="28" t="s">
        <v>356</v>
      </c>
      <c r="G2495" s="30" t="s">
        <v>733</v>
      </c>
      <c r="H2495" t="str">
        <f>CONCATENATE(Prequal[[#This Row],[CITY]], ", ",Prequal[[#This Row],[STATE]])</f>
        <v>Chicago, IL</v>
      </c>
    </row>
    <row r="2496" spans="2:8" x14ac:dyDescent="0.2">
      <c r="B2496" s="27" t="s">
        <v>257</v>
      </c>
      <c r="C2496" s="28" t="s">
        <v>969</v>
      </c>
      <c r="D2496" s="29" t="s">
        <v>4</v>
      </c>
      <c r="E2496" s="30" t="s">
        <v>947</v>
      </c>
      <c r="F2496" s="28" t="s">
        <v>356</v>
      </c>
      <c r="G2496" s="30" t="s">
        <v>733</v>
      </c>
      <c r="H2496" t="str">
        <f>CONCATENATE(Prequal[[#This Row],[CITY]], ", ",Prequal[[#This Row],[STATE]])</f>
        <v>Chicago, IL</v>
      </c>
    </row>
    <row r="2497" spans="2:8" x14ac:dyDescent="0.2">
      <c r="B2497" s="27" t="s">
        <v>257</v>
      </c>
      <c r="C2497" s="28" t="s">
        <v>969</v>
      </c>
      <c r="D2497" s="29" t="s">
        <v>5</v>
      </c>
      <c r="E2497" s="30" t="s">
        <v>947</v>
      </c>
      <c r="F2497" s="28" t="s">
        <v>356</v>
      </c>
      <c r="G2497" s="30" t="s">
        <v>733</v>
      </c>
      <c r="H2497" t="str">
        <f>CONCATENATE(Prequal[[#This Row],[CITY]], ", ",Prequal[[#This Row],[STATE]])</f>
        <v>Chicago, IL</v>
      </c>
    </row>
    <row r="2498" spans="2:8" x14ac:dyDescent="0.2">
      <c r="B2498" s="27" t="s">
        <v>257</v>
      </c>
      <c r="C2498" s="28" t="s">
        <v>969</v>
      </c>
      <c r="D2498" s="29" t="s">
        <v>6</v>
      </c>
      <c r="E2498" s="30" t="s">
        <v>947</v>
      </c>
      <c r="F2498" s="28" t="s">
        <v>356</v>
      </c>
      <c r="G2498" s="30" t="s">
        <v>733</v>
      </c>
      <c r="H2498" t="str">
        <f>CONCATENATE(Prequal[[#This Row],[CITY]], ", ",Prequal[[#This Row],[STATE]])</f>
        <v>Chicago, IL</v>
      </c>
    </row>
    <row r="2499" spans="2:8" x14ac:dyDescent="0.2">
      <c r="B2499" s="27" t="s">
        <v>257</v>
      </c>
      <c r="C2499" s="28" t="s">
        <v>969</v>
      </c>
      <c r="D2499" s="29" t="s">
        <v>7</v>
      </c>
      <c r="E2499" s="30" t="s">
        <v>947</v>
      </c>
      <c r="F2499" s="28" t="s">
        <v>356</v>
      </c>
      <c r="G2499" s="30" t="s">
        <v>733</v>
      </c>
      <c r="H2499" t="str">
        <f>CONCATENATE(Prequal[[#This Row],[CITY]], ", ",Prequal[[#This Row],[STATE]])</f>
        <v>Chicago, IL</v>
      </c>
    </row>
    <row r="2500" spans="2:8" x14ac:dyDescent="0.2">
      <c r="B2500" s="27" t="s">
        <v>257</v>
      </c>
      <c r="C2500" s="28" t="s">
        <v>969</v>
      </c>
      <c r="D2500" s="29" t="s">
        <v>8</v>
      </c>
      <c r="E2500" s="30" t="s">
        <v>947</v>
      </c>
      <c r="F2500" s="28" t="s">
        <v>356</v>
      </c>
      <c r="G2500" s="30" t="s">
        <v>733</v>
      </c>
      <c r="H2500" t="str">
        <f>CONCATENATE(Prequal[[#This Row],[CITY]], ", ",Prequal[[#This Row],[STATE]])</f>
        <v>Chicago, IL</v>
      </c>
    </row>
    <row r="2501" spans="2:8" x14ac:dyDescent="0.2">
      <c r="B2501" s="27" t="s">
        <v>257</v>
      </c>
      <c r="C2501" s="28" t="s">
        <v>969</v>
      </c>
      <c r="D2501" s="29" t="s">
        <v>24</v>
      </c>
      <c r="E2501" s="30" t="s">
        <v>947</v>
      </c>
      <c r="F2501" s="28" t="s">
        <v>356</v>
      </c>
      <c r="G2501" s="30" t="s">
        <v>733</v>
      </c>
      <c r="H2501" t="str">
        <f>CONCATENATE(Prequal[[#This Row],[CITY]], ", ",Prequal[[#This Row],[STATE]])</f>
        <v>Chicago, IL</v>
      </c>
    </row>
    <row r="2502" spans="2:8" x14ac:dyDescent="0.2">
      <c r="B2502" s="27" t="s">
        <v>257</v>
      </c>
      <c r="C2502" s="28" t="s">
        <v>969</v>
      </c>
      <c r="D2502" s="29" t="s">
        <v>25</v>
      </c>
      <c r="E2502" s="30" t="s">
        <v>947</v>
      </c>
      <c r="F2502" s="28" t="s">
        <v>356</v>
      </c>
      <c r="G2502" s="30" t="s">
        <v>733</v>
      </c>
      <c r="H2502" t="str">
        <f>CONCATENATE(Prequal[[#This Row],[CITY]], ", ",Prequal[[#This Row],[STATE]])</f>
        <v>Chicago, IL</v>
      </c>
    </row>
    <row r="2503" spans="2:8" x14ac:dyDescent="0.2">
      <c r="B2503" s="27" t="s">
        <v>257</v>
      </c>
      <c r="C2503" s="28" t="s">
        <v>969</v>
      </c>
      <c r="D2503" s="29" t="s">
        <v>9</v>
      </c>
      <c r="E2503" s="30" t="s">
        <v>947</v>
      </c>
      <c r="F2503" s="28" t="s">
        <v>356</v>
      </c>
      <c r="G2503" s="30" t="s">
        <v>733</v>
      </c>
      <c r="H2503" t="str">
        <f>CONCATENATE(Prequal[[#This Row],[CITY]], ", ",Prequal[[#This Row],[STATE]])</f>
        <v>Chicago, IL</v>
      </c>
    </row>
    <row r="2504" spans="2:8" x14ac:dyDescent="0.2">
      <c r="B2504" s="27" t="s">
        <v>257</v>
      </c>
      <c r="C2504" s="28" t="s">
        <v>969</v>
      </c>
      <c r="D2504" s="29" t="s">
        <v>27</v>
      </c>
      <c r="E2504" s="30" t="s">
        <v>947</v>
      </c>
      <c r="F2504" s="28" t="s">
        <v>356</v>
      </c>
      <c r="G2504" s="30" t="s">
        <v>733</v>
      </c>
      <c r="H2504" t="str">
        <f>CONCATENATE(Prequal[[#This Row],[CITY]], ", ",Prequal[[#This Row],[STATE]])</f>
        <v>Chicago, IL</v>
      </c>
    </row>
    <row r="2505" spans="2:8" x14ac:dyDescent="0.2">
      <c r="B2505" s="27" t="s">
        <v>257</v>
      </c>
      <c r="C2505" s="28" t="s">
        <v>969</v>
      </c>
      <c r="D2505" s="29" t="s">
        <v>21</v>
      </c>
      <c r="E2505" s="30" t="s">
        <v>947</v>
      </c>
      <c r="F2505" s="28" t="s">
        <v>356</v>
      </c>
      <c r="G2505" s="30" t="s">
        <v>733</v>
      </c>
      <c r="H2505" t="str">
        <f>CONCATENATE(Prequal[[#This Row],[CITY]], ", ",Prequal[[#This Row],[STATE]])</f>
        <v>Chicago, IL</v>
      </c>
    </row>
    <row r="2506" spans="2:8" x14ac:dyDescent="0.2">
      <c r="B2506" s="27" t="s">
        <v>257</v>
      </c>
      <c r="C2506" s="28" t="s">
        <v>969</v>
      </c>
      <c r="D2506" s="29" t="s">
        <v>22</v>
      </c>
      <c r="E2506" s="30" t="s">
        <v>947</v>
      </c>
      <c r="F2506" s="28" t="s">
        <v>356</v>
      </c>
      <c r="G2506" s="30" t="s">
        <v>733</v>
      </c>
      <c r="H2506" t="str">
        <f>CONCATENATE(Prequal[[#This Row],[CITY]], ", ",Prequal[[#This Row],[STATE]])</f>
        <v>Chicago, IL</v>
      </c>
    </row>
    <row r="2507" spans="2:8" x14ac:dyDescent="0.2">
      <c r="B2507" s="27" t="s">
        <v>257</v>
      </c>
      <c r="C2507" s="28" t="s">
        <v>969</v>
      </c>
      <c r="D2507" s="29" t="s">
        <v>39</v>
      </c>
      <c r="E2507" s="30" t="s">
        <v>947</v>
      </c>
      <c r="F2507" s="28" t="s">
        <v>356</v>
      </c>
      <c r="G2507" s="30" t="s">
        <v>733</v>
      </c>
      <c r="H2507" t="str">
        <f>CONCATENATE(Prequal[[#This Row],[CITY]], ", ",Prequal[[#This Row],[STATE]])</f>
        <v>Chicago, IL</v>
      </c>
    </row>
    <row r="2508" spans="2:8" x14ac:dyDescent="0.2">
      <c r="B2508" s="27" t="s">
        <v>257</v>
      </c>
      <c r="C2508" s="28" t="s">
        <v>969</v>
      </c>
      <c r="D2508" s="29" t="s">
        <v>37</v>
      </c>
      <c r="E2508" s="30" t="s">
        <v>947</v>
      </c>
      <c r="F2508" s="28" t="s">
        <v>356</v>
      </c>
      <c r="G2508" s="30" t="s">
        <v>733</v>
      </c>
      <c r="H2508" t="str">
        <f>CONCATENATE(Prequal[[#This Row],[CITY]], ", ",Prequal[[#This Row],[STATE]])</f>
        <v>Chicago, IL</v>
      </c>
    </row>
    <row r="2509" spans="2:8" x14ac:dyDescent="0.2">
      <c r="B2509" s="27" t="s">
        <v>257</v>
      </c>
      <c r="C2509" s="28" t="s">
        <v>969</v>
      </c>
      <c r="D2509" s="29" t="s">
        <v>13</v>
      </c>
      <c r="E2509" s="30" t="s">
        <v>947</v>
      </c>
      <c r="F2509" s="28" t="s">
        <v>356</v>
      </c>
      <c r="G2509" s="30" t="s">
        <v>733</v>
      </c>
      <c r="H2509" t="str">
        <f>CONCATENATE(Prequal[[#This Row],[CITY]], ", ",Prequal[[#This Row],[STATE]])</f>
        <v>Chicago, IL</v>
      </c>
    </row>
    <row r="2510" spans="2:8" x14ac:dyDescent="0.2">
      <c r="B2510" s="27" t="s">
        <v>257</v>
      </c>
      <c r="C2510" s="28" t="s">
        <v>969</v>
      </c>
      <c r="D2510" s="29" t="s">
        <v>52</v>
      </c>
      <c r="E2510" s="30" t="s">
        <v>947</v>
      </c>
      <c r="F2510" s="28" t="s">
        <v>356</v>
      </c>
      <c r="G2510" s="30" t="s">
        <v>733</v>
      </c>
      <c r="H2510" t="str">
        <f>CONCATENATE(Prequal[[#This Row],[CITY]], ", ",Prequal[[#This Row],[STATE]])</f>
        <v>Chicago, IL</v>
      </c>
    </row>
    <row r="2511" spans="2:8" x14ac:dyDescent="0.2">
      <c r="B2511" s="27" t="s">
        <v>257</v>
      </c>
      <c r="C2511" s="28" t="s">
        <v>969</v>
      </c>
      <c r="D2511" s="29" t="s">
        <v>14</v>
      </c>
      <c r="E2511" s="30" t="s">
        <v>947</v>
      </c>
      <c r="F2511" s="28" t="s">
        <v>356</v>
      </c>
      <c r="G2511" s="30" t="s">
        <v>733</v>
      </c>
      <c r="H2511" t="str">
        <f>CONCATENATE(Prequal[[#This Row],[CITY]], ", ",Prequal[[#This Row],[STATE]])</f>
        <v>Chicago, IL</v>
      </c>
    </row>
    <row r="2512" spans="2:8" x14ac:dyDescent="0.2">
      <c r="B2512" s="27" t="s">
        <v>257</v>
      </c>
      <c r="C2512" s="28" t="s">
        <v>969</v>
      </c>
      <c r="D2512" s="29" t="s">
        <v>15</v>
      </c>
      <c r="E2512" s="30" t="s">
        <v>947</v>
      </c>
      <c r="F2512" s="28" t="s">
        <v>356</v>
      </c>
      <c r="G2512" s="30" t="s">
        <v>733</v>
      </c>
      <c r="H2512" t="str">
        <f>CONCATENATE(Prequal[[#This Row],[CITY]], ", ",Prequal[[#This Row],[STATE]])</f>
        <v>Chicago, IL</v>
      </c>
    </row>
    <row r="2513" spans="2:8" x14ac:dyDescent="0.2">
      <c r="B2513" s="27" t="s">
        <v>257</v>
      </c>
      <c r="C2513" s="28" t="s">
        <v>969</v>
      </c>
      <c r="D2513" s="29" t="s">
        <v>30</v>
      </c>
      <c r="E2513" s="30" t="s">
        <v>947</v>
      </c>
      <c r="F2513" s="28" t="s">
        <v>356</v>
      </c>
      <c r="G2513" s="30" t="s">
        <v>733</v>
      </c>
      <c r="H2513" t="str">
        <f>CONCATENATE(Prequal[[#This Row],[CITY]], ", ",Prequal[[#This Row],[STATE]])</f>
        <v>Chicago, IL</v>
      </c>
    </row>
    <row r="2514" spans="2:8" x14ac:dyDescent="0.2">
      <c r="B2514" s="27" t="s">
        <v>257</v>
      </c>
      <c r="C2514" s="28" t="s">
        <v>969</v>
      </c>
      <c r="D2514" s="29" t="s">
        <v>53</v>
      </c>
      <c r="E2514" s="30" t="s">
        <v>947</v>
      </c>
      <c r="F2514" s="28" t="s">
        <v>356</v>
      </c>
      <c r="G2514" s="30" t="s">
        <v>733</v>
      </c>
      <c r="H2514" t="str">
        <f>CONCATENATE(Prequal[[#This Row],[CITY]], ", ",Prequal[[#This Row],[STATE]])</f>
        <v>Chicago, IL</v>
      </c>
    </row>
    <row r="2515" spans="2:8" x14ac:dyDescent="0.2">
      <c r="B2515" s="27" t="s">
        <v>257</v>
      </c>
      <c r="C2515" s="28" t="s">
        <v>969</v>
      </c>
      <c r="D2515" s="29" t="s">
        <v>31</v>
      </c>
      <c r="E2515" s="30" t="s">
        <v>947</v>
      </c>
      <c r="F2515" s="28" t="s">
        <v>356</v>
      </c>
      <c r="G2515" s="30" t="s">
        <v>733</v>
      </c>
      <c r="H2515" t="str">
        <f>CONCATENATE(Prequal[[#This Row],[CITY]], ", ",Prequal[[#This Row],[STATE]])</f>
        <v>Chicago, IL</v>
      </c>
    </row>
    <row r="2516" spans="2:8" x14ac:dyDescent="0.2">
      <c r="B2516" s="27" t="s">
        <v>257</v>
      </c>
      <c r="C2516" s="28" t="s">
        <v>969</v>
      </c>
      <c r="D2516" s="29" t="s">
        <v>32</v>
      </c>
      <c r="E2516" s="30" t="s">
        <v>947</v>
      </c>
      <c r="F2516" s="28" t="s">
        <v>356</v>
      </c>
      <c r="G2516" s="30" t="s">
        <v>733</v>
      </c>
      <c r="H2516" t="str">
        <f>CONCATENATE(Prequal[[#This Row],[CITY]], ", ",Prequal[[#This Row],[STATE]])</f>
        <v>Chicago, IL</v>
      </c>
    </row>
    <row r="2517" spans="2:8" x14ac:dyDescent="0.2">
      <c r="B2517" s="27" t="s">
        <v>257</v>
      </c>
      <c r="C2517" s="28" t="s">
        <v>969</v>
      </c>
      <c r="D2517" s="29" t="s">
        <v>54</v>
      </c>
      <c r="E2517" s="30" t="s">
        <v>947</v>
      </c>
      <c r="F2517" s="28" t="s">
        <v>356</v>
      </c>
      <c r="G2517" s="30" t="s">
        <v>733</v>
      </c>
      <c r="H2517" t="str">
        <f>CONCATENATE(Prequal[[#This Row],[CITY]], ", ",Prequal[[#This Row],[STATE]])</f>
        <v>Chicago, IL</v>
      </c>
    </row>
    <row r="2518" spans="2:8" x14ac:dyDescent="0.2">
      <c r="B2518" s="27" t="s">
        <v>257</v>
      </c>
      <c r="C2518" s="28" t="s">
        <v>969</v>
      </c>
      <c r="D2518" s="29" t="s">
        <v>38</v>
      </c>
      <c r="E2518" s="30" t="s">
        <v>947</v>
      </c>
      <c r="F2518" s="28" t="s">
        <v>356</v>
      </c>
      <c r="G2518" s="30" t="s">
        <v>733</v>
      </c>
      <c r="H2518" t="str">
        <f>CONCATENATE(Prequal[[#This Row],[CITY]], ", ",Prequal[[#This Row],[STATE]])</f>
        <v>Chicago, IL</v>
      </c>
    </row>
    <row r="2519" spans="2:8" x14ac:dyDescent="0.2">
      <c r="B2519" s="27" t="s">
        <v>257</v>
      </c>
      <c r="C2519" s="28" t="s">
        <v>969</v>
      </c>
      <c r="D2519" s="29" t="s">
        <v>55</v>
      </c>
      <c r="E2519" s="30" t="s">
        <v>947</v>
      </c>
      <c r="F2519" s="28" t="s">
        <v>356</v>
      </c>
      <c r="G2519" s="30" t="s">
        <v>733</v>
      </c>
      <c r="H2519" t="str">
        <f>CONCATENATE(Prequal[[#This Row],[CITY]], ", ",Prequal[[#This Row],[STATE]])</f>
        <v>Chicago, IL</v>
      </c>
    </row>
    <row r="2520" spans="2:8" x14ac:dyDescent="0.2">
      <c r="B2520" s="27" t="s">
        <v>257</v>
      </c>
      <c r="C2520" s="28" t="s">
        <v>969</v>
      </c>
      <c r="D2520" s="29" t="s">
        <v>56</v>
      </c>
      <c r="E2520" s="30" t="s">
        <v>947</v>
      </c>
      <c r="F2520" s="28" t="s">
        <v>356</v>
      </c>
      <c r="G2520" s="30" t="s">
        <v>733</v>
      </c>
      <c r="H2520" t="str">
        <f>CONCATENATE(Prequal[[#This Row],[CITY]], ", ",Prequal[[#This Row],[STATE]])</f>
        <v>Chicago, IL</v>
      </c>
    </row>
    <row r="2521" spans="2:8" x14ac:dyDescent="0.2">
      <c r="B2521" s="27" t="s">
        <v>257</v>
      </c>
      <c r="C2521" s="28" t="s">
        <v>969</v>
      </c>
      <c r="D2521" s="29" t="s">
        <v>33</v>
      </c>
      <c r="E2521" s="30" t="s">
        <v>947</v>
      </c>
      <c r="F2521" s="28" t="s">
        <v>356</v>
      </c>
      <c r="G2521" s="30" t="s">
        <v>733</v>
      </c>
      <c r="H2521" t="str">
        <f>CONCATENATE(Prequal[[#This Row],[CITY]], ", ",Prequal[[#This Row],[STATE]])</f>
        <v>Chicago, IL</v>
      </c>
    </row>
    <row r="2522" spans="2:8" x14ac:dyDescent="0.2">
      <c r="B2522" s="27" t="s">
        <v>257</v>
      </c>
      <c r="C2522" s="28" t="s">
        <v>969</v>
      </c>
      <c r="D2522" s="29" t="s">
        <v>57</v>
      </c>
      <c r="E2522" s="30" t="s">
        <v>947</v>
      </c>
      <c r="F2522" s="28" t="s">
        <v>356</v>
      </c>
      <c r="G2522" s="30" t="s">
        <v>733</v>
      </c>
      <c r="H2522" t="str">
        <f>CONCATENATE(Prequal[[#This Row],[CITY]], ", ",Prequal[[#This Row],[STATE]])</f>
        <v>Chicago, IL</v>
      </c>
    </row>
    <row r="2523" spans="2:8" x14ac:dyDescent="0.2">
      <c r="B2523" s="27" t="s">
        <v>258</v>
      </c>
      <c r="C2523" s="28" t="s">
        <v>969</v>
      </c>
      <c r="D2523" s="29" t="s">
        <v>43</v>
      </c>
      <c r="E2523" s="30" t="s">
        <v>358</v>
      </c>
      <c r="F2523" s="28" t="s">
        <v>356</v>
      </c>
      <c r="G2523" s="30" t="s">
        <v>1077</v>
      </c>
      <c r="H2523" t="str">
        <f>CONCATENATE(Prequal[[#This Row],[CITY]], ", ",Prequal[[#This Row],[STATE]])</f>
        <v>Lisle, IL</v>
      </c>
    </row>
    <row r="2524" spans="2:8" x14ac:dyDescent="0.2">
      <c r="B2524" s="27" t="s">
        <v>258</v>
      </c>
      <c r="C2524" s="28" t="s">
        <v>969</v>
      </c>
      <c r="D2524" s="29" t="s">
        <v>4</v>
      </c>
      <c r="E2524" s="30" t="s">
        <v>358</v>
      </c>
      <c r="F2524" s="28" t="s">
        <v>356</v>
      </c>
      <c r="G2524" s="30" t="s">
        <v>1077</v>
      </c>
      <c r="H2524" t="str">
        <f>CONCATENATE(Prequal[[#This Row],[CITY]], ", ",Prequal[[#This Row],[STATE]])</f>
        <v>Lisle, IL</v>
      </c>
    </row>
    <row r="2525" spans="2:8" x14ac:dyDescent="0.2">
      <c r="B2525" s="27" t="s">
        <v>258</v>
      </c>
      <c r="C2525" s="28" t="s">
        <v>969</v>
      </c>
      <c r="D2525" s="29" t="s">
        <v>5</v>
      </c>
      <c r="E2525" s="30" t="s">
        <v>358</v>
      </c>
      <c r="F2525" s="28" t="s">
        <v>356</v>
      </c>
      <c r="G2525" s="30" t="s">
        <v>1077</v>
      </c>
      <c r="H2525" t="str">
        <f>CONCATENATE(Prequal[[#This Row],[CITY]], ", ",Prequal[[#This Row],[STATE]])</f>
        <v>Lisle, IL</v>
      </c>
    </row>
    <row r="2526" spans="2:8" x14ac:dyDescent="0.2">
      <c r="B2526" s="27" t="s">
        <v>258</v>
      </c>
      <c r="C2526" s="28" t="s">
        <v>969</v>
      </c>
      <c r="D2526" s="29" t="s">
        <v>6</v>
      </c>
      <c r="E2526" s="30" t="s">
        <v>358</v>
      </c>
      <c r="F2526" s="28" t="s">
        <v>356</v>
      </c>
      <c r="G2526" s="30" t="s">
        <v>1077</v>
      </c>
      <c r="H2526" t="str">
        <f>CONCATENATE(Prequal[[#This Row],[CITY]], ", ",Prequal[[#This Row],[STATE]])</f>
        <v>Lisle, IL</v>
      </c>
    </row>
    <row r="2527" spans="2:8" x14ac:dyDescent="0.2">
      <c r="B2527" s="27" t="s">
        <v>258</v>
      </c>
      <c r="C2527" s="28" t="s">
        <v>969</v>
      </c>
      <c r="D2527" s="29" t="s">
        <v>7</v>
      </c>
      <c r="E2527" s="30" t="s">
        <v>358</v>
      </c>
      <c r="F2527" s="28" t="s">
        <v>356</v>
      </c>
      <c r="G2527" s="30" t="s">
        <v>1077</v>
      </c>
      <c r="H2527" t="str">
        <f>CONCATENATE(Prequal[[#This Row],[CITY]], ", ",Prequal[[#This Row],[STATE]])</f>
        <v>Lisle, IL</v>
      </c>
    </row>
    <row r="2528" spans="2:8" x14ac:dyDescent="0.2">
      <c r="B2528" s="27" t="s">
        <v>258</v>
      </c>
      <c r="C2528" s="28" t="s">
        <v>969</v>
      </c>
      <c r="D2528" s="29" t="s">
        <v>8</v>
      </c>
      <c r="E2528" s="30" t="s">
        <v>358</v>
      </c>
      <c r="F2528" s="28" t="s">
        <v>356</v>
      </c>
      <c r="G2528" s="30" t="s">
        <v>1077</v>
      </c>
      <c r="H2528" t="str">
        <f>CONCATENATE(Prequal[[#This Row],[CITY]], ", ",Prequal[[#This Row],[STATE]])</f>
        <v>Lisle, IL</v>
      </c>
    </row>
    <row r="2529" spans="2:8" x14ac:dyDescent="0.2">
      <c r="B2529" s="27" t="s">
        <v>258</v>
      </c>
      <c r="C2529" s="28" t="s">
        <v>969</v>
      </c>
      <c r="D2529" s="29" t="s">
        <v>24</v>
      </c>
      <c r="E2529" s="30" t="s">
        <v>358</v>
      </c>
      <c r="F2529" s="28" t="s">
        <v>356</v>
      </c>
      <c r="G2529" s="30" t="s">
        <v>1077</v>
      </c>
      <c r="H2529" t="str">
        <f>CONCATENATE(Prequal[[#This Row],[CITY]], ", ",Prequal[[#This Row],[STATE]])</f>
        <v>Lisle, IL</v>
      </c>
    </row>
    <row r="2530" spans="2:8" x14ac:dyDescent="0.2">
      <c r="B2530" s="27" t="s">
        <v>258</v>
      </c>
      <c r="C2530" s="28" t="s">
        <v>969</v>
      </c>
      <c r="D2530" s="29" t="s">
        <v>25</v>
      </c>
      <c r="E2530" s="30" t="s">
        <v>358</v>
      </c>
      <c r="F2530" s="28" t="s">
        <v>356</v>
      </c>
      <c r="G2530" s="30" t="s">
        <v>1077</v>
      </c>
      <c r="H2530" t="str">
        <f>CONCATENATE(Prequal[[#This Row],[CITY]], ", ",Prequal[[#This Row],[STATE]])</f>
        <v>Lisle, IL</v>
      </c>
    </row>
    <row r="2531" spans="2:8" x14ac:dyDescent="0.2">
      <c r="B2531" s="27" t="s">
        <v>258</v>
      </c>
      <c r="C2531" s="28" t="s">
        <v>969</v>
      </c>
      <c r="D2531" s="29" t="s">
        <v>9</v>
      </c>
      <c r="E2531" s="30" t="s">
        <v>358</v>
      </c>
      <c r="F2531" s="28" t="s">
        <v>356</v>
      </c>
      <c r="G2531" s="30" t="s">
        <v>1077</v>
      </c>
      <c r="H2531" t="str">
        <f>CONCATENATE(Prequal[[#This Row],[CITY]], ", ",Prequal[[#This Row],[STATE]])</f>
        <v>Lisle, IL</v>
      </c>
    </row>
    <row r="2532" spans="2:8" x14ac:dyDescent="0.2">
      <c r="B2532" s="27" t="s">
        <v>258</v>
      </c>
      <c r="C2532" s="28" t="s">
        <v>969</v>
      </c>
      <c r="D2532" s="29" t="s">
        <v>27</v>
      </c>
      <c r="E2532" s="30" t="s">
        <v>358</v>
      </c>
      <c r="F2532" s="28" t="s">
        <v>356</v>
      </c>
      <c r="G2532" s="30" t="s">
        <v>1077</v>
      </c>
      <c r="H2532" t="str">
        <f>CONCATENATE(Prequal[[#This Row],[CITY]], ", ",Prequal[[#This Row],[STATE]])</f>
        <v>Lisle, IL</v>
      </c>
    </row>
    <row r="2533" spans="2:8" x14ac:dyDescent="0.2">
      <c r="B2533" s="27" t="s">
        <v>258</v>
      </c>
      <c r="C2533" s="28" t="s">
        <v>969</v>
      </c>
      <c r="D2533" s="29" t="s">
        <v>10</v>
      </c>
      <c r="E2533" s="30" t="s">
        <v>358</v>
      </c>
      <c r="F2533" s="28" t="s">
        <v>356</v>
      </c>
      <c r="G2533" s="30" t="s">
        <v>1077</v>
      </c>
      <c r="H2533" t="str">
        <f>CONCATENATE(Prequal[[#This Row],[CITY]], ", ",Prequal[[#This Row],[STATE]])</f>
        <v>Lisle, IL</v>
      </c>
    </row>
    <row r="2534" spans="2:8" x14ac:dyDescent="0.2">
      <c r="B2534" s="27" t="s">
        <v>258</v>
      </c>
      <c r="C2534" s="28" t="s">
        <v>969</v>
      </c>
      <c r="D2534" s="29" t="s">
        <v>51</v>
      </c>
      <c r="E2534" s="30" t="s">
        <v>358</v>
      </c>
      <c r="F2534" s="28" t="s">
        <v>356</v>
      </c>
      <c r="G2534" s="30" t="s">
        <v>1077</v>
      </c>
      <c r="H2534" t="str">
        <f>CONCATENATE(Prequal[[#This Row],[CITY]], ", ",Prequal[[#This Row],[STATE]])</f>
        <v>Lisle, IL</v>
      </c>
    </row>
    <row r="2535" spans="2:8" x14ac:dyDescent="0.2">
      <c r="B2535" s="27" t="s">
        <v>258</v>
      </c>
      <c r="C2535" s="28" t="s">
        <v>969</v>
      </c>
      <c r="D2535" s="29" t="s">
        <v>39</v>
      </c>
      <c r="E2535" s="30" t="s">
        <v>358</v>
      </c>
      <c r="F2535" s="28" t="s">
        <v>356</v>
      </c>
      <c r="G2535" s="30" t="s">
        <v>1077</v>
      </c>
      <c r="H2535" t="str">
        <f>CONCATENATE(Prequal[[#This Row],[CITY]], ", ",Prequal[[#This Row],[STATE]])</f>
        <v>Lisle, IL</v>
      </c>
    </row>
    <row r="2536" spans="2:8" x14ac:dyDescent="0.2">
      <c r="B2536" s="27" t="s">
        <v>258</v>
      </c>
      <c r="C2536" s="28" t="s">
        <v>969</v>
      </c>
      <c r="D2536" s="29" t="s">
        <v>12</v>
      </c>
      <c r="E2536" s="30" t="s">
        <v>358</v>
      </c>
      <c r="F2536" s="28" t="s">
        <v>356</v>
      </c>
      <c r="G2536" s="30" t="s">
        <v>1077</v>
      </c>
      <c r="H2536" t="str">
        <f>CONCATENATE(Prequal[[#This Row],[CITY]], ", ",Prequal[[#This Row],[STATE]])</f>
        <v>Lisle, IL</v>
      </c>
    </row>
    <row r="2537" spans="2:8" x14ac:dyDescent="0.2">
      <c r="B2537" s="27" t="s">
        <v>258</v>
      </c>
      <c r="C2537" s="28" t="s">
        <v>969</v>
      </c>
      <c r="D2537" s="29" t="s">
        <v>28</v>
      </c>
      <c r="E2537" s="30" t="s">
        <v>358</v>
      </c>
      <c r="F2537" s="28" t="s">
        <v>356</v>
      </c>
      <c r="G2537" s="30" t="s">
        <v>1077</v>
      </c>
      <c r="H2537" t="str">
        <f>CONCATENATE(Prequal[[#This Row],[CITY]], ", ",Prequal[[#This Row],[STATE]])</f>
        <v>Lisle, IL</v>
      </c>
    </row>
    <row r="2538" spans="2:8" x14ac:dyDescent="0.2">
      <c r="B2538" s="27" t="s">
        <v>258</v>
      </c>
      <c r="C2538" s="28" t="s">
        <v>969</v>
      </c>
      <c r="D2538" s="29" t="s">
        <v>29</v>
      </c>
      <c r="E2538" s="30" t="s">
        <v>358</v>
      </c>
      <c r="F2538" s="28" t="s">
        <v>356</v>
      </c>
      <c r="G2538" s="30" t="s">
        <v>1077</v>
      </c>
      <c r="H2538" t="str">
        <f>CONCATENATE(Prequal[[#This Row],[CITY]], ", ",Prequal[[#This Row],[STATE]])</f>
        <v>Lisle, IL</v>
      </c>
    </row>
    <row r="2539" spans="2:8" x14ac:dyDescent="0.2">
      <c r="B2539" s="27" t="s">
        <v>258</v>
      </c>
      <c r="C2539" s="28" t="s">
        <v>969</v>
      </c>
      <c r="D2539" s="29" t="s">
        <v>37</v>
      </c>
      <c r="E2539" s="30" t="s">
        <v>358</v>
      </c>
      <c r="F2539" s="28" t="s">
        <v>356</v>
      </c>
      <c r="G2539" s="30" t="s">
        <v>1077</v>
      </c>
      <c r="H2539" t="str">
        <f>CONCATENATE(Prequal[[#This Row],[CITY]], ", ",Prequal[[#This Row],[STATE]])</f>
        <v>Lisle, IL</v>
      </c>
    </row>
    <row r="2540" spans="2:8" x14ac:dyDescent="0.2">
      <c r="B2540" s="27" t="s">
        <v>258</v>
      </c>
      <c r="C2540" s="28" t="s">
        <v>969</v>
      </c>
      <c r="D2540" s="29" t="s">
        <v>13</v>
      </c>
      <c r="E2540" s="30" t="s">
        <v>358</v>
      </c>
      <c r="F2540" s="28" t="s">
        <v>356</v>
      </c>
      <c r="G2540" s="30" t="s">
        <v>1077</v>
      </c>
      <c r="H2540" t="str">
        <f>CONCATENATE(Prequal[[#This Row],[CITY]], ", ",Prequal[[#This Row],[STATE]])</f>
        <v>Lisle, IL</v>
      </c>
    </row>
    <row r="2541" spans="2:8" x14ac:dyDescent="0.2">
      <c r="B2541" s="27" t="s">
        <v>258</v>
      </c>
      <c r="C2541" s="28" t="s">
        <v>969</v>
      </c>
      <c r="D2541" s="29" t="s">
        <v>14</v>
      </c>
      <c r="E2541" s="30" t="s">
        <v>358</v>
      </c>
      <c r="F2541" s="28" t="s">
        <v>356</v>
      </c>
      <c r="G2541" s="30" t="s">
        <v>1077</v>
      </c>
      <c r="H2541" t="str">
        <f>CONCATENATE(Prequal[[#This Row],[CITY]], ", ",Prequal[[#This Row],[STATE]])</f>
        <v>Lisle, IL</v>
      </c>
    </row>
    <row r="2542" spans="2:8" x14ac:dyDescent="0.2">
      <c r="B2542" s="27" t="s">
        <v>258</v>
      </c>
      <c r="C2542" s="28" t="s">
        <v>969</v>
      </c>
      <c r="D2542" s="29" t="s">
        <v>15</v>
      </c>
      <c r="E2542" s="30" t="s">
        <v>358</v>
      </c>
      <c r="F2542" s="28" t="s">
        <v>356</v>
      </c>
      <c r="G2542" s="30" t="s">
        <v>1077</v>
      </c>
      <c r="H2542" t="str">
        <f>CONCATENATE(Prequal[[#This Row],[CITY]], ", ",Prequal[[#This Row],[STATE]])</f>
        <v>Lisle, IL</v>
      </c>
    </row>
    <row r="2543" spans="2:8" x14ac:dyDescent="0.2">
      <c r="B2543" s="31" t="s">
        <v>258</v>
      </c>
      <c r="C2543" s="32" t="s">
        <v>969</v>
      </c>
      <c r="D2543" s="33" t="s">
        <v>30</v>
      </c>
      <c r="E2543" s="30" t="s">
        <v>358</v>
      </c>
      <c r="F2543" s="32" t="s">
        <v>356</v>
      </c>
      <c r="G2543" s="30" t="s">
        <v>1077</v>
      </c>
      <c r="H2543" t="str">
        <f>CONCATENATE(Prequal[[#This Row],[CITY]], ", ",Prequal[[#This Row],[STATE]])</f>
        <v>Lisle, IL</v>
      </c>
    </row>
    <row r="2544" spans="2:8" x14ac:dyDescent="0.2">
      <c r="B2544" s="27" t="s">
        <v>258</v>
      </c>
      <c r="C2544" s="28" t="s">
        <v>969</v>
      </c>
      <c r="D2544" s="29" t="s">
        <v>53</v>
      </c>
      <c r="E2544" s="30" t="s">
        <v>358</v>
      </c>
      <c r="F2544" s="28" t="s">
        <v>356</v>
      </c>
      <c r="G2544" s="30" t="s">
        <v>1077</v>
      </c>
      <c r="H2544" t="str">
        <f>CONCATENATE(Prequal[[#This Row],[CITY]], ", ",Prequal[[#This Row],[STATE]])</f>
        <v>Lisle, IL</v>
      </c>
    </row>
    <row r="2545" spans="2:8" x14ac:dyDescent="0.2">
      <c r="B2545" s="27" t="s">
        <v>258</v>
      </c>
      <c r="C2545" s="28" t="s">
        <v>969</v>
      </c>
      <c r="D2545" s="29" t="s">
        <v>31</v>
      </c>
      <c r="E2545" s="30" t="s">
        <v>358</v>
      </c>
      <c r="F2545" s="28" t="s">
        <v>356</v>
      </c>
      <c r="G2545" s="30" t="s">
        <v>1077</v>
      </c>
      <c r="H2545" t="str">
        <f>CONCATENATE(Prequal[[#This Row],[CITY]], ", ",Prequal[[#This Row],[STATE]])</f>
        <v>Lisle, IL</v>
      </c>
    </row>
    <row r="2546" spans="2:8" x14ac:dyDescent="0.2">
      <c r="B2546" s="27" t="s">
        <v>258</v>
      </c>
      <c r="C2546" s="28" t="s">
        <v>969</v>
      </c>
      <c r="D2546" s="29" t="s">
        <v>32</v>
      </c>
      <c r="E2546" s="30" t="s">
        <v>358</v>
      </c>
      <c r="F2546" s="28" t="s">
        <v>356</v>
      </c>
      <c r="G2546" s="30" t="s">
        <v>1077</v>
      </c>
      <c r="H2546" t="str">
        <f>CONCATENATE(Prequal[[#This Row],[CITY]], ", ",Prequal[[#This Row],[STATE]])</f>
        <v>Lisle, IL</v>
      </c>
    </row>
    <row r="2547" spans="2:8" x14ac:dyDescent="0.2">
      <c r="B2547" s="27" t="s">
        <v>258</v>
      </c>
      <c r="C2547" s="28" t="s">
        <v>969</v>
      </c>
      <c r="D2547" s="29" t="s">
        <v>38</v>
      </c>
      <c r="E2547" s="30" t="s">
        <v>358</v>
      </c>
      <c r="F2547" s="28" t="s">
        <v>356</v>
      </c>
      <c r="G2547" s="30" t="s">
        <v>1077</v>
      </c>
      <c r="H2547" t="str">
        <f>CONCATENATE(Prequal[[#This Row],[CITY]], ", ",Prequal[[#This Row],[STATE]])</f>
        <v>Lisle, IL</v>
      </c>
    </row>
    <row r="2548" spans="2:8" x14ac:dyDescent="0.2">
      <c r="B2548" s="27" t="s">
        <v>258</v>
      </c>
      <c r="C2548" s="28" t="s">
        <v>969</v>
      </c>
      <c r="D2548" s="29" t="s">
        <v>56</v>
      </c>
      <c r="E2548" s="30" t="s">
        <v>358</v>
      </c>
      <c r="F2548" s="28" t="s">
        <v>356</v>
      </c>
      <c r="G2548" s="30" t="s">
        <v>1077</v>
      </c>
      <c r="H2548" t="str">
        <f>CONCATENATE(Prequal[[#This Row],[CITY]], ", ",Prequal[[#This Row],[STATE]])</f>
        <v>Lisle, IL</v>
      </c>
    </row>
    <row r="2549" spans="2:8" x14ac:dyDescent="0.2">
      <c r="B2549" s="27" t="s">
        <v>258</v>
      </c>
      <c r="C2549" s="28" t="s">
        <v>969</v>
      </c>
      <c r="D2549" s="29" t="s">
        <v>33</v>
      </c>
      <c r="E2549" s="30" t="s">
        <v>358</v>
      </c>
      <c r="F2549" s="28" t="s">
        <v>356</v>
      </c>
      <c r="G2549" s="30" t="s">
        <v>1077</v>
      </c>
      <c r="H2549" t="str">
        <f>CONCATENATE(Prequal[[#This Row],[CITY]], ", ",Prequal[[#This Row],[STATE]])</f>
        <v>Lisle, IL</v>
      </c>
    </row>
    <row r="2550" spans="2:8" x14ac:dyDescent="0.2">
      <c r="B2550" s="27" t="s">
        <v>258</v>
      </c>
      <c r="C2550" s="28" t="s">
        <v>969</v>
      </c>
      <c r="D2550" s="29" t="s">
        <v>57</v>
      </c>
      <c r="E2550" s="30" t="s">
        <v>358</v>
      </c>
      <c r="F2550" s="28" t="s">
        <v>356</v>
      </c>
      <c r="G2550" s="30" t="s">
        <v>1077</v>
      </c>
      <c r="H2550" t="str">
        <f>CONCATENATE(Prequal[[#This Row],[CITY]], ", ",Prequal[[#This Row],[STATE]])</f>
        <v>Lisle, IL</v>
      </c>
    </row>
    <row r="2551" spans="2:8" x14ac:dyDescent="0.2">
      <c r="B2551" s="27" t="s">
        <v>259</v>
      </c>
      <c r="C2551" s="28" t="s">
        <v>970</v>
      </c>
      <c r="D2551" s="29" t="s">
        <v>10</v>
      </c>
      <c r="E2551" s="30" t="s">
        <v>473</v>
      </c>
      <c r="F2551" s="28" t="s">
        <v>356</v>
      </c>
      <c r="G2551" s="30" t="s">
        <v>734</v>
      </c>
      <c r="H2551" t="str">
        <f>CONCATENATE(Prequal[[#This Row],[CITY]], ", ",Prequal[[#This Row],[STATE]])</f>
        <v>Glenview, IL</v>
      </c>
    </row>
    <row r="2552" spans="2:8" x14ac:dyDescent="0.2">
      <c r="B2552" s="27" t="s">
        <v>260</v>
      </c>
      <c r="C2552" s="28" t="s">
        <v>970</v>
      </c>
      <c r="D2552" s="29" t="s">
        <v>4</v>
      </c>
      <c r="E2552" s="30" t="s">
        <v>373</v>
      </c>
      <c r="F2552" s="28" t="s">
        <v>356</v>
      </c>
      <c r="G2552" s="30" t="s">
        <v>959</v>
      </c>
      <c r="H2552" t="str">
        <f>CONCATENATE(Prequal[[#This Row],[CITY]], ", ",Prequal[[#This Row],[STATE]])</f>
        <v>Arlington Heights, IL</v>
      </c>
    </row>
    <row r="2553" spans="2:8" x14ac:dyDescent="0.2">
      <c r="B2553" s="27" t="s">
        <v>260</v>
      </c>
      <c r="C2553" s="28" t="s">
        <v>970</v>
      </c>
      <c r="D2553" s="29" t="s">
        <v>5</v>
      </c>
      <c r="E2553" s="30" t="s">
        <v>373</v>
      </c>
      <c r="F2553" s="28" t="s">
        <v>356</v>
      </c>
      <c r="G2553" s="30" t="s">
        <v>959</v>
      </c>
      <c r="H2553" t="str">
        <f>CONCATENATE(Prequal[[#This Row],[CITY]], ", ",Prequal[[#This Row],[STATE]])</f>
        <v>Arlington Heights, IL</v>
      </c>
    </row>
    <row r="2554" spans="2:8" x14ac:dyDescent="0.2">
      <c r="B2554" s="27" t="s">
        <v>260</v>
      </c>
      <c r="C2554" s="28" t="s">
        <v>970</v>
      </c>
      <c r="D2554" s="29" t="s">
        <v>8</v>
      </c>
      <c r="E2554" s="30" t="s">
        <v>373</v>
      </c>
      <c r="F2554" s="28" t="s">
        <v>356</v>
      </c>
      <c r="G2554" s="30" t="s">
        <v>959</v>
      </c>
      <c r="H2554" t="str">
        <f>CONCATENATE(Prequal[[#This Row],[CITY]], ", ",Prequal[[#This Row],[STATE]])</f>
        <v>Arlington Heights, IL</v>
      </c>
    </row>
    <row r="2555" spans="2:8" x14ac:dyDescent="0.2">
      <c r="B2555" s="27" t="s">
        <v>260</v>
      </c>
      <c r="C2555" s="28" t="s">
        <v>970</v>
      </c>
      <c r="D2555" s="29" t="s">
        <v>24</v>
      </c>
      <c r="E2555" s="30" t="s">
        <v>373</v>
      </c>
      <c r="F2555" s="28" t="s">
        <v>356</v>
      </c>
      <c r="G2555" s="30" t="s">
        <v>959</v>
      </c>
      <c r="H2555" t="str">
        <f>CONCATENATE(Prequal[[#This Row],[CITY]], ", ",Prequal[[#This Row],[STATE]])</f>
        <v>Arlington Heights, IL</v>
      </c>
    </row>
    <row r="2556" spans="2:8" x14ac:dyDescent="0.2">
      <c r="B2556" s="27" t="s">
        <v>260</v>
      </c>
      <c r="C2556" s="28" t="s">
        <v>970</v>
      </c>
      <c r="D2556" s="29" t="s">
        <v>25</v>
      </c>
      <c r="E2556" s="30" t="s">
        <v>373</v>
      </c>
      <c r="F2556" s="28" t="s">
        <v>356</v>
      </c>
      <c r="G2556" s="30" t="s">
        <v>959</v>
      </c>
      <c r="H2556" t="str">
        <f>CONCATENATE(Prequal[[#This Row],[CITY]], ", ",Prequal[[#This Row],[STATE]])</f>
        <v>Arlington Heights, IL</v>
      </c>
    </row>
    <row r="2557" spans="2:8" x14ac:dyDescent="0.2">
      <c r="B2557" s="27" t="s">
        <v>260</v>
      </c>
      <c r="C2557" s="28" t="s">
        <v>970</v>
      </c>
      <c r="D2557" s="29" t="s">
        <v>9</v>
      </c>
      <c r="E2557" s="30" t="s">
        <v>373</v>
      </c>
      <c r="F2557" s="28" t="s">
        <v>356</v>
      </c>
      <c r="G2557" s="30" t="s">
        <v>959</v>
      </c>
      <c r="H2557" t="str">
        <f>CONCATENATE(Prequal[[#This Row],[CITY]], ", ",Prequal[[#This Row],[STATE]])</f>
        <v>Arlington Heights, IL</v>
      </c>
    </row>
    <row r="2558" spans="2:8" x14ac:dyDescent="0.2">
      <c r="B2558" s="27" t="s">
        <v>260</v>
      </c>
      <c r="C2558" s="28" t="s">
        <v>970</v>
      </c>
      <c r="D2558" s="29" t="s">
        <v>27</v>
      </c>
      <c r="E2558" s="30" t="s">
        <v>373</v>
      </c>
      <c r="F2558" s="28" t="s">
        <v>356</v>
      </c>
      <c r="G2558" s="30" t="s">
        <v>959</v>
      </c>
      <c r="H2558" t="str">
        <f>CONCATENATE(Prequal[[#This Row],[CITY]], ", ",Prequal[[#This Row],[STATE]])</f>
        <v>Arlington Heights, IL</v>
      </c>
    </row>
    <row r="2559" spans="2:8" x14ac:dyDescent="0.2">
      <c r="B2559" s="27" t="s">
        <v>260</v>
      </c>
      <c r="C2559" s="28" t="s">
        <v>970</v>
      </c>
      <c r="D2559" s="29" t="s">
        <v>10</v>
      </c>
      <c r="E2559" s="30" t="s">
        <v>373</v>
      </c>
      <c r="F2559" s="28" t="s">
        <v>356</v>
      </c>
      <c r="G2559" s="30" t="s">
        <v>959</v>
      </c>
      <c r="H2559" t="str">
        <f>CONCATENATE(Prequal[[#This Row],[CITY]], ", ",Prequal[[#This Row],[STATE]])</f>
        <v>Arlington Heights, IL</v>
      </c>
    </row>
    <row r="2560" spans="2:8" x14ac:dyDescent="0.2">
      <c r="B2560" s="27" t="s">
        <v>260</v>
      </c>
      <c r="C2560" s="28" t="s">
        <v>970</v>
      </c>
      <c r="D2560" s="29" t="s">
        <v>39</v>
      </c>
      <c r="E2560" s="30" t="s">
        <v>373</v>
      </c>
      <c r="F2560" s="28" t="s">
        <v>356</v>
      </c>
      <c r="G2560" s="30" t="s">
        <v>959</v>
      </c>
      <c r="H2560" t="str">
        <f>CONCATENATE(Prequal[[#This Row],[CITY]], ", ",Prequal[[#This Row],[STATE]])</f>
        <v>Arlington Heights, IL</v>
      </c>
    </row>
    <row r="2561" spans="2:8" x14ac:dyDescent="0.2">
      <c r="B2561" s="27" t="s">
        <v>260</v>
      </c>
      <c r="C2561" s="28" t="s">
        <v>970</v>
      </c>
      <c r="D2561" s="29" t="s">
        <v>37</v>
      </c>
      <c r="E2561" s="30" t="s">
        <v>373</v>
      </c>
      <c r="F2561" s="28" t="s">
        <v>356</v>
      </c>
      <c r="G2561" s="30" t="s">
        <v>959</v>
      </c>
      <c r="H2561" t="str">
        <f>CONCATENATE(Prequal[[#This Row],[CITY]], ", ",Prequal[[#This Row],[STATE]])</f>
        <v>Arlington Heights, IL</v>
      </c>
    </row>
    <row r="2562" spans="2:8" x14ac:dyDescent="0.2">
      <c r="B2562" s="27" t="s">
        <v>260</v>
      </c>
      <c r="C2562" s="28" t="s">
        <v>970</v>
      </c>
      <c r="D2562" s="29" t="s">
        <v>13</v>
      </c>
      <c r="E2562" s="30" t="s">
        <v>373</v>
      </c>
      <c r="F2562" s="28" t="s">
        <v>356</v>
      </c>
      <c r="G2562" s="30" t="s">
        <v>959</v>
      </c>
      <c r="H2562" t="str">
        <f>CONCATENATE(Prequal[[#This Row],[CITY]], ", ",Prequal[[#This Row],[STATE]])</f>
        <v>Arlington Heights, IL</v>
      </c>
    </row>
    <row r="2563" spans="2:8" x14ac:dyDescent="0.2">
      <c r="B2563" s="27" t="s">
        <v>260</v>
      </c>
      <c r="C2563" s="28" t="s">
        <v>970</v>
      </c>
      <c r="D2563" s="29" t="s">
        <v>14</v>
      </c>
      <c r="E2563" s="30" t="s">
        <v>373</v>
      </c>
      <c r="F2563" s="28" t="s">
        <v>356</v>
      </c>
      <c r="G2563" s="30" t="s">
        <v>959</v>
      </c>
      <c r="H2563" t="str">
        <f>CONCATENATE(Prequal[[#This Row],[CITY]], ", ",Prequal[[#This Row],[STATE]])</f>
        <v>Arlington Heights, IL</v>
      </c>
    </row>
    <row r="2564" spans="2:8" x14ac:dyDescent="0.2">
      <c r="B2564" s="27" t="s">
        <v>260</v>
      </c>
      <c r="C2564" s="28" t="s">
        <v>970</v>
      </c>
      <c r="D2564" s="29" t="s">
        <v>15</v>
      </c>
      <c r="E2564" s="30" t="s">
        <v>373</v>
      </c>
      <c r="F2564" s="28" t="s">
        <v>356</v>
      </c>
      <c r="G2564" s="30" t="s">
        <v>959</v>
      </c>
      <c r="H2564" t="str">
        <f>CONCATENATE(Prequal[[#This Row],[CITY]], ", ",Prequal[[#This Row],[STATE]])</f>
        <v>Arlington Heights, IL</v>
      </c>
    </row>
    <row r="2565" spans="2:8" x14ac:dyDescent="0.2">
      <c r="B2565" s="27" t="s">
        <v>260</v>
      </c>
      <c r="C2565" s="28" t="s">
        <v>970</v>
      </c>
      <c r="D2565" s="29" t="s">
        <v>33</v>
      </c>
      <c r="E2565" s="30" t="s">
        <v>373</v>
      </c>
      <c r="F2565" s="28" t="s">
        <v>356</v>
      </c>
      <c r="G2565" s="30" t="s">
        <v>959</v>
      </c>
      <c r="H2565" t="str">
        <f>CONCATENATE(Prequal[[#This Row],[CITY]], ", ",Prequal[[#This Row],[STATE]])</f>
        <v>Arlington Heights, IL</v>
      </c>
    </row>
    <row r="2566" spans="2:8" x14ac:dyDescent="0.2">
      <c r="B2566" s="27" t="s">
        <v>261</v>
      </c>
      <c r="C2566" s="28" t="s">
        <v>969</v>
      </c>
      <c r="D2566" s="29" t="s">
        <v>5</v>
      </c>
      <c r="E2566" s="30" t="s">
        <v>845</v>
      </c>
      <c r="F2566" s="28" t="s">
        <v>356</v>
      </c>
      <c r="G2566" s="30" t="s">
        <v>735</v>
      </c>
      <c r="H2566" t="str">
        <f>CONCATENATE(Prequal[[#This Row],[CITY]], ", ",Prequal[[#This Row],[STATE]])</f>
        <v>Kankakee, IL</v>
      </c>
    </row>
    <row r="2567" spans="2:8" x14ac:dyDescent="0.2">
      <c r="B2567" s="27" t="s">
        <v>261</v>
      </c>
      <c r="C2567" s="28" t="s">
        <v>969</v>
      </c>
      <c r="D2567" s="29" t="s">
        <v>10</v>
      </c>
      <c r="E2567" s="30" t="s">
        <v>845</v>
      </c>
      <c r="F2567" s="28" t="s">
        <v>356</v>
      </c>
      <c r="G2567" s="30" t="s">
        <v>735</v>
      </c>
      <c r="H2567" t="str">
        <f>CONCATENATE(Prequal[[#This Row],[CITY]], ", ",Prequal[[#This Row],[STATE]])</f>
        <v>Kankakee, IL</v>
      </c>
    </row>
    <row r="2568" spans="2:8" x14ac:dyDescent="0.2">
      <c r="B2568" s="27" t="s">
        <v>261</v>
      </c>
      <c r="C2568" s="28" t="s">
        <v>969</v>
      </c>
      <c r="D2568" s="29" t="s">
        <v>12</v>
      </c>
      <c r="E2568" s="30" t="s">
        <v>845</v>
      </c>
      <c r="F2568" s="28" t="s">
        <v>356</v>
      </c>
      <c r="G2568" s="30" t="s">
        <v>735</v>
      </c>
      <c r="H2568" t="str">
        <f>CONCATENATE(Prequal[[#This Row],[CITY]], ", ",Prequal[[#This Row],[STATE]])</f>
        <v>Kankakee, IL</v>
      </c>
    </row>
    <row r="2569" spans="2:8" x14ac:dyDescent="0.2">
      <c r="B2569" s="27" t="s">
        <v>261</v>
      </c>
      <c r="C2569" s="28" t="s">
        <v>969</v>
      </c>
      <c r="D2569" s="29" t="s">
        <v>29</v>
      </c>
      <c r="E2569" s="30" t="s">
        <v>845</v>
      </c>
      <c r="F2569" s="28" t="s">
        <v>356</v>
      </c>
      <c r="G2569" s="30" t="s">
        <v>735</v>
      </c>
      <c r="H2569" t="str">
        <f>CONCATENATE(Prequal[[#This Row],[CITY]], ", ",Prequal[[#This Row],[STATE]])</f>
        <v>Kankakee, IL</v>
      </c>
    </row>
    <row r="2570" spans="2:8" x14ac:dyDescent="0.2">
      <c r="B2570" s="27" t="s">
        <v>262</v>
      </c>
      <c r="C2570" s="28" t="s">
        <v>970</v>
      </c>
      <c r="D2570" s="29" t="s">
        <v>4</v>
      </c>
      <c r="E2570" s="30" t="s">
        <v>947</v>
      </c>
      <c r="F2570" s="28" t="s">
        <v>356</v>
      </c>
      <c r="G2570" s="30" t="s">
        <v>736</v>
      </c>
      <c r="H2570" t="str">
        <f>CONCATENATE(Prequal[[#This Row],[CITY]], ", ",Prequal[[#This Row],[STATE]])</f>
        <v>Chicago, IL</v>
      </c>
    </row>
    <row r="2571" spans="2:8" x14ac:dyDescent="0.2">
      <c r="B2571" s="27" t="s">
        <v>262</v>
      </c>
      <c r="C2571" s="28" t="s">
        <v>970</v>
      </c>
      <c r="D2571" s="29" t="s">
        <v>5</v>
      </c>
      <c r="E2571" s="30" t="s">
        <v>947</v>
      </c>
      <c r="F2571" s="28" t="s">
        <v>356</v>
      </c>
      <c r="G2571" s="30" t="s">
        <v>736</v>
      </c>
      <c r="H2571" t="str">
        <f>CONCATENATE(Prequal[[#This Row],[CITY]], ", ",Prequal[[#This Row],[STATE]])</f>
        <v>Chicago, IL</v>
      </c>
    </row>
    <row r="2572" spans="2:8" x14ac:dyDescent="0.2">
      <c r="B2572" s="27" t="s">
        <v>262</v>
      </c>
      <c r="C2572" s="28" t="s">
        <v>970</v>
      </c>
      <c r="D2572" s="29" t="s">
        <v>9</v>
      </c>
      <c r="E2572" s="30" t="s">
        <v>947</v>
      </c>
      <c r="F2572" s="28" t="s">
        <v>356</v>
      </c>
      <c r="G2572" s="30" t="s">
        <v>736</v>
      </c>
      <c r="H2572" t="str">
        <f>CONCATENATE(Prequal[[#This Row],[CITY]], ", ",Prequal[[#This Row],[STATE]])</f>
        <v>Chicago, IL</v>
      </c>
    </row>
    <row r="2573" spans="2:8" x14ac:dyDescent="0.2">
      <c r="B2573" s="27" t="s">
        <v>262</v>
      </c>
      <c r="C2573" s="28" t="s">
        <v>970</v>
      </c>
      <c r="D2573" s="29" t="s">
        <v>10</v>
      </c>
      <c r="E2573" s="30" t="s">
        <v>947</v>
      </c>
      <c r="F2573" s="28" t="s">
        <v>356</v>
      </c>
      <c r="G2573" s="30" t="s">
        <v>736</v>
      </c>
      <c r="H2573" t="str">
        <f>CONCATENATE(Prequal[[#This Row],[CITY]], ", ",Prequal[[#This Row],[STATE]])</f>
        <v>Chicago, IL</v>
      </c>
    </row>
    <row r="2574" spans="2:8" x14ac:dyDescent="0.2">
      <c r="B2574" s="27" t="s">
        <v>262</v>
      </c>
      <c r="C2574" s="28" t="s">
        <v>970</v>
      </c>
      <c r="D2574" s="29" t="s">
        <v>39</v>
      </c>
      <c r="E2574" s="30" t="s">
        <v>947</v>
      </c>
      <c r="F2574" s="28" t="s">
        <v>356</v>
      </c>
      <c r="G2574" s="30" t="s">
        <v>736</v>
      </c>
      <c r="H2574" t="str">
        <f>CONCATENATE(Prequal[[#This Row],[CITY]], ", ",Prequal[[#This Row],[STATE]])</f>
        <v>Chicago, IL</v>
      </c>
    </row>
    <row r="2575" spans="2:8" x14ac:dyDescent="0.2">
      <c r="B2575" s="27" t="s">
        <v>262</v>
      </c>
      <c r="C2575" s="28" t="s">
        <v>970</v>
      </c>
      <c r="D2575" s="29" t="s">
        <v>14</v>
      </c>
      <c r="E2575" s="30" t="s">
        <v>947</v>
      </c>
      <c r="F2575" s="28" t="s">
        <v>356</v>
      </c>
      <c r="G2575" s="30" t="s">
        <v>736</v>
      </c>
      <c r="H2575" t="str">
        <f>CONCATENATE(Prequal[[#This Row],[CITY]], ", ",Prequal[[#This Row],[STATE]])</f>
        <v>Chicago, IL</v>
      </c>
    </row>
    <row r="2576" spans="2:8" x14ac:dyDescent="0.2">
      <c r="B2576" s="27" t="s">
        <v>262</v>
      </c>
      <c r="C2576" s="28" t="s">
        <v>970</v>
      </c>
      <c r="D2576" s="29" t="s">
        <v>15</v>
      </c>
      <c r="E2576" s="30" t="s">
        <v>947</v>
      </c>
      <c r="F2576" s="28" t="s">
        <v>356</v>
      </c>
      <c r="G2576" s="30" t="s">
        <v>736</v>
      </c>
      <c r="H2576" t="str">
        <f>CONCATENATE(Prequal[[#This Row],[CITY]], ", ",Prequal[[#This Row],[STATE]])</f>
        <v>Chicago, IL</v>
      </c>
    </row>
    <row r="2577" spans="2:8" x14ac:dyDescent="0.2">
      <c r="B2577" s="27" t="s">
        <v>1041</v>
      </c>
      <c r="C2577" s="28" t="s">
        <v>970</v>
      </c>
      <c r="D2577" s="29" t="s">
        <v>70</v>
      </c>
      <c r="E2577" s="30" t="s">
        <v>415</v>
      </c>
      <c r="F2577" s="28" t="s">
        <v>356</v>
      </c>
      <c r="G2577" s="30" t="s">
        <v>1042</v>
      </c>
      <c r="H2577" t="str">
        <f>CONCATENATE(Prequal[[#This Row],[CITY]], ", ",Prequal[[#This Row],[STATE]])</f>
        <v>Bloomington, IL</v>
      </c>
    </row>
    <row r="2578" spans="2:8" x14ac:dyDescent="0.2">
      <c r="B2578" s="27" t="s">
        <v>1041</v>
      </c>
      <c r="C2578" s="28" t="s">
        <v>970</v>
      </c>
      <c r="D2578" s="29" t="s">
        <v>976</v>
      </c>
      <c r="E2578" s="30" t="s">
        <v>415</v>
      </c>
      <c r="F2578" s="28" t="s">
        <v>356</v>
      </c>
      <c r="G2578" s="30" t="s">
        <v>1042</v>
      </c>
      <c r="H2578" t="str">
        <f>CONCATENATE(Prequal[[#This Row],[CITY]], ", ",Prequal[[#This Row],[STATE]])</f>
        <v>Bloomington, IL</v>
      </c>
    </row>
    <row r="2579" spans="2:8" x14ac:dyDescent="0.2">
      <c r="B2579" s="27" t="s">
        <v>1041</v>
      </c>
      <c r="C2579" s="28" t="s">
        <v>970</v>
      </c>
      <c r="D2579" s="29" t="s">
        <v>1004</v>
      </c>
      <c r="E2579" s="30" t="s">
        <v>415</v>
      </c>
      <c r="F2579" s="28" t="s">
        <v>356</v>
      </c>
      <c r="G2579" s="30" t="s">
        <v>1042</v>
      </c>
      <c r="H2579" t="str">
        <f>CONCATENATE(Prequal[[#This Row],[CITY]], ", ",Prequal[[#This Row],[STATE]])</f>
        <v>Bloomington, IL</v>
      </c>
    </row>
    <row r="2580" spans="2:8" x14ac:dyDescent="0.2">
      <c r="B2580" s="27" t="s">
        <v>1041</v>
      </c>
      <c r="C2580" s="28" t="s">
        <v>970</v>
      </c>
      <c r="D2580" s="29" t="s">
        <v>978</v>
      </c>
      <c r="E2580" s="30" t="s">
        <v>415</v>
      </c>
      <c r="F2580" s="28" t="s">
        <v>356</v>
      </c>
      <c r="G2580" s="30" t="s">
        <v>1042</v>
      </c>
      <c r="H2580" t="str">
        <f>CONCATENATE(Prequal[[#This Row],[CITY]], ", ",Prequal[[#This Row],[STATE]])</f>
        <v>Bloomington, IL</v>
      </c>
    </row>
    <row r="2581" spans="2:8" x14ac:dyDescent="0.2">
      <c r="B2581" s="27" t="s">
        <v>875</v>
      </c>
      <c r="C2581" s="28" t="s">
        <v>970</v>
      </c>
      <c r="D2581" s="29" t="s">
        <v>5</v>
      </c>
      <c r="E2581" s="30" t="s">
        <v>452</v>
      </c>
      <c r="F2581" s="28" t="s">
        <v>356</v>
      </c>
      <c r="G2581" s="30" t="s">
        <v>876</v>
      </c>
      <c r="H2581" t="str">
        <f>CONCATENATE(Prequal[[#This Row],[CITY]], ", ",Prequal[[#This Row],[STATE]])</f>
        <v>Quincy, IL</v>
      </c>
    </row>
    <row r="2582" spans="2:8" x14ac:dyDescent="0.2">
      <c r="B2582" s="27" t="s">
        <v>875</v>
      </c>
      <c r="C2582" s="28" t="s">
        <v>970</v>
      </c>
      <c r="D2582" s="29" t="s">
        <v>8</v>
      </c>
      <c r="E2582" s="30" t="s">
        <v>452</v>
      </c>
      <c r="F2582" s="28" t="s">
        <v>356</v>
      </c>
      <c r="G2582" s="30" t="s">
        <v>876</v>
      </c>
      <c r="H2582" t="str">
        <f>CONCATENATE(Prequal[[#This Row],[CITY]], ", ",Prequal[[#This Row],[STATE]])</f>
        <v>Quincy, IL</v>
      </c>
    </row>
    <row r="2583" spans="2:8" x14ac:dyDescent="0.2">
      <c r="B2583" s="27" t="s">
        <v>875</v>
      </c>
      <c r="C2583" s="28" t="s">
        <v>970</v>
      </c>
      <c r="D2583" s="29" t="s">
        <v>25</v>
      </c>
      <c r="E2583" s="30" t="s">
        <v>452</v>
      </c>
      <c r="F2583" s="28" t="s">
        <v>356</v>
      </c>
      <c r="G2583" s="30" t="s">
        <v>876</v>
      </c>
      <c r="H2583" t="str">
        <f>CONCATENATE(Prequal[[#This Row],[CITY]], ", ",Prequal[[#This Row],[STATE]])</f>
        <v>Quincy, IL</v>
      </c>
    </row>
    <row r="2584" spans="2:8" x14ac:dyDescent="0.2">
      <c r="B2584" s="27" t="s">
        <v>875</v>
      </c>
      <c r="C2584" s="28" t="s">
        <v>970</v>
      </c>
      <c r="D2584" s="29" t="s">
        <v>9</v>
      </c>
      <c r="E2584" s="30" t="s">
        <v>452</v>
      </c>
      <c r="F2584" s="28" t="s">
        <v>356</v>
      </c>
      <c r="G2584" s="30" t="s">
        <v>876</v>
      </c>
      <c r="H2584" t="str">
        <f>CONCATENATE(Prequal[[#This Row],[CITY]], ", ",Prequal[[#This Row],[STATE]])</f>
        <v>Quincy, IL</v>
      </c>
    </row>
    <row r="2585" spans="2:8" x14ac:dyDescent="0.2">
      <c r="B2585" s="27" t="s">
        <v>875</v>
      </c>
      <c r="C2585" s="28" t="s">
        <v>970</v>
      </c>
      <c r="D2585" s="29" t="s">
        <v>12</v>
      </c>
      <c r="E2585" s="30" t="s">
        <v>452</v>
      </c>
      <c r="F2585" s="28" t="s">
        <v>356</v>
      </c>
      <c r="G2585" s="30" t="s">
        <v>876</v>
      </c>
      <c r="H2585" t="str">
        <f>CONCATENATE(Prequal[[#This Row],[CITY]], ", ",Prequal[[#This Row],[STATE]])</f>
        <v>Quincy, IL</v>
      </c>
    </row>
    <row r="2586" spans="2:8" x14ac:dyDescent="0.2">
      <c r="B2586" s="27" t="s">
        <v>875</v>
      </c>
      <c r="C2586" s="28" t="s">
        <v>970</v>
      </c>
      <c r="D2586" s="29" t="s">
        <v>31</v>
      </c>
      <c r="E2586" s="30" t="s">
        <v>452</v>
      </c>
      <c r="F2586" s="28" t="s">
        <v>356</v>
      </c>
      <c r="G2586" s="30" t="s">
        <v>876</v>
      </c>
      <c r="H2586" t="str">
        <f>CONCATENATE(Prequal[[#This Row],[CITY]], ", ",Prequal[[#This Row],[STATE]])</f>
        <v>Quincy, IL</v>
      </c>
    </row>
    <row r="2587" spans="2:8" x14ac:dyDescent="0.2">
      <c r="B2587" s="27" t="s">
        <v>875</v>
      </c>
      <c r="C2587" s="28" t="s">
        <v>970</v>
      </c>
      <c r="D2587" s="29" t="s">
        <v>32</v>
      </c>
      <c r="E2587" s="30" t="s">
        <v>452</v>
      </c>
      <c r="F2587" s="28" t="s">
        <v>356</v>
      </c>
      <c r="G2587" s="30" t="s">
        <v>876</v>
      </c>
      <c r="H2587" t="str">
        <f>CONCATENATE(Prequal[[#This Row],[CITY]], ", ",Prequal[[#This Row],[STATE]])</f>
        <v>Quincy, IL</v>
      </c>
    </row>
    <row r="2588" spans="2:8" x14ac:dyDescent="0.2">
      <c r="B2588" s="27" t="s">
        <v>918</v>
      </c>
      <c r="C2588" s="28" t="s">
        <v>969</v>
      </c>
      <c r="D2588" s="29" t="s">
        <v>70</v>
      </c>
      <c r="E2588" s="30" t="s">
        <v>919</v>
      </c>
      <c r="F2588" s="28" t="s">
        <v>356</v>
      </c>
      <c r="G2588" s="30" t="s">
        <v>925</v>
      </c>
      <c r="H2588" t="str">
        <f>CONCATENATE(Prequal[[#This Row],[CITY]], ", ",Prequal[[#This Row],[STATE]])</f>
        <v>Elmhurst, IL</v>
      </c>
    </row>
    <row r="2589" spans="2:8" x14ac:dyDescent="0.2">
      <c r="B2589" s="27" t="s">
        <v>263</v>
      </c>
      <c r="C2589" s="28" t="s">
        <v>969</v>
      </c>
      <c r="D2589" s="29" t="s">
        <v>10</v>
      </c>
      <c r="E2589" s="30" t="s">
        <v>474</v>
      </c>
      <c r="F2589" s="28" t="s">
        <v>356</v>
      </c>
      <c r="G2589" s="30" t="s">
        <v>737</v>
      </c>
      <c r="H2589" t="str">
        <f>CONCATENATE(Prequal[[#This Row],[CITY]], ", ",Prequal[[#This Row],[STATE]])</f>
        <v>Island lake, IL</v>
      </c>
    </row>
    <row r="2590" spans="2:8" x14ac:dyDescent="0.2">
      <c r="B2590" s="27" t="s">
        <v>896</v>
      </c>
      <c r="C2590" s="28" t="s">
        <v>969</v>
      </c>
      <c r="D2590" s="29" t="s">
        <v>12</v>
      </c>
      <c r="E2590" s="30" t="s">
        <v>407</v>
      </c>
      <c r="F2590" s="28" t="s">
        <v>356</v>
      </c>
      <c r="G2590" s="30" t="s">
        <v>612</v>
      </c>
      <c r="H2590" t="str">
        <f>CONCATENATE(Prequal[[#This Row],[CITY]], ", ",Prequal[[#This Row],[STATE]])</f>
        <v>Carterville, IL</v>
      </c>
    </row>
    <row r="2591" spans="2:8" x14ac:dyDescent="0.2">
      <c r="B2591" s="27" t="s">
        <v>264</v>
      </c>
      <c r="C2591" s="28" t="s">
        <v>970</v>
      </c>
      <c r="D2591" s="29" t="s">
        <v>35</v>
      </c>
      <c r="E2591" s="30" t="s">
        <v>475</v>
      </c>
      <c r="F2591" s="28" t="s">
        <v>356</v>
      </c>
      <c r="G2591" s="30" t="s">
        <v>738</v>
      </c>
      <c r="H2591" t="str">
        <f>CONCATENATE(Prequal[[#This Row],[CITY]], ", ",Prequal[[#This Row],[STATE]])</f>
        <v>Columbia, IL</v>
      </c>
    </row>
    <row r="2592" spans="2:8" x14ac:dyDescent="0.2">
      <c r="B2592" s="27" t="s">
        <v>264</v>
      </c>
      <c r="C2592" s="28" t="s">
        <v>970</v>
      </c>
      <c r="D2592" s="29" t="s">
        <v>36</v>
      </c>
      <c r="E2592" s="30" t="s">
        <v>475</v>
      </c>
      <c r="F2592" s="28" t="s">
        <v>356</v>
      </c>
      <c r="G2592" s="30" t="s">
        <v>738</v>
      </c>
      <c r="H2592" t="str">
        <f>CONCATENATE(Prequal[[#This Row],[CITY]], ", ",Prequal[[#This Row],[STATE]])</f>
        <v>Columbia, IL</v>
      </c>
    </row>
    <row r="2593" spans="2:8" x14ac:dyDescent="0.2">
      <c r="B2593" s="27" t="s">
        <v>264</v>
      </c>
      <c r="C2593" s="28" t="s">
        <v>970</v>
      </c>
      <c r="D2593" s="29" t="s">
        <v>4</v>
      </c>
      <c r="E2593" s="30" t="s">
        <v>475</v>
      </c>
      <c r="F2593" s="28" t="s">
        <v>356</v>
      </c>
      <c r="G2593" s="30" t="s">
        <v>738</v>
      </c>
      <c r="H2593" t="str">
        <f>CONCATENATE(Prequal[[#This Row],[CITY]], ", ",Prequal[[#This Row],[STATE]])</f>
        <v>Columbia, IL</v>
      </c>
    </row>
    <row r="2594" spans="2:8" x14ac:dyDescent="0.2">
      <c r="B2594" s="27" t="s">
        <v>264</v>
      </c>
      <c r="C2594" s="28" t="s">
        <v>970</v>
      </c>
      <c r="D2594" s="29" t="s">
        <v>5</v>
      </c>
      <c r="E2594" s="30" t="s">
        <v>475</v>
      </c>
      <c r="F2594" s="28" t="s">
        <v>356</v>
      </c>
      <c r="G2594" s="30" t="s">
        <v>738</v>
      </c>
      <c r="H2594" t="str">
        <f>CONCATENATE(Prequal[[#This Row],[CITY]], ", ",Prequal[[#This Row],[STATE]])</f>
        <v>Columbia, IL</v>
      </c>
    </row>
    <row r="2595" spans="2:8" x14ac:dyDescent="0.2">
      <c r="B2595" s="27" t="s">
        <v>264</v>
      </c>
      <c r="C2595" s="28" t="s">
        <v>970</v>
      </c>
      <c r="D2595" s="29" t="s">
        <v>7</v>
      </c>
      <c r="E2595" s="30" t="s">
        <v>475</v>
      </c>
      <c r="F2595" s="28" t="s">
        <v>356</v>
      </c>
      <c r="G2595" s="30" t="s">
        <v>738</v>
      </c>
      <c r="H2595" t="str">
        <f>CONCATENATE(Prequal[[#This Row],[CITY]], ", ",Prequal[[#This Row],[STATE]])</f>
        <v>Columbia, IL</v>
      </c>
    </row>
    <row r="2596" spans="2:8" x14ac:dyDescent="0.2">
      <c r="B2596" s="27" t="s">
        <v>264</v>
      </c>
      <c r="C2596" s="28" t="s">
        <v>970</v>
      </c>
      <c r="D2596" s="29" t="s">
        <v>8</v>
      </c>
      <c r="E2596" s="30" t="s">
        <v>475</v>
      </c>
      <c r="F2596" s="28" t="s">
        <v>356</v>
      </c>
      <c r="G2596" s="30" t="s">
        <v>738</v>
      </c>
      <c r="H2596" t="str">
        <f>CONCATENATE(Prequal[[#This Row],[CITY]], ", ",Prequal[[#This Row],[STATE]])</f>
        <v>Columbia, IL</v>
      </c>
    </row>
    <row r="2597" spans="2:8" x14ac:dyDescent="0.2">
      <c r="B2597" s="27" t="s">
        <v>264</v>
      </c>
      <c r="C2597" s="28" t="s">
        <v>970</v>
      </c>
      <c r="D2597" s="29" t="s">
        <v>24</v>
      </c>
      <c r="E2597" s="30" t="s">
        <v>475</v>
      </c>
      <c r="F2597" s="28" t="s">
        <v>356</v>
      </c>
      <c r="G2597" s="30" t="s">
        <v>738</v>
      </c>
      <c r="H2597" t="str">
        <f>CONCATENATE(Prequal[[#This Row],[CITY]], ", ",Prequal[[#This Row],[STATE]])</f>
        <v>Columbia, IL</v>
      </c>
    </row>
    <row r="2598" spans="2:8" x14ac:dyDescent="0.2">
      <c r="B2598" s="27" t="s">
        <v>264</v>
      </c>
      <c r="C2598" s="28" t="s">
        <v>970</v>
      </c>
      <c r="D2598" s="29" t="s">
        <v>25</v>
      </c>
      <c r="E2598" s="30" t="s">
        <v>475</v>
      </c>
      <c r="F2598" s="28" t="s">
        <v>356</v>
      </c>
      <c r="G2598" s="30" t="s">
        <v>738</v>
      </c>
      <c r="H2598" t="str">
        <f>CONCATENATE(Prequal[[#This Row],[CITY]], ", ",Prequal[[#This Row],[STATE]])</f>
        <v>Columbia, IL</v>
      </c>
    </row>
    <row r="2599" spans="2:8" x14ac:dyDescent="0.2">
      <c r="B2599" s="27" t="s">
        <v>264</v>
      </c>
      <c r="C2599" s="28" t="s">
        <v>970</v>
      </c>
      <c r="D2599" s="29" t="s">
        <v>9</v>
      </c>
      <c r="E2599" s="30" t="s">
        <v>475</v>
      </c>
      <c r="F2599" s="28" t="s">
        <v>356</v>
      </c>
      <c r="G2599" s="30" t="s">
        <v>738</v>
      </c>
      <c r="H2599" t="str">
        <f>CONCATENATE(Prequal[[#This Row],[CITY]], ", ",Prequal[[#This Row],[STATE]])</f>
        <v>Columbia, IL</v>
      </c>
    </row>
    <row r="2600" spans="2:8" x14ac:dyDescent="0.2">
      <c r="B2600" s="27" t="s">
        <v>264</v>
      </c>
      <c r="C2600" s="28" t="s">
        <v>970</v>
      </c>
      <c r="D2600" s="29" t="s">
        <v>81</v>
      </c>
      <c r="E2600" s="30" t="s">
        <v>475</v>
      </c>
      <c r="F2600" s="28" t="s">
        <v>356</v>
      </c>
      <c r="G2600" s="30" t="s">
        <v>738</v>
      </c>
      <c r="H2600" t="str">
        <f>CONCATENATE(Prequal[[#This Row],[CITY]], ", ",Prequal[[#This Row],[STATE]])</f>
        <v>Columbia, IL</v>
      </c>
    </row>
    <row r="2601" spans="2:8" x14ac:dyDescent="0.2">
      <c r="B2601" s="27" t="s">
        <v>264</v>
      </c>
      <c r="C2601" s="28" t="s">
        <v>970</v>
      </c>
      <c r="D2601" s="29" t="s">
        <v>10</v>
      </c>
      <c r="E2601" s="30" t="s">
        <v>475</v>
      </c>
      <c r="F2601" s="28" t="s">
        <v>356</v>
      </c>
      <c r="G2601" s="30" t="s">
        <v>738</v>
      </c>
      <c r="H2601" t="str">
        <f>CONCATENATE(Prequal[[#This Row],[CITY]], ", ",Prequal[[#This Row],[STATE]])</f>
        <v>Columbia, IL</v>
      </c>
    </row>
    <row r="2602" spans="2:8" x14ac:dyDescent="0.2">
      <c r="B2602" s="27" t="s">
        <v>264</v>
      </c>
      <c r="C2602" s="28" t="s">
        <v>970</v>
      </c>
      <c r="D2602" s="29" t="s">
        <v>21</v>
      </c>
      <c r="E2602" s="30" t="s">
        <v>475</v>
      </c>
      <c r="F2602" s="28" t="s">
        <v>356</v>
      </c>
      <c r="G2602" s="30" t="s">
        <v>738</v>
      </c>
      <c r="H2602" t="str">
        <f>CONCATENATE(Prequal[[#This Row],[CITY]], ", ",Prequal[[#This Row],[STATE]])</f>
        <v>Columbia, IL</v>
      </c>
    </row>
    <row r="2603" spans="2:8" x14ac:dyDescent="0.2">
      <c r="B2603" s="27" t="s">
        <v>264</v>
      </c>
      <c r="C2603" s="28" t="s">
        <v>970</v>
      </c>
      <c r="D2603" s="29" t="s">
        <v>22</v>
      </c>
      <c r="E2603" s="30" t="s">
        <v>475</v>
      </c>
      <c r="F2603" s="28" t="s">
        <v>356</v>
      </c>
      <c r="G2603" s="30" t="s">
        <v>738</v>
      </c>
      <c r="H2603" t="str">
        <f>CONCATENATE(Prequal[[#This Row],[CITY]], ", ",Prequal[[#This Row],[STATE]])</f>
        <v>Columbia, IL</v>
      </c>
    </row>
    <row r="2604" spans="2:8" x14ac:dyDescent="0.2">
      <c r="B2604" s="27" t="s">
        <v>264</v>
      </c>
      <c r="C2604" s="28" t="s">
        <v>970</v>
      </c>
      <c r="D2604" s="29" t="s">
        <v>63</v>
      </c>
      <c r="E2604" s="30" t="s">
        <v>475</v>
      </c>
      <c r="F2604" s="28" t="s">
        <v>356</v>
      </c>
      <c r="G2604" s="30" t="s">
        <v>738</v>
      </c>
      <c r="H2604" t="str">
        <f>CONCATENATE(Prequal[[#This Row],[CITY]], ", ",Prequal[[#This Row],[STATE]])</f>
        <v>Columbia, IL</v>
      </c>
    </row>
    <row r="2605" spans="2:8" x14ac:dyDescent="0.2">
      <c r="B2605" s="27" t="s">
        <v>264</v>
      </c>
      <c r="C2605" s="28" t="s">
        <v>970</v>
      </c>
      <c r="D2605" s="29" t="s">
        <v>12</v>
      </c>
      <c r="E2605" s="30" t="s">
        <v>475</v>
      </c>
      <c r="F2605" s="28" t="s">
        <v>356</v>
      </c>
      <c r="G2605" s="30" t="s">
        <v>738</v>
      </c>
      <c r="H2605" t="str">
        <f>CONCATENATE(Prequal[[#This Row],[CITY]], ", ",Prequal[[#This Row],[STATE]])</f>
        <v>Columbia, IL</v>
      </c>
    </row>
    <row r="2606" spans="2:8" x14ac:dyDescent="0.2">
      <c r="B2606" s="27" t="s">
        <v>264</v>
      </c>
      <c r="C2606" s="28" t="s">
        <v>970</v>
      </c>
      <c r="D2606" s="29" t="s">
        <v>28</v>
      </c>
      <c r="E2606" s="30" t="s">
        <v>475</v>
      </c>
      <c r="F2606" s="28" t="s">
        <v>356</v>
      </c>
      <c r="G2606" s="30" t="s">
        <v>738</v>
      </c>
      <c r="H2606" t="str">
        <f>CONCATENATE(Prequal[[#This Row],[CITY]], ", ",Prequal[[#This Row],[STATE]])</f>
        <v>Columbia, IL</v>
      </c>
    </row>
    <row r="2607" spans="2:8" x14ac:dyDescent="0.2">
      <c r="B2607" s="27" t="s">
        <v>264</v>
      </c>
      <c r="C2607" s="28" t="s">
        <v>970</v>
      </c>
      <c r="D2607" s="29" t="s">
        <v>29</v>
      </c>
      <c r="E2607" s="30" t="s">
        <v>475</v>
      </c>
      <c r="F2607" s="28" t="s">
        <v>356</v>
      </c>
      <c r="G2607" s="30" t="s">
        <v>738</v>
      </c>
      <c r="H2607" t="str">
        <f>CONCATENATE(Prequal[[#This Row],[CITY]], ", ",Prequal[[#This Row],[STATE]])</f>
        <v>Columbia, IL</v>
      </c>
    </row>
    <row r="2608" spans="2:8" x14ac:dyDescent="0.2">
      <c r="B2608" s="27" t="s">
        <v>264</v>
      </c>
      <c r="C2608" s="28" t="s">
        <v>970</v>
      </c>
      <c r="D2608" s="29" t="s">
        <v>13</v>
      </c>
      <c r="E2608" s="30" t="s">
        <v>475</v>
      </c>
      <c r="F2608" s="28" t="s">
        <v>356</v>
      </c>
      <c r="G2608" s="30" t="s">
        <v>738</v>
      </c>
      <c r="H2608" t="str">
        <f>CONCATENATE(Prequal[[#This Row],[CITY]], ", ",Prequal[[#This Row],[STATE]])</f>
        <v>Columbia, IL</v>
      </c>
    </row>
    <row r="2609" spans="2:8" x14ac:dyDescent="0.2">
      <c r="B2609" s="27" t="s">
        <v>264</v>
      </c>
      <c r="C2609" s="28" t="s">
        <v>970</v>
      </c>
      <c r="D2609" s="29" t="s">
        <v>14</v>
      </c>
      <c r="E2609" s="30" t="s">
        <v>475</v>
      </c>
      <c r="F2609" s="28" t="s">
        <v>356</v>
      </c>
      <c r="G2609" s="30" t="s">
        <v>738</v>
      </c>
      <c r="H2609" t="str">
        <f>CONCATENATE(Prequal[[#This Row],[CITY]], ", ",Prequal[[#This Row],[STATE]])</f>
        <v>Columbia, IL</v>
      </c>
    </row>
    <row r="2610" spans="2:8" x14ac:dyDescent="0.2">
      <c r="B2610" s="27" t="s">
        <v>264</v>
      </c>
      <c r="C2610" s="28" t="s">
        <v>970</v>
      </c>
      <c r="D2610" s="29" t="s">
        <v>15</v>
      </c>
      <c r="E2610" s="30" t="s">
        <v>475</v>
      </c>
      <c r="F2610" s="28" t="s">
        <v>356</v>
      </c>
      <c r="G2610" s="30" t="s">
        <v>738</v>
      </c>
      <c r="H2610" t="str">
        <f>CONCATENATE(Prequal[[#This Row],[CITY]], ", ",Prequal[[#This Row],[STATE]])</f>
        <v>Columbia, IL</v>
      </c>
    </row>
    <row r="2611" spans="2:8" x14ac:dyDescent="0.2">
      <c r="B2611" s="27" t="s">
        <v>264</v>
      </c>
      <c r="C2611" s="28" t="s">
        <v>970</v>
      </c>
      <c r="D2611" s="29" t="s">
        <v>31</v>
      </c>
      <c r="E2611" s="30" t="s">
        <v>475</v>
      </c>
      <c r="F2611" s="28" t="s">
        <v>356</v>
      </c>
      <c r="G2611" s="30" t="s">
        <v>738</v>
      </c>
      <c r="H2611" t="str">
        <f>CONCATENATE(Prequal[[#This Row],[CITY]], ", ",Prequal[[#This Row],[STATE]])</f>
        <v>Columbia, IL</v>
      </c>
    </row>
    <row r="2612" spans="2:8" x14ac:dyDescent="0.2">
      <c r="B2612" s="27" t="s">
        <v>264</v>
      </c>
      <c r="C2612" s="28" t="s">
        <v>970</v>
      </c>
      <c r="D2612" s="29" t="s">
        <v>32</v>
      </c>
      <c r="E2612" s="30" t="s">
        <v>475</v>
      </c>
      <c r="F2612" s="28" t="s">
        <v>356</v>
      </c>
      <c r="G2612" s="30" t="s">
        <v>738</v>
      </c>
      <c r="H2612" t="str">
        <f>CONCATENATE(Prequal[[#This Row],[CITY]], ", ",Prequal[[#This Row],[STATE]])</f>
        <v>Columbia, IL</v>
      </c>
    </row>
    <row r="2613" spans="2:8" x14ac:dyDescent="0.2">
      <c r="B2613" s="27" t="s">
        <v>265</v>
      </c>
      <c r="C2613" s="28" t="s">
        <v>969</v>
      </c>
      <c r="D2613" s="29" t="s">
        <v>35</v>
      </c>
      <c r="E2613" s="30" t="s">
        <v>947</v>
      </c>
      <c r="F2613" s="28" t="s">
        <v>356</v>
      </c>
      <c r="G2613" s="30" t="s">
        <v>739</v>
      </c>
      <c r="H2613" t="str">
        <f>CONCATENATE(Prequal[[#This Row],[CITY]], ", ",Prequal[[#This Row],[STATE]])</f>
        <v>Chicago, IL</v>
      </c>
    </row>
    <row r="2614" spans="2:8" x14ac:dyDescent="0.2">
      <c r="B2614" s="27" t="s">
        <v>265</v>
      </c>
      <c r="C2614" s="28" t="s">
        <v>969</v>
      </c>
      <c r="D2614" s="29" t="s">
        <v>124</v>
      </c>
      <c r="E2614" s="30" t="s">
        <v>947</v>
      </c>
      <c r="F2614" s="28" t="s">
        <v>356</v>
      </c>
      <c r="G2614" s="30" t="s">
        <v>739</v>
      </c>
      <c r="H2614" t="str">
        <f>CONCATENATE(Prequal[[#This Row],[CITY]], ", ",Prequal[[#This Row],[STATE]])</f>
        <v>Chicago, IL</v>
      </c>
    </row>
    <row r="2615" spans="2:8" x14ac:dyDescent="0.2">
      <c r="B2615" s="27" t="s">
        <v>265</v>
      </c>
      <c r="C2615" s="28" t="s">
        <v>969</v>
      </c>
      <c r="D2615" s="29" t="s">
        <v>36</v>
      </c>
      <c r="E2615" s="30" t="s">
        <v>947</v>
      </c>
      <c r="F2615" s="28" t="s">
        <v>356</v>
      </c>
      <c r="G2615" s="30" t="s">
        <v>739</v>
      </c>
      <c r="H2615" t="str">
        <f>CONCATENATE(Prequal[[#This Row],[CITY]], ", ",Prequal[[#This Row],[STATE]])</f>
        <v>Chicago, IL</v>
      </c>
    </row>
    <row r="2616" spans="2:8" x14ac:dyDescent="0.2">
      <c r="B2616" s="27" t="s">
        <v>265</v>
      </c>
      <c r="C2616" s="28" t="s">
        <v>969</v>
      </c>
      <c r="D2616" s="29" t="s">
        <v>125</v>
      </c>
      <c r="E2616" s="30" t="s">
        <v>947</v>
      </c>
      <c r="F2616" s="28" t="s">
        <v>356</v>
      </c>
      <c r="G2616" s="30" t="s">
        <v>739</v>
      </c>
      <c r="H2616" t="str">
        <f>CONCATENATE(Prequal[[#This Row],[CITY]], ", ",Prequal[[#This Row],[STATE]])</f>
        <v>Chicago, IL</v>
      </c>
    </row>
    <row r="2617" spans="2:8" x14ac:dyDescent="0.2">
      <c r="B2617" s="27" t="s">
        <v>265</v>
      </c>
      <c r="C2617" s="28" t="s">
        <v>969</v>
      </c>
      <c r="D2617" s="29" t="s">
        <v>42</v>
      </c>
      <c r="E2617" s="30" t="s">
        <v>947</v>
      </c>
      <c r="F2617" s="28" t="s">
        <v>356</v>
      </c>
      <c r="G2617" s="30" t="s">
        <v>739</v>
      </c>
      <c r="H2617" t="str">
        <f>CONCATENATE(Prequal[[#This Row],[CITY]], ", ",Prequal[[#This Row],[STATE]])</f>
        <v>Chicago, IL</v>
      </c>
    </row>
    <row r="2618" spans="2:8" x14ac:dyDescent="0.2">
      <c r="B2618" s="27" t="s">
        <v>265</v>
      </c>
      <c r="C2618" s="28" t="s">
        <v>969</v>
      </c>
      <c r="D2618" s="29" t="s">
        <v>4</v>
      </c>
      <c r="E2618" s="30" t="s">
        <v>947</v>
      </c>
      <c r="F2618" s="28" t="s">
        <v>356</v>
      </c>
      <c r="G2618" s="30" t="s">
        <v>739</v>
      </c>
      <c r="H2618" t="str">
        <f>CONCATENATE(Prequal[[#This Row],[CITY]], ", ",Prequal[[#This Row],[STATE]])</f>
        <v>Chicago, IL</v>
      </c>
    </row>
    <row r="2619" spans="2:8" x14ac:dyDescent="0.2">
      <c r="B2619" s="27" t="s">
        <v>265</v>
      </c>
      <c r="C2619" s="28" t="s">
        <v>969</v>
      </c>
      <c r="D2619" s="29" t="s">
        <v>5</v>
      </c>
      <c r="E2619" s="30" t="s">
        <v>947</v>
      </c>
      <c r="F2619" s="28" t="s">
        <v>356</v>
      </c>
      <c r="G2619" s="30" t="s">
        <v>739</v>
      </c>
      <c r="H2619" t="str">
        <f>CONCATENATE(Prequal[[#This Row],[CITY]], ", ",Prequal[[#This Row],[STATE]])</f>
        <v>Chicago, IL</v>
      </c>
    </row>
    <row r="2620" spans="2:8" x14ac:dyDescent="0.2">
      <c r="B2620" s="27" t="s">
        <v>265</v>
      </c>
      <c r="C2620" s="28" t="s">
        <v>969</v>
      </c>
      <c r="D2620" s="29" t="s">
        <v>7</v>
      </c>
      <c r="E2620" s="30" t="s">
        <v>947</v>
      </c>
      <c r="F2620" s="28" t="s">
        <v>356</v>
      </c>
      <c r="G2620" s="30" t="s">
        <v>739</v>
      </c>
      <c r="H2620" t="str">
        <f>CONCATENATE(Prequal[[#This Row],[CITY]], ", ",Prequal[[#This Row],[STATE]])</f>
        <v>Chicago, IL</v>
      </c>
    </row>
    <row r="2621" spans="2:8" x14ac:dyDescent="0.2">
      <c r="B2621" s="27" t="s">
        <v>265</v>
      </c>
      <c r="C2621" s="28" t="s">
        <v>969</v>
      </c>
      <c r="D2621" s="29" t="s">
        <v>8</v>
      </c>
      <c r="E2621" s="30" t="s">
        <v>947</v>
      </c>
      <c r="F2621" s="28" t="s">
        <v>356</v>
      </c>
      <c r="G2621" s="30" t="s">
        <v>739</v>
      </c>
      <c r="H2621" t="str">
        <f>CONCATENATE(Prequal[[#This Row],[CITY]], ", ",Prequal[[#This Row],[STATE]])</f>
        <v>Chicago, IL</v>
      </c>
    </row>
    <row r="2622" spans="2:8" x14ac:dyDescent="0.2">
      <c r="B2622" s="27" t="s">
        <v>265</v>
      </c>
      <c r="C2622" s="28" t="s">
        <v>969</v>
      </c>
      <c r="D2622" s="29" t="s">
        <v>24</v>
      </c>
      <c r="E2622" s="30" t="s">
        <v>947</v>
      </c>
      <c r="F2622" s="28" t="s">
        <v>356</v>
      </c>
      <c r="G2622" s="30" t="s">
        <v>739</v>
      </c>
      <c r="H2622" t="str">
        <f>CONCATENATE(Prequal[[#This Row],[CITY]], ", ",Prequal[[#This Row],[STATE]])</f>
        <v>Chicago, IL</v>
      </c>
    </row>
    <row r="2623" spans="2:8" x14ac:dyDescent="0.2">
      <c r="B2623" s="27" t="s">
        <v>265</v>
      </c>
      <c r="C2623" s="28" t="s">
        <v>969</v>
      </c>
      <c r="D2623" s="29" t="s">
        <v>25</v>
      </c>
      <c r="E2623" s="30" t="s">
        <v>947</v>
      </c>
      <c r="F2623" s="28" t="s">
        <v>356</v>
      </c>
      <c r="G2623" s="30" t="s">
        <v>739</v>
      </c>
      <c r="H2623" t="str">
        <f>CONCATENATE(Prequal[[#This Row],[CITY]], ", ",Prequal[[#This Row],[STATE]])</f>
        <v>Chicago, IL</v>
      </c>
    </row>
    <row r="2624" spans="2:8" x14ac:dyDescent="0.2">
      <c r="B2624" s="27" t="s">
        <v>265</v>
      </c>
      <c r="C2624" s="28" t="s">
        <v>969</v>
      </c>
      <c r="D2624" s="29" t="s">
        <v>9</v>
      </c>
      <c r="E2624" s="30" t="s">
        <v>947</v>
      </c>
      <c r="F2624" s="28" t="s">
        <v>356</v>
      </c>
      <c r="G2624" s="30" t="s">
        <v>739</v>
      </c>
      <c r="H2624" t="str">
        <f>CONCATENATE(Prequal[[#This Row],[CITY]], ", ",Prequal[[#This Row],[STATE]])</f>
        <v>Chicago, IL</v>
      </c>
    </row>
    <row r="2625" spans="2:8" x14ac:dyDescent="0.2">
      <c r="B2625" s="27" t="s">
        <v>265</v>
      </c>
      <c r="C2625" s="28" t="s">
        <v>969</v>
      </c>
      <c r="D2625" s="29" t="s">
        <v>59</v>
      </c>
      <c r="E2625" s="30" t="s">
        <v>947</v>
      </c>
      <c r="F2625" s="28" t="s">
        <v>356</v>
      </c>
      <c r="G2625" s="30" t="s">
        <v>739</v>
      </c>
      <c r="H2625" t="str">
        <f>CONCATENATE(Prequal[[#This Row],[CITY]], ", ",Prequal[[#This Row],[STATE]])</f>
        <v>Chicago, IL</v>
      </c>
    </row>
    <row r="2626" spans="2:8" x14ac:dyDescent="0.2">
      <c r="B2626" s="27" t="s">
        <v>265</v>
      </c>
      <c r="C2626" s="28" t="s">
        <v>969</v>
      </c>
      <c r="D2626" s="29" t="s">
        <v>10</v>
      </c>
      <c r="E2626" s="30" t="s">
        <v>947</v>
      </c>
      <c r="F2626" s="28" t="s">
        <v>356</v>
      </c>
      <c r="G2626" s="30" t="s">
        <v>739</v>
      </c>
      <c r="H2626" t="str">
        <f>CONCATENATE(Prequal[[#This Row],[CITY]], ", ",Prequal[[#This Row],[STATE]])</f>
        <v>Chicago, IL</v>
      </c>
    </row>
    <row r="2627" spans="2:8" x14ac:dyDescent="0.2">
      <c r="B2627" s="27" t="s">
        <v>265</v>
      </c>
      <c r="C2627" s="28" t="s">
        <v>969</v>
      </c>
      <c r="D2627" s="29" t="s">
        <v>22</v>
      </c>
      <c r="E2627" s="30" t="s">
        <v>947</v>
      </c>
      <c r="F2627" s="28" t="s">
        <v>356</v>
      </c>
      <c r="G2627" s="30" t="s">
        <v>739</v>
      </c>
      <c r="H2627" t="str">
        <f>CONCATENATE(Prequal[[#This Row],[CITY]], ", ",Prequal[[#This Row],[STATE]])</f>
        <v>Chicago, IL</v>
      </c>
    </row>
    <row r="2628" spans="2:8" x14ac:dyDescent="0.2">
      <c r="B2628" s="27" t="s">
        <v>265</v>
      </c>
      <c r="C2628" s="28" t="s">
        <v>969</v>
      </c>
      <c r="D2628" s="29" t="s">
        <v>39</v>
      </c>
      <c r="E2628" s="30" t="s">
        <v>947</v>
      </c>
      <c r="F2628" s="28" t="s">
        <v>356</v>
      </c>
      <c r="G2628" s="30" t="s">
        <v>739</v>
      </c>
      <c r="H2628" t="str">
        <f>CONCATENATE(Prequal[[#This Row],[CITY]], ", ",Prequal[[#This Row],[STATE]])</f>
        <v>Chicago, IL</v>
      </c>
    </row>
    <row r="2629" spans="2:8" x14ac:dyDescent="0.2">
      <c r="B2629" s="27" t="s">
        <v>265</v>
      </c>
      <c r="C2629" s="28" t="s">
        <v>969</v>
      </c>
      <c r="D2629" s="29" t="s">
        <v>12</v>
      </c>
      <c r="E2629" s="30" t="s">
        <v>947</v>
      </c>
      <c r="F2629" s="28" t="s">
        <v>356</v>
      </c>
      <c r="G2629" s="30" t="s">
        <v>739</v>
      </c>
      <c r="H2629" t="str">
        <f>CONCATENATE(Prequal[[#This Row],[CITY]], ", ",Prequal[[#This Row],[STATE]])</f>
        <v>Chicago, IL</v>
      </c>
    </row>
    <row r="2630" spans="2:8" x14ac:dyDescent="0.2">
      <c r="B2630" s="27" t="s">
        <v>265</v>
      </c>
      <c r="C2630" s="28" t="s">
        <v>969</v>
      </c>
      <c r="D2630" s="29" t="s">
        <v>37</v>
      </c>
      <c r="E2630" s="30" t="s">
        <v>947</v>
      </c>
      <c r="F2630" s="28" t="s">
        <v>356</v>
      </c>
      <c r="G2630" s="30" t="s">
        <v>739</v>
      </c>
      <c r="H2630" t="str">
        <f>CONCATENATE(Prequal[[#This Row],[CITY]], ", ",Prequal[[#This Row],[STATE]])</f>
        <v>Chicago, IL</v>
      </c>
    </row>
    <row r="2631" spans="2:8" x14ac:dyDescent="0.2">
      <c r="B2631" s="27" t="s">
        <v>265</v>
      </c>
      <c r="C2631" s="28" t="s">
        <v>969</v>
      </c>
      <c r="D2631" s="29" t="s">
        <v>13</v>
      </c>
      <c r="E2631" s="30" t="s">
        <v>947</v>
      </c>
      <c r="F2631" s="28" t="s">
        <v>356</v>
      </c>
      <c r="G2631" s="30" t="s">
        <v>739</v>
      </c>
      <c r="H2631" t="str">
        <f>CONCATENATE(Prequal[[#This Row],[CITY]], ", ",Prequal[[#This Row],[STATE]])</f>
        <v>Chicago, IL</v>
      </c>
    </row>
    <row r="2632" spans="2:8" x14ac:dyDescent="0.2">
      <c r="B2632" s="27" t="s">
        <v>265</v>
      </c>
      <c r="C2632" s="28" t="s">
        <v>969</v>
      </c>
      <c r="D2632" s="29" t="s">
        <v>14</v>
      </c>
      <c r="E2632" s="30" t="s">
        <v>947</v>
      </c>
      <c r="F2632" s="28" t="s">
        <v>356</v>
      </c>
      <c r="G2632" s="30" t="s">
        <v>739</v>
      </c>
      <c r="H2632" t="str">
        <f>CONCATENATE(Prequal[[#This Row],[CITY]], ", ",Prequal[[#This Row],[STATE]])</f>
        <v>Chicago, IL</v>
      </c>
    </row>
    <row r="2633" spans="2:8" x14ac:dyDescent="0.2">
      <c r="B2633" s="27" t="s">
        <v>265</v>
      </c>
      <c r="C2633" s="28" t="s">
        <v>969</v>
      </c>
      <c r="D2633" s="29" t="s">
        <v>15</v>
      </c>
      <c r="E2633" s="30" t="s">
        <v>947</v>
      </c>
      <c r="F2633" s="28" t="s">
        <v>356</v>
      </c>
      <c r="G2633" s="30" t="s">
        <v>739</v>
      </c>
      <c r="H2633" t="str">
        <f>CONCATENATE(Prequal[[#This Row],[CITY]], ", ",Prequal[[#This Row],[STATE]])</f>
        <v>Chicago, IL</v>
      </c>
    </row>
    <row r="2634" spans="2:8" x14ac:dyDescent="0.2">
      <c r="B2634" s="27" t="s">
        <v>265</v>
      </c>
      <c r="C2634" s="28" t="s">
        <v>969</v>
      </c>
      <c r="D2634" s="29" t="s">
        <v>30</v>
      </c>
      <c r="E2634" s="30" t="s">
        <v>947</v>
      </c>
      <c r="F2634" s="28" t="s">
        <v>356</v>
      </c>
      <c r="G2634" s="30" t="s">
        <v>739</v>
      </c>
      <c r="H2634" t="str">
        <f>CONCATENATE(Prequal[[#This Row],[CITY]], ", ",Prequal[[#This Row],[STATE]])</f>
        <v>Chicago, IL</v>
      </c>
    </row>
    <row r="2635" spans="2:8" x14ac:dyDescent="0.2">
      <c r="B2635" s="27" t="s">
        <v>265</v>
      </c>
      <c r="C2635" s="28" t="s">
        <v>969</v>
      </c>
      <c r="D2635" s="29" t="s">
        <v>53</v>
      </c>
      <c r="E2635" s="30" t="s">
        <v>947</v>
      </c>
      <c r="F2635" s="28" t="s">
        <v>356</v>
      </c>
      <c r="G2635" s="30" t="s">
        <v>739</v>
      </c>
      <c r="H2635" t="str">
        <f>CONCATENATE(Prequal[[#This Row],[CITY]], ", ",Prequal[[#This Row],[STATE]])</f>
        <v>Chicago, IL</v>
      </c>
    </row>
    <row r="2636" spans="2:8" x14ac:dyDescent="0.2">
      <c r="B2636" s="31" t="s">
        <v>265</v>
      </c>
      <c r="C2636" s="32" t="s">
        <v>969</v>
      </c>
      <c r="D2636" s="33" t="s">
        <v>31</v>
      </c>
      <c r="E2636" s="30" t="s">
        <v>947</v>
      </c>
      <c r="F2636" s="32" t="s">
        <v>356</v>
      </c>
      <c r="G2636" s="30" t="s">
        <v>739</v>
      </c>
      <c r="H2636" t="str">
        <f>CONCATENATE(Prequal[[#This Row],[CITY]], ", ",Prequal[[#This Row],[STATE]])</f>
        <v>Chicago, IL</v>
      </c>
    </row>
    <row r="2637" spans="2:8" x14ac:dyDescent="0.2">
      <c r="B2637" s="31" t="s">
        <v>265</v>
      </c>
      <c r="C2637" s="32" t="s">
        <v>969</v>
      </c>
      <c r="D2637" s="33" t="s">
        <v>32</v>
      </c>
      <c r="E2637" s="30" t="s">
        <v>947</v>
      </c>
      <c r="F2637" s="32" t="s">
        <v>356</v>
      </c>
      <c r="G2637" s="30" t="s">
        <v>739</v>
      </c>
      <c r="H2637" t="str">
        <f>CONCATENATE(Prequal[[#This Row],[CITY]], ", ",Prequal[[#This Row],[STATE]])</f>
        <v>Chicago, IL</v>
      </c>
    </row>
    <row r="2638" spans="2:8" x14ac:dyDescent="0.2">
      <c r="B2638" s="31" t="s">
        <v>265</v>
      </c>
      <c r="C2638" s="32" t="s">
        <v>969</v>
      </c>
      <c r="D2638" s="33" t="s">
        <v>54</v>
      </c>
      <c r="E2638" s="30" t="s">
        <v>947</v>
      </c>
      <c r="F2638" s="32" t="s">
        <v>356</v>
      </c>
      <c r="G2638" s="30" t="s">
        <v>739</v>
      </c>
      <c r="H2638" t="str">
        <f>CONCATENATE(Prequal[[#This Row],[CITY]], ", ",Prequal[[#This Row],[STATE]])</f>
        <v>Chicago, IL</v>
      </c>
    </row>
    <row r="2639" spans="2:8" x14ac:dyDescent="0.2">
      <c r="B2639" s="31" t="s">
        <v>265</v>
      </c>
      <c r="C2639" s="32" t="s">
        <v>969</v>
      </c>
      <c r="D2639" s="33" t="s">
        <v>38</v>
      </c>
      <c r="E2639" s="30" t="s">
        <v>947</v>
      </c>
      <c r="F2639" s="32" t="s">
        <v>356</v>
      </c>
      <c r="G2639" s="30" t="s">
        <v>739</v>
      </c>
      <c r="H2639" t="str">
        <f>CONCATENATE(Prequal[[#This Row],[CITY]], ", ",Prequal[[#This Row],[STATE]])</f>
        <v>Chicago, IL</v>
      </c>
    </row>
    <row r="2640" spans="2:8" x14ac:dyDescent="0.2">
      <c r="B2640" s="31" t="s">
        <v>266</v>
      </c>
      <c r="C2640" s="32" t="s">
        <v>970</v>
      </c>
      <c r="D2640" s="33" t="s">
        <v>10</v>
      </c>
      <c r="E2640" s="30" t="s">
        <v>947</v>
      </c>
      <c r="F2640" s="32" t="s">
        <v>356</v>
      </c>
      <c r="G2640" s="30" t="s">
        <v>740</v>
      </c>
      <c r="H2640" t="str">
        <f>CONCATENATE(Prequal[[#This Row],[CITY]], ", ",Prequal[[#This Row],[STATE]])</f>
        <v>Chicago, IL</v>
      </c>
    </row>
    <row r="2641" spans="2:8" x14ac:dyDescent="0.2">
      <c r="B2641" s="31" t="s">
        <v>266</v>
      </c>
      <c r="C2641" s="32" t="s">
        <v>970</v>
      </c>
      <c r="D2641" s="33" t="s">
        <v>107</v>
      </c>
      <c r="E2641" s="30" t="s">
        <v>947</v>
      </c>
      <c r="F2641" s="32" t="s">
        <v>356</v>
      </c>
      <c r="G2641" s="30" t="s">
        <v>740</v>
      </c>
      <c r="H2641" t="str">
        <f>CONCATENATE(Prequal[[#This Row],[CITY]], ", ",Prequal[[#This Row],[STATE]])</f>
        <v>Chicago, IL</v>
      </c>
    </row>
    <row r="2642" spans="2:8" x14ac:dyDescent="0.2">
      <c r="B2642" s="31" t="s">
        <v>266</v>
      </c>
      <c r="C2642" s="32" t="s">
        <v>970</v>
      </c>
      <c r="D2642" s="33" t="s">
        <v>108</v>
      </c>
      <c r="E2642" s="30" t="s">
        <v>947</v>
      </c>
      <c r="F2642" s="32" t="s">
        <v>356</v>
      </c>
      <c r="G2642" s="30" t="s">
        <v>740</v>
      </c>
      <c r="H2642" t="str">
        <f>CONCATENATE(Prequal[[#This Row],[CITY]], ", ",Prequal[[#This Row],[STATE]])</f>
        <v>Chicago, IL</v>
      </c>
    </row>
    <row r="2643" spans="2:8" x14ac:dyDescent="0.2">
      <c r="B2643" s="31" t="s">
        <v>267</v>
      </c>
      <c r="C2643" s="32" t="s">
        <v>970</v>
      </c>
      <c r="D2643" s="33" t="s">
        <v>10</v>
      </c>
      <c r="E2643" s="30" t="s">
        <v>476</v>
      </c>
      <c r="F2643" s="32" t="s">
        <v>356</v>
      </c>
      <c r="G2643" s="30" t="s">
        <v>741</v>
      </c>
      <c r="H2643" t="str">
        <f>CONCATENATE(Prequal[[#This Row],[CITY]], ", ",Prequal[[#This Row],[STATE]])</f>
        <v>La Grange, IL</v>
      </c>
    </row>
    <row r="2644" spans="2:8" x14ac:dyDescent="0.2">
      <c r="B2644" s="27" t="s">
        <v>267</v>
      </c>
      <c r="C2644" s="28" t="s">
        <v>970</v>
      </c>
      <c r="D2644" s="29" t="s">
        <v>51</v>
      </c>
      <c r="E2644" s="30" t="s">
        <v>476</v>
      </c>
      <c r="F2644" s="28" t="s">
        <v>356</v>
      </c>
      <c r="G2644" s="30" t="s">
        <v>741</v>
      </c>
      <c r="H2644" t="str">
        <f>CONCATENATE(Prequal[[#This Row],[CITY]], ", ",Prequal[[#This Row],[STATE]])</f>
        <v>La Grange, IL</v>
      </c>
    </row>
    <row r="2645" spans="2:8" x14ac:dyDescent="0.2">
      <c r="B2645" s="27" t="s">
        <v>1017</v>
      </c>
      <c r="C2645" s="28" t="s">
        <v>970</v>
      </c>
      <c r="D2645" s="29" t="s">
        <v>39</v>
      </c>
      <c r="E2645" s="30" t="s">
        <v>947</v>
      </c>
      <c r="F2645" s="28" t="s">
        <v>356</v>
      </c>
      <c r="G2645" s="30" t="s">
        <v>1018</v>
      </c>
      <c r="H2645" t="str">
        <f>CONCATENATE(Prequal[[#This Row],[CITY]], ", ",Prequal[[#This Row],[STATE]])</f>
        <v>Chicago, IL</v>
      </c>
    </row>
    <row r="2646" spans="2:8" x14ac:dyDescent="0.2">
      <c r="B2646" s="27" t="s">
        <v>268</v>
      </c>
      <c r="C2646" s="28" t="s">
        <v>970</v>
      </c>
      <c r="D2646" s="29" t="s">
        <v>5</v>
      </c>
      <c r="E2646" s="30" t="s">
        <v>510</v>
      </c>
      <c r="F2646" s="28" t="s">
        <v>477</v>
      </c>
      <c r="G2646" s="30" t="s">
        <v>1043</v>
      </c>
      <c r="H2646" t="str">
        <f>CONCATENATE(Prequal[[#This Row],[CITY]], ", ",Prequal[[#This Row],[STATE]])</f>
        <v>Honolulu, HI, HI</v>
      </c>
    </row>
    <row r="2647" spans="2:8" x14ac:dyDescent="0.2">
      <c r="B2647" s="27" t="s">
        <v>268</v>
      </c>
      <c r="C2647" s="28" t="s">
        <v>970</v>
      </c>
      <c r="D2647" s="29" t="s">
        <v>51</v>
      </c>
      <c r="E2647" s="30" t="s">
        <v>510</v>
      </c>
      <c r="F2647" s="28" t="s">
        <v>477</v>
      </c>
      <c r="G2647" s="30" t="s">
        <v>1043</v>
      </c>
      <c r="H2647" t="str">
        <f>CONCATENATE(Prequal[[#This Row],[CITY]], ", ",Prequal[[#This Row],[STATE]])</f>
        <v>Honolulu, HI, HI</v>
      </c>
    </row>
    <row r="2648" spans="2:8" x14ac:dyDescent="0.2">
      <c r="B2648" s="27" t="s">
        <v>269</v>
      </c>
      <c r="C2648" s="28" t="s">
        <v>969</v>
      </c>
      <c r="D2648" s="29" t="s">
        <v>43</v>
      </c>
      <c r="E2648" s="30" t="s">
        <v>947</v>
      </c>
      <c r="F2648" s="28" t="s">
        <v>356</v>
      </c>
      <c r="G2648" s="30" t="s">
        <v>742</v>
      </c>
      <c r="H2648" t="str">
        <f>CONCATENATE(Prequal[[#This Row],[CITY]], ", ",Prequal[[#This Row],[STATE]])</f>
        <v>Chicago, IL</v>
      </c>
    </row>
    <row r="2649" spans="2:8" x14ac:dyDescent="0.2">
      <c r="B2649" s="27" t="s">
        <v>269</v>
      </c>
      <c r="C2649" s="28" t="s">
        <v>969</v>
      </c>
      <c r="D2649" s="29" t="s">
        <v>4</v>
      </c>
      <c r="E2649" s="30" t="s">
        <v>947</v>
      </c>
      <c r="F2649" s="28" t="s">
        <v>356</v>
      </c>
      <c r="G2649" s="30" t="s">
        <v>742</v>
      </c>
      <c r="H2649" t="str">
        <f>CONCATENATE(Prequal[[#This Row],[CITY]], ", ",Prequal[[#This Row],[STATE]])</f>
        <v>Chicago, IL</v>
      </c>
    </row>
    <row r="2650" spans="2:8" x14ac:dyDescent="0.2">
      <c r="B2650" s="27" t="s">
        <v>269</v>
      </c>
      <c r="C2650" s="28" t="s">
        <v>969</v>
      </c>
      <c r="D2650" s="29" t="s">
        <v>5</v>
      </c>
      <c r="E2650" s="30" t="s">
        <v>947</v>
      </c>
      <c r="F2650" s="28" t="s">
        <v>356</v>
      </c>
      <c r="G2650" s="30" t="s">
        <v>742</v>
      </c>
      <c r="H2650" t="str">
        <f>CONCATENATE(Prequal[[#This Row],[CITY]], ", ",Prequal[[#This Row],[STATE]])</f>
        <v>Chicago, IL</v>
      </c>
    </row>
    <row r="2651" spans="2:8" x14ac:dyDescent="0.2">
      <c r="B2651" s="27" t="s">
        <v>269</v>
      </c>
      <c r="C2651" s="28" t="s">
        <v>969</v>
      </c>
      <c r="D2651" s="29" t="s">
        <v>24</v>
      </c>
      <c r="E2651" s="30" t="s">
        <v>947</v>
      </c>
      <c r="F2651" s="28" t="s">
        <v>356</v>
      </c>
      <c r="G2651" s="30" t="s">
        <v>742</v>
      </c>
      <c r="H2651" t="str">
        <f>CONCATENATE(Prequal[[#This Row],[CITY]], ", ",Prequal[[#This Row],[STATE]])</f>
        <v>Chicago, IL</v>
      </c>
    </row>
    <row r="2652" spans="2:8" x14ac:dyDescent="0.2">
      <c r="B2652" s="27" t="s">
        <v>269</v>
      </c>
      <c r="C2652" s="28" t="s">
        <v>969</v>
      </c>
      <c r="D2652" s="29" t="s">
        <v>25</v>
      </c>
      <c r="E2652" s="30" t="s">
        <v>947</v>
      </c>
      <c r="F2652" s="28" t="s">
        <v>356</v>
      </c>
      <c r="G2652" s="30" t="s">
        <v>742</v>
      </c>
      <c r="H2652" t="str">
        <f>CONCATENATE(Prequal[[#This Row],[CITY]], ", ",Prequal[[#This Row],[STATE]])</f>
        <v>Chicago, IL</v>
      </c>
    </row>
    <row r="2653" spans="2:8" x14ac:dyDescent="0.2">
      <c r="B2653" s="27" t="s">
        <v>269</v>
      </c>
      <c r="C2653" s="28" t="s">
        <v>969</v>
      </c>
      <c r="D2653" s="29" t="s">
        <v>9</v>
      </c>
      <c r="E2653" s="30" t="s">
        <v>947</v>
      </c>
      <c r="F2653" s="28" t="s">
        <v>356</v>
      </c>
      <c r="G2653" s="30" t="s">
        <v>742</v>
      </c>
      <c r="H2653" t="str">
        <f>CONCATENATE(Prequal[[#This Row],[CITY]], ", ",Prequal[[#This Row],[STATE]])</f>
        <v>Chicago, IL</v>
      </c>
    </row>
    <row r="2654" spans="2:8" x14ac:dyDescent="0.2">
      <c r="B2654" s="27" t="s">
        <v>269</v>
      </c>
      <c r="C2654" s="28" t="s">
        <v>969</v>
      </c>
      <c r="D2654" s="29" t="s">
        <v>27</v>
      </c>
      <c r="E2654" s="30" t="s">
        <v>947</v>
      </c>
      <c r="F2654" s="28" t="s">
        <v>356</v>
      </c>
      <c r="G2654" s="30" t="s">
        <v>742</v>
      </c>
      <c r="H2654" t="str">
        <f>CONCATENATE(Prequal[[#This Row],[CITY]], ", ",Prequal[[#This Row],[STATE]])</f>
        <v>Chicago, IL</v>
      </c>
    </row>
    <row r="2655" spans="2:8" x14ac:dyDescent="0.2">
      <c r="B2655" s="27" t="s">
        <v>269</v>
      </c>
      <c r="C2655" s="28" t="s">
        <v>969</v>
      </c>
      <c r="D2655" s="29" t="s">
        <v>10</v>
      </c>
      <c r="E2655" s="30" t="s">
        <v>947</v>
      </c>
      <c r="F2655" s="28" t="s">
        <v>356</v>
      </c>
      <c r="G2655" s="30" t="s">
        <v>742</v>
      </c>
      <c r="H2655" t="str">
        <f>CONCATENATE(Prequal[[#This Row],[CITY]], ", ",Prequal[[#This Row],[STATE]])</f>
        <v>Chicago, IL</v>
      </c>
    </row>
    <row r="2656" spans="2:8" x14ac:dyDescent="0.2">
      <c r="B2656" s="27" t="s">
        <v>269</v>
      </c>
      <c r="C2656" s="28" t="s">
        <v>969</v>
      </c>
      <c r="D2656" s="29" t="s">
        <v>14</v>
      </c>
      <c r="E2656" s="30" t="s">
        <v>947</v>
      </c>
      <c r="F2656" s="28" t="s">
        <v>356</v>
      </c>
      <c r="G2656" s="30" t="s">
        <v>742</v>
      </c>
      <c r="H2656" t="str">
        <f>CONCATENATE(Prequal[[#This Row],[CITY]], ", ",Prequal[[#This Row],[STATE]])</f>
        <v>Chicago, IL</v>
      </c>
    </row>
    <row r="2657" spans="2:8" x14ac:dyDescent="0.2">
      <c r="B2657" s="27" t="s">
        <v>269</v>
      </c>
      <c r="C2657" s="28" t="s">
        <v>969</v>
      </c>
      <c r="D2657" s="29" t="s">
        <v>31</v>
      </c>
      <c r="E2657" s="30" t="s">
        <v>947</v>
      </c>
      <c r="F2657" s="28" t="s">
        <v>356</v>
      </c>
      <c r="G2657" s="30" t="s">
        <v>742</v>
      </c>
      <c r="H2657" t="str">
        <f>CONCATENATE(Prequal[[#This Row],[CITY]], ", ",Prequal[[#This Row],[STATE]])</f>
        <v>Chicago, IL</v>
      </c>
    </row>
    <row r="2658" spans="2:8" x14ac:dyDescent="0.2">
      <c r="B2658" s="27" t="s">
        <v>269</v>
      </c>
      <c r="C2658" s="28" t="s">
        <v>969</v>
      </c>
      <c r="D2658" s="29" t="s">
        <v>32</v>
      </c>
      <c r="E2658" s="30" t="s">
        <v>947</v>
      </c>
      <c r="F2658" s="28" t="s">
        <v>356</v>
      </c>
      <c r="G2658" s="30" t="s">
        <v>742</v>
      </c>
      <c r="H2658" t="str">
        <f>CONCATENATE(Prequal[[#This Row],[CITY]], ", ",Prequal[[#This Row],[STATE]])</f>
        <v>Chicago, IL</v>
      </c>
    </row>
    <row r="2659" spans="2:8" x14ac:dyDescent="0.2">
      <c r="B2659" s="27" t="s">
        <v>269</v>
      </c>
      <c r="C2659" s="28" t="s">
        <v>969</v>
      </c>
      <c r="D2659" s="29" t="s">
        <v>38</v>
      </c>
      <c r="E2659" s="30" t="s">
        <v>947</v>
      </c>
      <c r="F2659" s="28" t="s">
        <v>356</v>
      </c>
      <c r="G2659" s="30" t="s">
        <v>742</v>
      </c>
      <c r="H2659" t="str">
        <f>CONCATENATE(Prequal[[#This Row],[CITY]], ", ",Prequal[[#This Row],[STATE]])</f>
        <v>Chicago, IL</v>
      </c>
    </row>
    <row r="2660" spans="2:8" x14ac:dyDescent="0.2">
      <c r="B2660" s="27" t="s">
        <v>269</v>
      </c>
      <c r="C2660" s="28" t="s">
        <v>969</v>
      </c>
      <c r="D2660" s="29" t="s">
        <v>56</v>
      </c>
      <c r="E2660" s="30" t="s">
        <v>947</v>
      </c>
      <c r="F2660" s="28" t="s">
        <v>356</v>
      </c>
      <c r="G2660" s="30" t="s">
        <v>742</v>
      </c>
      <c r="H2660" t="str">
        <f>CONCATENATE(Prequal[[#This Row],[CITY]], ", ",Prequal[[#This Row],[STATE]])</f>
        <v>Chicago, IL</v>
      </c>
    </row>
    <row r="2661" spans="2:8" x14ac:dyDescent="0.2">
      <c r="B2661" s="27" t="s">
        <v>269</v>
      </c>
      <c r="C2661" s="28" t="s">
        <v>969</v>
      </c>
      <c r="D2661" s="29" t="s">
        <v>33</v>
      </c>
      <c r="E2661" s="30" t="s">
        <v>947</v>
      </c>
      <c r="F2661" s="28" t="s">
        <v>356</v>
      </c>
      <c r="G2661" s="30" t="s">
        <v>742</v>
      </c>
      <c r="H2661" t="str">
        <f>CONCATENATE(Prequal[[#This Row],[CITY]], ", ",Prequal[[#This Row],[STATE]])</f>
        <v>Chicago, IL</v>
      </c>
    </row>
    <row r="2662" spans="2:8" x14ac:dyDescent="0.2">
      <c r="B2662" s="27" t="s">
        <v>269</v>
      </c>
      <c r="C2662" s="28" t="s">
        <v>969</v>
      </c>
      <c r="D2662" s="29" t="s">
        <v>57</v>
      </c>
      <c r="E2662" s="30" t="s">
        <v>947</v>
      </c>
      <c r="F2662" s="28" t="s">
        <v>356</v>
      </c>
      <c r="G2662" s="30" t="s">
        <v>742</v>
      </c>
      <c r="H2662" t="str">
        <f>CONCATENATE(Prequal[[#This Row],[CITY]], ", ",Prequal[[#This Row],[STATE]])</f>
        <v>Chicago, IL</v>
      </c>
    </row>
    <row r="2663" spans="2:8" x14ac:dyDescent="0.2">
      <c r="B2663" s="27" t="s">
        <v>270</v>
      </c>
      <c r="C2663" s="28" t="s">
        <v>970</v>
      </c>
      <c r="D2663" s="29" t="s">
        <v>42</v>
      </c>
      <c r="E2663" s="30" t="s">
        <v>367</v>
      </c>
      <c r="F2663" s="28" t="s">
        <v>356</v>
      </c>
      <c r="G2663" s="30" t="s">
        <v>743</v>
      </c>
      <c r="H2663" t="str">
        <f>CONCATENATE(Prequal[[#This Row],[CITY]], ", ",Prequal[[#This Row],[STATE]])</f>
        <v>Springfield, IL</v>
      </c>
    </row>
    <row r="2664" spans="2:8" x14ac:dyDescent="0.2">
      <c r="B2664" s="27" t="s">
        <v>270</v>
      </c>
      <c r="C2664" s="28" t="s">
        <v>970</v>
      </c>
      <c r="D2664" s="29" t="s">
        <v>43</v>
      </c>
      <c r="E2664" s="30" t="s">
        <v>367</v>
      </c>
      <c r="F2664" s="28" t="s">
        <v>356</v>
      </c>
      <c r="G2664" s="30" t="s">
        <v>743</v>
      </c>
      <c r="H2664" t="str">
        <f>CONCATENATE(Prequal[[#This Row],[CITY]], ", ",Prequal[[#This Row],[STATE]])</f>
        <v>Springfield, IL</v>
      </c>
    </row>
    <row r="2665" spans="2:8" x14ac:dyDescent="0.2">
      <c r="B2665" s="27" t="s">
        <v>270</v>
      </c>
      <c r="C2665" s="28" t="s">
        <v>970</v>
      </c>
      <c r="D2665" s="29" t="s">
        <v>44</v>
      </c>
      <c r="E2665" s="30" t="s">
        <v>367</v>
      </c>
      <c r="F2665" s="28" t="s">
        <v>356</v>
      </c>
      <c r="G2665" s="30" t="s">
        <v>743</v>
      </c>
      <c r="H2665" t="str">
        <f>CONCATENATE(Prequal[[#This Row],[CITY]], ", ",Prequal[[#This Row],[STATE]])</f>
        <v>Springfield, IL</v>
      </c>
    </row>
    <row r="2666" spans="2:8" x14ac:dyDescent="0.2">
      <c r="B2666" s="27" t="s">
        <v>270</v>
      </c>
      <c r="C2666" s="28" t="s">
        <v>970</v>
      </c>
      <c r="D2666" s="29" t="s">
        <v>4</v>
      </c>
      <c r="E2666" s="30" t="s">
        <v>367</v>
      </c>
      <c r="F2666" s="28" t="s">
        <v>356</v>
      </c>
      <c r="G2666" s="30" t="s">
        <v>743</v>
      </c>
      <c r="H2666" t="str">
        <f>CONCATENATE(Prequal[[#This Row],[CITY]], ", ",Prequal[[#This Row],[STATE]])</f>
        <v>Springfield, IL</v>
      </c>
    </row>
    <row r="2667" spans="2:8" x14ac:dyDescent="0.2">
      <c r="B2667" s="27" t="s">
        <v>270</v>
      </c>
      <c r="C2667" s="28" t="s">
        <v>970</v>
      </c>
      <c r="D2667" s="29" t="s">
        <v>5</v>
      </c>
      <c r="E2667" s="30" t="s">
        <v>367</v>
      </c>
      <c r="F2667" s="28" t="s">
        <v>356</v>
      </c>
      <c r="G2667" s="30" t="s">
        <v>743</v>
      </c>
      <c r="H2667" t="str">
        <f>CONCATENATE(Prequal[[#This Row],[CITY]], ", ",Prequal[[#This Row],[STATE]])</f>
        <v>Springfield, IL</v>
      </c>
    </row>
    <row r="2668" spans="2:8" x14ac:dyDescent="0.2">
      <c r="B2668" s="27" t="s">
        <v>270</v>
      </c>
      <c r="C2668" s="28" t="s">
        <v>970</v>
      </c>
      <c r="D2668" s="29" t="s">
        <v>6</v>
      </c>
      <c r="E2668" s="30" t="s">
        <v>367</v>
      </c>
      <c r="F2668" s="28" t="s">
        <v>356</v>
      </c>
      <c r="G2668" s="30" t="s">
        <v>743</v>
      </c>
      <c r="H2668" t="str">
        <f>CONCATENATE(Prequal[[#This Row],[CITY]], ", ",Prequal[[#This Row],[STATE]])</f>
        <v>Springfield, IL</v>
      </c>
    </row>
    <row r="2669" spans="2:8" x14ac:dyDescent="0.2">
      <c r="B2669" s="27" t="s">
        <v>270</v>
      </c>
      <c r="C2669" s="28" t="s">
        <v>970</v>
      </c>
      <c r="D2669" s="29" t="s">
        <v>8</v>
      </c>
      <c r="E2669" s="30" t="s">
        <v>367</v>
      </c>
      <c r="F2669" s="28" t="s">
        <v>356</v>
      </c>
      <c r="G2669" s="30" t="s">
        <v>743</v>
      </c>
      <c r="H2669" t="str">
        <f>CONCATENATE(Prequal[[#This Row],[CITY]], ", ",Prequal[[#This Row],[STATE]])</f>
        <v>Springfield, IL</v>
      </c>
    </row>
    <row r="2670" spans="2:8" x14ac:dyDescent="0.2">
      <c r="B2670" s="27" t="s">
        <v>270</v>
      </c>
      <c r="C2670" s="28" t="s">
        <v>970</v>
      </c>
      <c r="D2670" s="29" t="s">
        <v>24</v>
      </c>
      <c r="E2670" s="30" t="s">
        <v>367</v>
      </c>
      <c r="F2670" s="28" t="s">
        <v>356</v>
      </c>
      <c r="G2670" s="30" t="s">
        <v>743</v>
      </c>
      <c r="H2670" t="str">
        <f>CONCATENATE(Prequal[[#This Row],[CITY]], ", ",Prequal[[#This Row],[STATE]])</f>
        <v>Springfield, IL</v>
      </c>
    </row>
    <row r="2671" spans="2:8" x14ac:dyDescent="0.2">
      <c r="B2671" s="27" t="s">
        <v>270</v>
      </c>
      <c r="C2671" s="28" t="s">
        <v>970</v>
      </c>
      <c r="D2671" s="29" t="s">
        <v>25</v>
      </c>
      <c r="E2671" s="30" t="s">
        <v>367</v>
      </c>
      <c r="F2671" s="28" t="s">
        <v>356</v>
      </c>
      <c r="G2671" s="30" t="s">
        <v>743</v>
      </c>
      <c r="H2671" t="str">
        <f>CONCATENATE(Prequal[[#This Row],[CITY]], ", ",Prequal[[#This Row],[STATE]])</f>
        <v>Springfield, IL</v>
      </c>
    </row>
    <row r="2672" spans="2:8" x14ac:dyDescent="0.2">
      <c r="B2672" s="27" t="s">
        <v>270</v>
      </c>
      <c r="C2672" s="28" t="s">
        <v>970</v>
      </c>
      <c r="D2672" s="29" t="s">
        <v>9</v>
      </c>
      <c r="E2672" s="30" t="s">
        <v>367</v>
      </c>
      <c r="F2672" s="28" t="s">
        <v>356</v>
      </c>
      <c r="G2672" s="30" t="s">
        <v>743</v>
      </c>
      <c r="H2672" t="str">
        <f>CONCATENATE(Prequal[[#This Row],[CITY]], ", ",Prequal[[#This Row],[STATE]])</f>
        <v>Springfield, IL</v>
      </c>
    </row>
    <row r="2673" spans="2:8" x14ac:dyDescent="0.2">
      <c r="B2673" s="27" t="s">
        <v>270</v>
      </c>
      <c r="C2673" s="28" t="s">
        <v>970</v>
      </c>
      <c r="D2673" s="29" t="s">
        <v>27</v>
      </c>
      <c r="E2673" s="30" t="s">
        <v>367</v>
      </c>
      <c r="F2673" s="28" t="s">
        <v>356</v>
      </c>
      <c r="G2673" s="30" t="s">
        <v>743</v>
      </c>
      <c r="H2673" t="str">
        <f>CONCATENATE(Prequal[[#This Row],[CITY]], ", ",Prequal[[#This Row],[STATE]])</f>
        <v>Springfield, IL</v>
      </c>
    </row>
    <row r="2674" spans="2:8" x14ac:dyDescent="0.2">
      <c r="B2674" s="27" t="s">
        <v>270</v>
      </c>
      <c r="C2674" s="28" t="s">
        <v>970</v>
      </c>
      <c r="D2674" s="29" t="s">
        <v>10</v>
      </c>
      <c r="E2674" s="30" t="s">
        <v>367</v>
      </c>
      <c r="F2674" s="28" t="s">
        <v>356</v>
      </c>
      <c r="G2674" s="30" t="s">
        <v>743</v>
      </c>
      <c r="H2674" t="str">
        <f>CONCATENATE(Prequal[[#This Row],[CITY]], ", ",Prequal[[#This Row],[STATE]])</f>
        <v>Springfield, IL</v>
      </c>
    </row>
    <row r="2675" spans="2:8" x14ac:dyDescent="0.2">
      <c r="B2675" s="27" t="s">
        <v>270</v>
      </c>
      <c r="C2675" s="28" t="s">
        <v>970</v>
      </c>
      <c r="D2675" s="29" t="s">
        <v>29</v>
      </c>
      <c r="E2675" s="30" t="s">
        <v>367</v>
      </c>
      <c r="F2675" s="28" t="s">
        <v>356</v>
      </c>
      <c r="G2675" s="30" t="s">
        <v>743</v>
      </c>
      <c r="H2675" t="str">
        <f>CONCATENATE(Prequal[[#This Row],[CITY]], ", ",Prequal[[#This Row],[STATE]])</f>
        <v>Springfield, IL</v>
      </c>
    </row>
    <row r="2676" spans="2:8" x14ac:dyDescent="0.2">
      <c r="B2676" s="27" t="s">
        <v>270</v>
      </c>
      <c r="C2676" s="28" t="s">
        <v>970</v>
      </c>
      <c r="D2676" s="29" t="s">
        <v>37</v>
      </c>
      <c r="E2676" s="30" t="s">
        <v>367</v>
      </c>
      <c r="F2676" s="28" t="s">
        <v>356</v>
      </c>
      <c r="G2676" s="30" t="s">
        <v>743</v>
      </c>
      <c r="H2676" t="str">
        <f>CONCATENATE(Prequal[[#This Row],[CITY]], ", ",Prequal[[#This Row],[STATE]])</f>
        <v>Springfield, IL</v>
      </c>
    </row>
    <row r="2677" spans="2:8" x14ac:dyDescent="0.2">
      <c r="B2677" s="27" t="s">
        <v>270</v>
      </c>
      <c r="C2677" s="28" t="s">
        <v>970</v>
      </c>
      <c r="D2677" s="29" t="s">
        <v>13</v>
      </c>
      <c r="E2677" s="30" t="s">
        <v>367</v>
      </c>
      <c r="F2677" s="28" t="s">
        <v>356</v>
      </c>
      <c r="G2677" s="30" t="s">
        <v>743</v>
      </c>
      <c r="H2677" t="str">
        <f>CONCATENATE(Prequal[[#This Row],[CITY]], ", ",Prequal[[#This Row],[STATE]])</f>
        <v>Springfield, IL</v>
      </c>
    </row>
    <row r="2678" spans="2:8" x14ac:dyDescent="0.2">
      <c r="B2678" s="27" t="s">
        <v>270</v>
      </c>
      <c r="C2678" s="28" t="s">
        <v>970</v>
      </c>
      <c r="D2678" s="29" t="s">
        <v>14</v>
      </c>
      <c r="E2678" s="30" t="s">
        <v>367</v>
      </c>
      <c r="F2678" s="28" t="s">
        <v>356</v>
      </c>
      <c r="G2678" s="30" t="s">
        <v>743</v>
      </c>
      <c r="H2678" t="str">
        <f>CONCATENATE(Prequal[[#This Row],[CITY]], ", ",Prequal[[#This Row],[STATE]])</f>
        <v>Springfield, IL</v>
      </c>
    </row>
    <row r="2679" spans="2:8" x14ac:dyDescent="0.2">
      <c r="B2679" s="27" t="s">
        <v>270</v>
      </c>
      <c r="C2679" s="28" t="s">
        <v>970</v>
      </c>
      <c r="D2679" s="29" t="s">
        <v>15</v>
      </c>
      <c r="E2679" s="30" t="s">
        <v>367</v>
      </c>
      <c r="F2679" s="28" t="s">
        <v>356</v>
      </c>
      <c r="G2679" s="30" t="s">
        <v>743</v>
      </c>
      <c r="H2679" t="str">
        <f>CONCATENATE(Prequal[[#This Row],[CITY]], ", ",Prequal[[#This Row],[STATE]])</f>
        <v>Springfield, IL</v>
      </c>
    </row>
    <row r="2680" spans="2:8" x14ac:dyDescent="0.2">
      <c r="B2680" s="27" t="s">
        <v>270</v>
      </c>
      <c r="C2680" s="28" t="s">
        <v>970</v>
      </c>
      <c r="D2680" s="29" t="s">
        <v>30</v>
      </c>
      <c r="E2680" s="30" t="s">
        <v>367</v>
      </c>
      <c r="F2680" s="28" t="s">
        <v>356</v>
      </c>
      <c r="G2680" s="30" t="s">
        <v>743</v>
      </c>
      <c r="H2680" t="str">
        <f>CONCATENATE(Prequal[[#This Row],[CITY]], ", ",Prequal[[#This Row],[STATE]])</f>
        <v>Springfield, IL</v>
      </c>
    </row>
    <row r="2681" spans="2:8" x14ac:dyDescent="0.2">
      <c r="B2681" s="27" t="s">
        <v>270</v>
      </c>
      <c r="C2681" s="28" t="s">
        <v>970</v>
      </c>
      <c r="D2681" s="29" t="s">
        <v>53</v>
      </c>
      <c r="E2681" s="30" t="s">
        <v>367</v>
      </c>
      <c r="F2681" s="28" t="s">
        <v>356</v>
      </c>
      <c r="G2681" s="30" t="s">
        <v>743</v>
      </c>
      <c r="H2681" t="str">
        <f>CONCATENATE(Prequal[[#This Row],[CITY]], ", ",Prequal[[#This Row],[STATE]])</f>
        <v>Springfield, IL</v>
      </c>
    </row>
    <row r="2682" spans="2:8" x14ac:dyDescent="0.2">
      <c r="B2682" s="27" t="s">
        <v>270</v>
      </c>
      <c r="C2682" s="28" t="s">
        <v>970</v>
      </c>
      <c r="D2682" s="29" t="s">
        <v>31</v>
      </c>
      <c r="E2682" s="30" t="s">
        <v>367</v>
      </c>
      <c r="F2682" s="28" t="s">
        <v>356</v>
      </c>
      <c r="G2682" s="30" t="s">
        <v>743</v>
      </c>
      <c r="H2682" t="str">
        <f>CONCATENATE(Prequal[[#This Row],[CITY]], ", ",Prequal[[#This Row],[STATE]])</f>
        <v>Springfield, IL</v>
      </c>
    </row>
    <row r="2683" spans="2:8" x14ac:dyDescent="0.2">
      <c r="B2683" s="27" t="s">
        <v>270</v>
      </c>
      <c r="C2683" s="28" t="s">
        <v>970</v>
      </c>
      <c r="D2683" s="29" t="s">
        <v>32</v>
      </c>
      <c r="E2683" s="30" t="s">
        <v>367</v>
      </c>
      <c r="F2683" s="28" t="s">
        <v>356</v>
      </c>
      <c r="G2683" s="30" t="s">
        <v>743</v>
      </c>
      <c r="H2683" t="str">
        <f>CONCATENATE(Prequal[[#This Row],[CITY]], ", ",Prequal[[#This Row],[STATE]])</f>
        <v>Springfield, IL</v>
      </c>
    </row>
    <row r="2684" spans="2:8" x14ac:dyDescent="0.2">
      <c r="B2684" s="27" t="s">
        <v>271</v>
      </c>
      <c r="C2684" s="28" t="s">
        <v>970</v>
      </c>
      <c r="D2684" s="29" t="s">
        <v>5</v>
      </c>
      <c r="E2684" s="30" t="s">
        <v>395</v>
      </c>
      <c r="F2684" s="28" t="s">
        <v>356</v>
      </c>
      <c r="G2684" s="30" t="s">
        <v>744</v>
      </c>
      <c r="H2684" t="str">
        <f>CONCATENATE(Prequal[[#This Row],[CITY]], ", ",Prequal[[#This Row],[STATE]])</f>
        <v>Oakbrook Terrace, IL</v>
      </c>
    </row>
    <row r="2685" spans="2:8" x14ac:dyDescent="0.2">
      <c r="B2685" s="27" t="s">
        <v>271</v>
      </c>
      <c r="C2685" s="28" t="s">
        <v>970</v>
      </c>
      <c r="D2685" s="29" t="s">
        <v>25</v>
      </c>
      <c r="E2685" s="30" t="s">
        <v>395</v>
      </c>
      <c r="F2685" s="28" t="s">
        <v>356</v>
      </c>
      <c r="G2685" s="30" t="s">
        <v>744</v>
      </c>
      <c r="H2685" t="str">
        <f>CONCATENATE(Prequal[[#This Row],[CITY]], ", ",Prequal[[#This Row],[STATE]])</f>
        <v>Oakbrook Terrace, IL</v>
      </c>
    </row>
    <row r="2686" spans="2:8" x14ac:dyDescent="0.2">
      <c r="B2686" s="27" t="s">
        <v>271</v>
      </c>
      <c r="C2686" s="28" t="s">
        <v>970</v>
      </c>
      <c r="D2686" s="29" t="s">
        <v>10</v>
      </c>
      <c r="E2686" s="30" t="s">
        <v>395</v>
      </c>
      <c r="F2686" s="28" t="s">
        <v>356</v>
      </c>
      <c r="G2686" s="30" t="s">
        <v>744</v>
      </c>
      <c r="H2686" t="str">
        <f>CONCATENATE(Prequal[[#This Row],[CITY]], ", ",Prequal[[#This Row],[STATE]])</f>
        <v>Oakbrook Terrace, IL</v>
      </c>
    </row>
    <row r="2687" spans="2:8" x14ac:dyDescent="0.2">
      <c r="B2687" s="27" t="s">
        <v>913</v>
      </c>
      <c r="C2687" s="28" t="s">
        <v>969</v>
      </c>
      <c r="D2687" s="29" t="s">
        <v>51</v>
      </c>
      <c r="E2687" s="30" t="s">
        <v>890</v>
      </c>
      <c r="F2687" s="28" t="s">
        <v>513</v>
      </c>
      <c r="G2687" s="30" t="s">
        <v>891</v>
      </c>
      <c r="H2687" t="str">
        <f>CONCATENATE(Prequal[[#This Row],[CITY]], ", ",Prequal[[#This Row],[STATE]])</f>
        <v>Irving, TX</v>
      </c>
    </row>
    <row r="2688" spans="2:8" x14ac:dyDescent="0.2">
      <c r="B2688" s="27" t="s">
        <v>913</v>
      </c>
      <c r="C2688" s="28" t="s">
        <v>969</v>
      </c>
      <c r="D2688" s="29" t="s">
        <v>32</v>
      </c>
      <c r="E2688" s="30" t="s">
        <v>890</v>
      </c>
      <c r="F2688" s="28" t="s">
        <v>513</v>
      </c>
      <c r="G2688" s="30" t="s">
        <v>891</v>
      </c>
      <c r="H2688" t="str">
        <f>CONCATENATE(Prequal[[#This Row],[CITY]], ", ",Prequal[[#This Row],[STATE]])</f>
        <v>Irving, TX</v>
      </c>
    </row>
    <row r="2689" spans="2:8" x14ac:dyDescent="0.2">
      <c r="B2689" s="27" t="s">
        <v>913</v>
      </c>
      <c r="C2689" s="28" t="s">
        <v>969</v>
      </c>
      <c r="D2689" s="29" t="s">
        <v>38</v>
      </c>
      <c r="E2689" s="30" t="s">
        <v>890</v>
      </c>
      <c r="F2689" s="28" t="s">
        <v>513</v>
      </c>
      <c r="G2689" s="30" t="s">
        <v>891</v>
      </c>
      <c r="H2689" t="str">
        <f>CONCATENATE(Prequal[[#This Row],[CITY]], ", ",Prequal[[#This Row],[STATE]])</f>
        <v>Irving, TX</v>
      </c>
    </row>
    <row r="2690" spans="2:8" x14ac:dyDescent="0.2">
      <c r="B2690" s="27" t="s">
        <v>913</v>
      </c>
      <c r="C2690" s="28" t="s">
        <v>969</v>
      </c>
      <c r="D2690" s="29" t="s">
        <v>33</v>
      </c>
      <c r="E2690" s="30" t="s">
        <v>890</v>
      </c>
      <c r="F2690" s="28" t="s">
        <v>513</v>
      </c>
      <c r="G2690" s="30" t="s">
        <v>891</v>
      </c>
      <c r="H2690" t="str">
        <f>CONCATENATE(Prequal[[#This Row],[CITY]], ", ",Prequal[[#This Row],[STATE]])</f>
        <v>Irving, TX</v>
      </c>
    </row>
    <row r="2691" spans="2:8" x14ac:dyDescent="0.2">
      <c r="B2691" s="27" t="s">
        <v>913</v>
      </c>
      <c r="C2691" s="28" t="s">
        <v>969</v>
      </c>
      <c r="D2691" s="29" t="s">
        <v>57</v>
      </c>
      <c r="E2691" s="30" t="s">
        <v>890</v>
      </c>
      <c r="F2691" s="28" t="s">
        <v>513</v>
      </c>
      <c r="G2691" s="30" t="s">
        <v>891</v>
      </c>
      <c r="H2691" t="str">
        <f>CONCATENATE(Prequal[[#This Row],[CITY]], ", ",Prequal[[#This Row],[STATE]])</f>
        <v>Irving, TX</v>
      </c>
    </row>
    <row r="2692" spans="2:8" x14ac:dyDescent="0.2">
      <c r="B2692" s="27" t="s">
        <v>272</v>
      </c>
      <c r="C2692" s="28" t="s">
        <v>970</v>
      </c>
      <c r="D2692" s="29" t="s">
        <v>10</v>
      </c>
      <c r="E2692" s="30" t="s">
        <v>947</v>
      </c>
      <c r="F2692" s="28" t="s">
        <v>356</v>
      </c>
      <c r="G2692" s="30" t="s">
        <v>745</v>
      </c>
      <c r="H2692" t="str">
        <f>CONCATENATE(Prequal[[#This Row],[CITY]], ", ",Prequal[[#This Row],[STATE]])</f>
        <v>Chicago, IL</v>
      </c>
    </row>
    <row r="2693" spans="2:8" x14ac:dyDescent="0.2">
      <c r="B2693" s="27" t="s">
        <v>273</v>
      </c>
      <c r="C2693" s="28" t="s">
        <v>969</v>
      </c>
      <c r="D2693" s="29" t="s">
        <v>29</v>
      </c>
      <c r="E2693" s="30" t="s">
        <v>479</v>
      </c>
      <c r="F2693" s="28" t="s">
        <v>356</v>
      </c>
      <c r="G2693" s="30" t="s">
        <v>746</v>
      </c>
      <c r="H2693" t="str">
        <f>CONCATENATE(Prequal[[#This Row],[CITY]], ", ",Prequal[[#This Row],[STATE]])</f>
        <v>Ottawa, IL</v>
      </c>
    </row>
    <row r="2694" spans="2:8" x14ac:dyDescent="0.2">
      <c r="B2694" s="27" t="s">
        <v>987</v>
      </c>
      <c r="C2694" s="28" t="s">
        <v>969</v>
      </c>
      <c r="D2694" s="29" t="s">
        <v>70</v>
      </c>
      <c r="E2694" s="30" t="s">
        <v>988</v>
      </c>
      <c r="F2694" s="28" t="s">
        <v>989</v>
      </c>
      <c r="G2694" s="30" t="s">
        <v>990</v>
      </c>
      <c r="H2694" t="str">
        <f>CONCATENATE(Prequal[[#This Row],[CITY]], ", ",Prequal[[#This Row],[STATE]])</f>
        <v>Broomfield, CO</v>
      </c>
    </row>
    <row r="2695" spans="2:8" x14ac:dyDescent="0.2">
      <c r="B2695" s="27" t="s">
        <v>540</v>
      </c>
      <c r="C2695" s="28" t="s">
        <v>969</v>
      </c>
      <c r="D2695" s="29" t="s">
        <v>70</v>
      </c>
      <c r="E2695" s="30" t="s">
        <v>541</v>
      </c>
      <c r="F2695" s="28" t="s">
        <v>542</v>
      </c>
      <c r="G2695" s="30" t="s">
        <v>747</v>
      </c>
      <c r="H2695" t="str">
        <f>CONCATENATE(Prequal[[#This Row],[CITY]], ", ",Prequal[[#This Row],[STATE]])</f>
        <v>White River Junction, VT</v>
      </c>
    </row>
    <row r="2696" spans="2:8" x14ac:dyDescent="0.2">
      <c r="B2696" s="27" t="s">
        <v>274</v>
      </c>
      <c r="C2696" s="28" t="s">
        <v>969</v>
      </c>
      <c r="D2696" s="29" t="s">
        <v>5</v>
      </c>
      <c r="E2696" s="30" t="s">
        <v>418</v>
      </c>
      <c r="F2696" s="28" t="s">
        <v>356</v>
      </c>
      <c r="G2696" s="30" t="s">
        <v>748</v>
      </c>
      <c r="H2696" t="str">
        <f>CONCATENATE(Prequal[[#This Row],[CITY]], ", ",Prequal[[#This Row],[STATE]])</f>
        <v>Downers Grove, IL</v>
      </c>
    </row>
    <row r="2697" spans="2:8" x14ac:dyDescent="0.2">
      <c r="B2697" s="27" t="s">
        <v>274</v>
      </c>
      <c r="C2697" s="28" t="s">
        <v>969</v>
      </c>
      <c r="D2697" s="29" t="s">
        <v>12</v>
      </c>
      <c r="E2697" s="30" t="s">
        <v>418</v>
      </c>
      <c r="F2697" s="28" t="s">
        <v>356</v>
      </c>
      <c r="G2697" s="30" t="s">
        <v>748</v>
      </c>
      <c r="H2697" t="str">
        <f>CONCATENATE(Prequal[[#This Row],[CITY]], ", ",Prequal[[#This Row],[STATE]])</f>
        <v>Downers Grove, IL</v>
      </c>
    </row>
    <row r="2698" spans="2:8" x14ac:dyDescent="0.2">
      <c r="B2698" s="27" t="s">
        <v>274</v>
      </c>
      <c r="C2698" s="28" t="s">
        <v>969</v>
      </c>
      <c r="D2698" s="29" t="s">
        <v>15</v>
      </c>
      <c r="E2698" s="30" t="s">
        <v>418</v>
      </c>
      <c r="F2698" s="28" t="s">
        <v>356</v>
      </c>
      <c r="G2698" s="30" t="s">
        <v>748</v>
      </c>
      <c r="H2698" t="str">
        <f>CONCATENATE(Prequal[[#This Row],[CITY]], ", ",Prequal[[#This Row],[STATE]])</f>
        <v>Downers Grove, IL</v>
      </c>
    </row>
    <row r="2699" spans="2:8" x14ac:dyDescent="0.2">
      <c r="B2699" s="27" t="s">
        <v>275</v>
      </c>
      <c r="C2699" s="28" t="s">
        <v>969</v>
      </c>
      <c r="D2699" s="29" t="s">
        <v>5</v>
      </c>
      <c r="E2699" s="30" t="s">
        <v>419</v>
      </c>
      <c r="F2699" s="28" t="s">
        <v>356</v>
      </c>
      <c r="G2699" s="30" t="s">
        <v>811</v>
      </c>
      <c r="H2699" t="str">
        <f>CONCATENATE(Prequal[[#This Row],[CITY]], ", ",Prequal[[#This Row],[STATE]])</f>
        <v>Frankfort, IL</v>
      </c>
    </row>
    <row r="2700" spans="2:8" x14ac:dyDescent="0.2">
      <c r="B2700" s="27" t="s">
        <v>275</v>
      </c>
      <c r="C2700" s="28" t="s">
        <v>969</v>
      </c>
      <c r="D2700" s="29" t="s">
        <v>25</v>
      </c>
      <c r="E2700" s="30" t="s">
        <v>419</v>
      </c>
      <c r="F2700" s="28" t="s">
        <v>356</v>
      </c>
      <c r="G2700" s="30" t="s">
        <v>811</v>
      </c>
      <c r="H2700" t="str">
        <f>CONCATENATE(Prequal[[#This Row],[CITY]], ", ",Prequal[[#This Row],[STATE]])</f>
        <v>Frankfort, IL</v>
      </c>
    </row>
    <row r="2701" spans="2:8" x14ac:dyDescent="0.2">
      <c r="B2701" s="27" t="s">
        <v>275</v>
      </c>
      <c r="C2701" s="28" t="s">
        <v>969</v>
      </c>
      <c r="D2701" s="29" t="s">
        <v>9</v>
      </c>
      <c r="E2701" s="30" t="s">
        <v>419</v>
      </c>
      <c r="F2701" s="28" t="s">
        <v>356</v>
      </c>
      <c r="G2701" s="30" t="s">
        <v>811</v>
      </c>
      <c r="H2701" t="str">
        <f>CONCATENATE(Prequal[[#This Row],[CITY]], ", ",Prequal[[#This Row],[STATE]])</f>
        <v>Frankfort, IL</v>
      </c>
    </row>
    <row r="2702" spans="2:8" x14ac:dyDescent="0.2">
      <c r="B2702" s="27" t="s">
        <v>275</v>
      </c>
      <c r="C2702" s="28" t="s">
        <v>969</v>
      </c>
      <c r="D2702" s="29" t="s">
        <v>27</v>
      </c>
      <c r="E2702" s="30" t="s">
        <v>419</v>
      </c>
      <c r="F2702" s="28" t="s">
        <v>356</v>
      </c>
      <c r="G2702" s="30" t="s">
        <v>811</v>
      </c>
      <c r="H2702" t="str">
        <f>CONCATENATE(Prequal[[#This Row],[CITY]], ", ",Prequal[[#This Row],[STATE]])</f>
        <v>Frankfort, IL</v>
      </c>
    </row>
    <row r="2703" spans="2:8" x14ac:dyDescent="0.2">
      <c r="B2703" s="27" t="s">
        <v>275</v>
      </c>
      <c r="C2703" s="28" t="s">
        <v>969</v>
      </c>
      <c r="D2703" s="29" t="s">
        <v>10</v>
      </c>
      <c r="E2703" s="30" t="s">
        <v>419</v>
      </c>
      <c r="F2703" s="28" t="s">
        <v>356</v>
      </c>
      <c r="G2703" s="30" t="s">
        <v>811</v>
      </c>
      <c r="H2703" t="str">
        <f>CONCATENATE(Prequal[[#This Row],[CITY]], ", ",Prequal[[#This Row],[STATE]])</f>
        <v>Frankfort, IL</v>
      </c>
    </row>
    <row r="2704" spans="2:8" x14ac:dyDescent="0.2">
      <c r="B2704" s="27" t="s">
        <v>275</v>
      </c>
      <c r="C2704" s="28" t="s">
        <v>969</v>
      </c>
      <c r="D2704" s="29" t="s">
        <v>29</v>
      </c>
      <c r="E2704" s="30" t="s">
        <v>419</v>
      </c>
      <c r="F2704" s="28" t="s">
        <v>356</v>
      </c>
      <c r="G2704" s="30" t="s">
        <v>811</v>
      </c>
      <c r="H2704" t="str">
        <f>CONCATENATE(Prequal[[#This Row],[CITY]], ", ",Prequal[[#This Row],[STATE]])</f>
        <v>Frankfort, IL</v>
      </c>
    </row>
    <row r="2705" spans="2:8" x14ac:dyDescent="0.2">
      <c r="B2705" s="27" t="s">
        <v>275</v>
      </c>
      <c r="C2705" s="28" t="s">
        <v>969</v>
      </c>
      <c r="D2705" s="29" t="s">
        <v>37</v>
      </c>
      <c r="E2705" s="30" t="s">
        <v>419</v>
      </c>
      <c r="F2705" s="28" t="s">
        <v>356</v>
      </c>
      <c r="G2705" s="30" t="s">
        <v>811</v>
      </c>
      <c r="H2705" t="str">
        <f>CONCATENATE(Prequal[[#This Row],[CITY]], ", ",Prequal[[#This Row],[STATE]])</f>
        <v>Frankfort, IL</v>
      </c>
    </row>
    <row r="2706" spans="2:8" x14ac:dyDescent="0.2">
      <c r="B2706" s="27" t="s">
        <v>275</v>
      </c>
      <c r="C2706" s="28" t="s">
        <v>969</v>
      </c>
      <c r="D2706" s="29" t="s">
        <v>13</v>
      </c>
      <c r="E2706" s="30" t="s">
        <v>419</v>
      </c>
      <c r="F2706" s="28" t="s">
        <v>356</v>
      </c>
      <c r="G2706" s="30" t="s">
        <v>811</v>
      </c>
      <c r="H2706" t="str">
        <f>CONCATENATE(Prequal[[#This Row],[CITY]], ", ",Prequal[[#This Row],[STATE]])</f>
        <v>Frankfort, IL</v>
      </c>
    </row>
    <row r="2707" spans="2:8" x14ac:dyDescent="0.2">
      <c r="B2707" s="27" t="s">
        <v>275</v>
      </c>
      <c r="C2707" s="28" t="s">
        <v>969</v>
      </c>
      <c r="D2707" s="29" t="s">
        <v>14</v>
      </c>
      <c r="E2707" s="30" t="s">
        <v>419</v>
      </c>
      <c r="F2707" s="28" t="s">
        <v>356</v>
      </c>
      <c r="G2707" s="30" t="s">
        <v>811</v>
      </c>
      <c r="H2707" t="str">
        <f>CONCATENATE(Prequal[[#This Row],[CITY]], ", ",Prequal[[#This Row],[STATE]])</f>
        <v>Frankfort, IL</v>
      </c>
    </row>
    <row r="2708" spans="2:8" x14ac:dyDescent="0.2">
      <c r="B2708" s="27" t="s">
        <v>276</v>
      </c>
      <c r="C2708" s="28" t="s">
        <v>969</v>
      </c>
      <c r="D2708" s="29" t="s">
        <v>35</v>
      </c>
      <c r="E2708" s="30" t="s">
        <v>360</v>
      </c>
      <c r="F2708" s="28" t="s">
        <v>356</v>
      </c>
      <c r="G2708" s="30" t="s">
        <v>749</v>
      </c>
      <c r="H2708" t="str">
        <f>CONCATENATE(Prequal[[#This Row],[CITY]], ", ",Prequal[[#This Row],[STATE]])</f>
        <v>St. Charles, IL</v>
      </c>
    </row>
    <row r="2709" spans="2:8" x14ac:dyDescent="0.2">
      <c r="B2709" s="27" t="s">
        <v>276</v>
      </c>
      <c r="C2709" s="28" t="s">
        <v>969</v>
      </c>
      <c r="D2709" s="29" t="s">
        <v>124</v>
      </c>
      <c r="E2709" s="30" t="s">
        <v>360</v>
      </c>
      <c r="F2709" s="28" t="s">
        <v>356</v>
      </c>
      <c r="G2709" s="30" t="s">
        <v>749</v>
      </c>
      <c r="H2709" t="str">
        <f>CONCATENATE(Prequal[[#This Row],[CITY]], ", ",Prequal[[#This Row],[STATE]])</f>
        <v>St. Charles, IL</v>
      </c>
    </row>
    <row r="2710" spans="2:8" x14ac:dyDescent="0.2">
      <c r="B2710" s="27" t="s">
        <v>276</v>
      </c>
      <c r="C2710" s="28" t="s">
        <v>969</v>
      </c>
      <c r="D2710" s="29" t="s">
        <v>36</v>
      </c>
      <c r="E2710" s="30" t="s">
        <v>360</v>
      </c>
      <c r="F2710" s="28" t="s">
        <v>356</v>
      </c>
      <c r="G2710" s="30" t="s">
        <v>749</v>
      </c>
      <c r="H2710" t="str">
        <f>CONCATENATE(Prequal[[#This Row],[CITY]], ", ",Prequal[[#This Row],[STATE]])</f>
        <v>St. Charles, IL</v>
      </c>
    </row>
    <row r="2711" spans="2:8" x14ac:dyDescent="0.2">
      <c r="B2711" s="27" t="s">
        <v>276</v>
      </c>
      <c r="C2711" s="28" t="s">
        <v>969</v>
      </c>
      <c r="D2711" s="29" t="s">
        <v>125</v>
      </c>
      <c r="E2711" s="30" t="s">
        <v>360</v>
      </c>
      <c r="F2711" s="28" t="s">
        <v>356</v>
      </c>
      <c r="G2711" s="30" t="s">
        <v>749</v>
      </c>
      <c r="H2711" t="str">
        <f>CONCATENATE(Prequal[[#This Row],[CITY]], ", ",Prequal[[#This Row],[STATE]])</f>
        <v>St. Charles, IL</v>
      </c>
    </row>
    <row r="2712" spans="2:8" x14ac:dyDescent="0.2">
      <c r="B2712" s="27" t="s">
        <v>276</v>
      </c>
      <c r="C2712" s="28" t="s">
        <v>969</v>
      </c>
      <c r="D2712" s="29" t="s">
        <v>42</v>
      </c>
      <c r="E2712" s="30" t="s">
        <v>360</v>
      </c>
      <c r="F2712" s="28" t="s">
        <v>356</v>
      </c>
      <c r="G2712" s="30" t="s">
        <v>749</v>
      </c>
      <c r="H2712" t="str">
        <f>CONCATENATE(Prequal[[#This Row],[CITY]], ", ",Prequal[[#This Row],[STATE]])</f>
        <v>St. Charles, IL</v>
      </c>
    </row>
    <row r="2713" spans="2:8" x14ac:dyDescent="0.2">
      <c r="B2713" s="27" t="s">
        <v>276</v>
      </c>
      <c r="C2713" s="28" t="s">
        <v>969</v>
      </c>
      <c r="D2713" s="29" t="s">
        <v>43</v>
      </c>
      <c r="E2713" s="30" t="s">
        <v>360</v>
      </c>
      <c r="F2713" s="28" t="s">
        <v>356</v>
      </c>
      <c r="G2713" s="30" t="s">
        <v>749</v>
      </c>
      <c r="H2713" t="str">
        <f>CONCATENATE(Prequal[[#This Row],[CITY]], ", ",Prequal[[#This Row],[STATE]])</f>
        <v>St. Charles, IL</v>
      </c>
    </row>
    <row r="2714" spans="2:8" x14ac:dyDescent="0.2">
      <c r="B2714" s="27" t="s">
        <v>276</v>
      </c>
      <c r="C2714" s="28" t="s">
        <v>969</v>
      </c>
      <c r="D2714" s="29" t="s">
        <v>44</v>
      </c>
      <c r="E2714" s="30" t="s">
        <v>360</v>
      </c>
      <c r="F2714" s="28" t="s">
        <v>356</v>
      </c>
      <c r="G2714" s="30" t="s">
        <v>749</v>
      </c>
      <c r="H2714" t="str">
        <f>CONCATENATE(Prequal[[#This Row],[CITY]], ", ",Prequal[[#This Row],[STATE]])</f>
        <v>St. Charles, IL</v>
      </c>
    </row>
    <row r="2715" spans="2:8" x14ac:dyDescent="0.2">
      <c r="B2715" s="27" t="s">
        <v>276</v>
      </c>
      <c r="C2715" s="28" t="s">
        <v>969</v>
      </c>
      <c r="D2715" s="29" t="s">
        <v>4</v>
      </c>
      <c r="E2715" s="30" t="s">
        <v>360</v>
      </c>
      <c r="F2715" s="28" t="s">
        <v>356</v>
      </c>
      <c r="G2715" s="30" t="s">
        <v>749</v>
      </c>
      <c r="H2715" t="str">
        <f>CONCATENATE(Prequal[[#This Row],[CITY]], ", ",Prequal[[#This Row],[STATE]])</f>
        <v>St. Charles, IL</v>
      </c>
    </row>
    <row r="2716" spans="2:8" x14ac:dyDescent="0.2">
      <c r="B2716" s="27" t="s">
        <v>276</v>
      </c>
      <c r="C2716" s="28" t="s">
        <v>969</v>
      </c>
      <c r="D2716" s="29" t="s">
        <v>5</v>
      </c>
      <c r="E2716" s="30" t="s">
        <v>360</v>
      </c>
      <c r="F2716" s="28" t="s">
        <v>356</v>
      </c>
      <c r="G2716" s="30" t="s">
        <v>749</v>
      </c>
      <c r="H2716" t="str">
        <f>CONCATENATE(Prequal[[#This Row],[CITY]], ", ",Prequal[[#This Row],[STATE]])</f>
        <v>St. Charles, IL</v>
      </c>
    </row>
    <row r="2717" spans="2:8" x14ac:dyDescent="0.2">
      <c r="B2717" s="27" t="s">
        <v>276</v>
      </c>
      <c r="C2717" s="28" t="s">
        <v>969</v>
      </c>
      <c r="D2717" s="29" t="s">
        <v>7</v>
      </c>
      <c r="E2717" s="30" t="s">
        <v>360</v>
      </c>
      <c r="F2717" s="28" t="s">
        <v>356</v>
      </c>
      <c r="G2717" s="30" t="s">
        <v>749</v>
      </c>
      <c r="H2717" t="str">
        <f>CONCATENATE(Prequal[[#This Row],[CITY]], ", ",Prequal[[#This Row],[STATE]])</f>
        <v>St. Charles, IL</v>
      </c>
    </row>
    <row r="2718" spans="2:8" x14ac:dyDescent="0.2">
      <c r="B2718" s="27" t="s">
        <v>276</v>
      </c>
      <c r="C2718" s="28" t="s">
        <v>969</v>
      </c>
      <c r="D2718" s="29" t="s">
        <v>1013</v>
      </c>
      <c r="E2718" s="30" t="s">
        <v>360</v>
      </c>
      <c r="F2718" s="28" t="s">
        <v>356</v>
      </c>
      <c r="G2718" s="30" t="s">
        <v>749</v>
      </c>
      <c r="H2718" t="str">
        <f>CONCATENATE(Prequal[[#This Row],[CITY]], ", ",Prequal[[#This Row],[STATE]])</f>
        <v>St. Charles, IL</v>
      </c>
    </row>
    <row r="2719" spans="2:8" x14ac:dyDescent="0.2">
      <c r="B2719" s="27" t="s">
        <v>276</v>
      </c>
      <c r="C2719" s="28" t="s">
        <v>969</v>
      </c>
      <c r="D2719" s="29" t="s">
        <v>8</v>
      </c>
      <c r="E2719" s="30" t="s">
        <v>360</v>
      </c>
      <c r="F2719" s="28" t="s">
        <v>356</v>
      </c>
      <c r="G2719" s="30" t="s">
        <v>749</v>
      </c>
      <c r="H2719" t="str">
        <f>CONCATENATE(Prequal[[#This Row],[CITY]], ", ",Prequal[[#This Row],[STATE]])</f>
        <v>St. Charles, IL</v>
      </c>
    </row>
    <row r="2720" spans="2:8" x14ac:dyDescent="0.2">
      <c r="B2720" s="27" t="s">
        <v>276</v>
      </c>
      <c r="C2720" s="28" t="s">
        <v>969</v>
      </c>
      <c r="D2720" s="29" t="s">
        <v>24</v>
      </c>
      <c r="E2720" s="30" t="s">
        <v>360</v>
      </c>
      <c r="F2720" s="28" t="s">
        <v>356</v>
      </c>
      <c r="G2720" s="30" t="s">
        <v>749</v>
      </c>
      <c r="H2720" t="str">
        <f>CONCATENATE(Prequal[[#This Row],[CITY]], ", ",Prequal[[#This Row],[STATE]])</f>
        <v>St. Charles, IL</v>
      </c>
    </row>
    <row r="2721" spans="2:8" x14ac:dyDescent="0.2">
      <c r="B2721" s="27" t="s">
        <v>276</v>
      </c>
      <c r="C2721" s="28" t="s">
        <v>969</v>
      </c>
      <c r="D2721" s="29" t="s">
        <v>25</v>
      </c>
      <c r="E2721" s="30" t="s">
        <v>360</v>
      </c>
      <c r="F2721" s="28" t="s">
        <v>356</v>
      </c>
      <c r="G2721" s="30" t="s">
        <v>749</v>
      </c>
      <c r="H2721" t="str">
        <f>CONCATENATE(Prequal[[#This Row],[CITY]], ", ",Prequal[[#This Row],[STATE]])</f>
        <v>St. Charles, IL</v>
      </c>
    </row>
    <row r="2722" spans="2:8" x14ac:dyDescent="0.2">
      <c r="B2722" s="27" t="s">
        <v>276</v>
      </c>
      <c r="C2722" s="28" t="s">
        <v>969</v>
      </c>
      <c r="D2722" s="29" t="s">
        <v>9</v>
      </c>
      <c r="E2722" s="30" t="s">
        <v>360</v>
      </c>
      <c r="F2722" s="28" t="s">
        <v>356</v>
      </c>
      <c r="G2722" s="30" t="s">
        <v>749</v>
      </c>
      <c r="H2722" t="str">
        <f>CONCATENATE(Prequal[[#This Row],[CITY]], ", ",Prequal[[#This Row],[STATE]])</f>
        <v>St. Charles, IL</v>
      </c>
    </row>
    <row r="2723" spans="2:8" x14ac:dyDescent="0.2">
      <c r="B2723" s="27" t="s">
        <v>276</v>
      </c>
      <c r="C2723" s="28" t="s">
        <v>969</v>
      </c>
      <c r="D2723" s="29" t="s">
        <v>20</v>
      </c>
      <c r="E2723" s="30" t="s">
        <v>360</v>
      </c>
      <c r="F2723" s="28" t="s">
        <v>356</v>
      </c>
      <c r="G2723" s="30" t="s">
        <v>749</v>
      </c>
      <c r="H2723" t="str">
        <f>CONCATENATE(Prequal[[#This Row],[CITY]], ", ",Prequal[[#This Row],[STATE]])</f>
        <v>St. Charles, IL</v>
      </c>
    </row>
    <row r="2724" spans="2:8" x14ac:dyDescent="0.2">
      <c r="B2724" s="27" t="s">
        <v>276</v>
      </c>
      <c r="C2724" s="28" t="s">
        <v>969</v>
      </c>
      <c r="D2724" s="29" t="s">
        <v>27</v>
      </c>
      <c r="E2724" s="30" t="s">
        <v>360</v>
      </c>
      <c r="F2724" s="28" t="s">
        <v>356</v>
      </c>
      <c r="G2724" s="30" t="s">
        <v>749</v>
      </c>
      <c r="H2724" t="str">
        <f>CONCATENATE(Prequal[[#This Row],[CITY]], ", ",Prequal[[#This Row],[STATE]])</f>
        <v>St. Charles, IL</v>
      </c>
    </row>
    <row r="2725" spans="2:8" x14ac:dyDescent="0.2">
      <c r="B2725" s="27" t="s">
        <v>276</v>
      </c>
      <c r="C2725" s="28" t="s">
        <v>969</v>
      </c>
      <c r="D2725" s="29" t="s">
        <v>10</v>
      </c>
      <c r="E2725" s="30" t="s">
        <v>360</v>
      </c>
      <c r="F2725" s="28" t="s">
        <v>356</v>
      </c>
      <c r="G2725" s="30" t="s">
        <v>749</v>
      </c>
      <c r="H2725" t="str">
        <f>CONCATENATE(Prequal[[#This Row],[CITY]], ", ",Prequal[[#This Row],[STATE]])</f>
        <v>St. Charles, IL</v>
      </c>
    </row>
    <row r="2726" spans="2:8" x14ac:dyDescent="0.2">
      <c r="B2726" s="27" t="s">
        <v>276</v>
      </c>
      <c r="C2726" s="28" t="s">
        <v>969</v>
      </c>
      <c r="D2726" s="29" t="s">
        <v>21</v>
      </c>
      <c r="E2726" s="30" t="s">
        <v>360</v>
      </c>
      <c r="F2726" s="28" t="s">
        <v>356</v>
      </c>
      <c r="G2726" s="30" t="s">
        <v>749</v>
      </c>
      <c r="H2726" t="str">
        <f>CONCATENATE(Prequal[[#This Row],[CITY]], ", ",Prequal[[#This Row],[STATE]])</f>
        <v>St. Charles, IL</v>
      </c>
    </row>
    <row r="2727" spans="2:8" x14ac:dyDescent="0.2">
      <c r="B2727" s="27" t="s">
        <v>276</v>
      </c>
      <c r="C2727" s="28" t="s">
        <v>969</v>
      </c>
      <c r="D2727" s="29" t="s">
        <v>51</v>
      </c>
      <c r="E2727" s="30" t="s">
        <v>360</v>
      </c>
      <c r="F2727" s="28" t="s">
        <v>356</v>
      </c>
      <c r="G2727" s="30" t="s">
        <v>749</v>
      </c>
      <c r="H2727" t="str">
        <f>CONCATENATE(Prequal[[#This Row],[CITY]], ", ",Prequal[[#This Row],[STATE]])</f>
        <v>St. Charles, IL</v>
      </c>
    </row>
    <row r="2728" spans="2:8" x14ac:dyDescent="0.2">
      <c r="B2728" s="27" t="s">
        <v>276</v>
      </c>
      <c r="C2728" s="28" t="s">
        <v>969</v>
      </c>
      <c r="D2728" s="29" t="s">
        <v>39</v>
      </c>
      <c r="E2728" s="30" t="s">
        <v>360</v>
      </c>
      <c r="F2728" s="28" t="s">
        <v>356</v>
      </c>
      <c r="G2728" s="30" t="s">
        <v>749</v>
      </c>
      <c r="H2728" t="str">
        <f>CONCATENATE(Prequal[[#This Row],[CITY]], ", ",Prequal[[#This Row],[STATE]])</f>
        <v>St. Charles, IL</v>
      </c>
    </row>
    <row r="2729" spans="2:8" x14ac:dyDescent="0.2">
      <c r="B2729" s="27" t="s">
        <v>276</v>
      </c>
      <c r="C2729" s="28" t="s">
        <v>969</v>
      </c>
      <c r="D2729" s="29" t="s">
        <v>12</v>
      </c>
      <c r="E2729" s="30" t="s">
        <v>360</v>
      </c>
      <c r="F2729" s="28" t="s">
        <v>356</v>
      </c>
      <c r="G2729" s="30" t="s">
        <v>749</v>
      </c>
      <c r="H2729" t="str">
        <f>CONCATENATE(Prequal[[#This Row],[CITY]], ", ",Prequal[[#This Row],[STATE]])</f>
        <v>St. Charles, IL</v>
      </c>
    </row>
    <row r="2730" spans="2:8" x14ac:dyDescent="0.2">
      <c r="B2730" s="27" t="s">
        <v>276</v>
      </c>
      <c r="C2730" s="28" t="s">
        <v>969</v>
      </c>
      <c r="D2730" s="29" t="s">
        <v>37</v>
      </c>
      <c r="E2730" s="30" t="s">
        <v>360</v>
      </c>
      <c r="F2730" s="28" t="s">
        <v>356</v>
      </c>
      <c r="G2730" s="30" t="s">
        <v>749</v>
      </c>
      <c r="H2730" t="str">
        <f>CONCATENATE(Prequal[[#This Row],[CITY]], ", ",Prequal[[#This Row],[STATE]])</f>
        <v>St. Charles, IL</v>
      </c>
    </row>
    <row r="2731" spans="2:8" x14ac:dyDescent="0.2">
      <c r="B2731" s="27" t="s">
        <v>276</v>
      </c>
      <c r="C2731" s="28" t="s">
        <v>969</v>
      </c>
      <c r="D2731" s="29" t="s">
        <v>13</v>
      </c>
      <c r="E2731" s="30" t="s">
        <v>360</v>
      </c>
      <c r="F2731" s="28" t="s">
        <v>356</v>
      </c>
      <c r="G2731" s="30" t="s">
        <v>749</v>
      </c>
      <c r="H2731" t="str">
        <f>CONCATENATE(Prequal[[#This Row],[CITY]], ", ",Prequal[[#This Row],[STATE]])</f>
        <v>St. Charles, IL</v>
      </c>
    </row>
    <row r="2732" spans="2:8" x14ac:dyDescent="0.2">
      <c r="B2732" s="27" t="s">
        <v>276</v>
      </c>
      <c r="C2732" s="28" t="s">
        <v>969</v>
      </c>
      <c r="D2732" s="29" t="s">
        <v>52</v>
      </c>
      <c r="E2732" s="30" t="s">
        <v>360</v>
      </c>
      <c r="F2732" s="28" t="s">
        <v>356</v>
      </c>
      <c r="G2732" s="30" t="s">
        <v>749</v>
      </c>
      <c r="H2732" t="str">
        <f>CONCATENATE(Prequal[[#This Row],[CITY]], ", ",Prequal[[#This Row],[STATE]])</f>
        <v>St. Charles, IL</v>
      </c>
    </row>
    <row r="2733" spans="2:8" x14ac:dyDescent="0.2">
      <c r="B2733" s="27" t="s">
        <v>276</v>
      </c>
      <c r="C2733" s="28" t="s">
        <v>969</v>
      </c>
      <c r="D2733" s="29" t="s">
        <v>14</v>
      </c>
      <c r="E2733" s="30" t="s">
        <v>360</v>
      </c>
      <c r="F2733" s="28" t="s">
        <v>356</v>
      </c>
      <c r="G2733" s="30" t="s">
        <v>749</v>
      </c>
      <c r="H2733" t="str">
        <f>CONCATENATE(Prequal[[#This Row],[CITY]], ", ",Prequal[[#This Row],[STATE]])</f>
        <v>St. Charles, IL</v>
      </c>
    </row>
    <row r="2734" spans="2:8" x14ac:dyDescent="0.2">
      <c r="B2734" s="27" t="s">
        <v>276</v>
      </c>
      <c r="C2734" s="28" t="s">
        <v>969</v>
      </c>
      <c r="D2734" s="29" t="s">
        <v>15</v>
      </c>
      <c r="E2734" s="30" t="s">
        <v>360</v>
      </c>
      <c r="F2734" s="28" t="s">
        <v>356</v>
      </c>
      <c r="G2734" s="30" t="s">
        <v>749</v>
      </c>
      <c r="H2734" t="str">
        <f>CONCATENATE(Prequal[[#This Row],[CITY]], ", ",Prequal[[#This Row],[STATE]])</f>
        <v>St. Charles, IL</v>
      </c>
    </row>
    <row r="2735" spans="2:8" x14ac:dyDescent="0.2">
      <c r="B2735" s="27" t="s">
        <v>276</v>
      </c>
      <c r="C2735" s="28" t="s">
        <v>969</v>
      </c>
      <c r="D2735" s="29" t="s">
        <v>30</v>
      </c>
      <c r="E2735" s="30" t="s">
        <v>360</v>
      </c>
      <c r="F2735" s="28" t="s">
        <v>356</v>
      </c>
      <c r="G2735" s="30" t="s">
        <v>749</v>
      </c>
      <c r="H2735" t="str">
        <f>CONCATENATE(Prequal[[#This Row],[CITY]], ", ",Prequal[[#This Row],[STATE]])</f>
        <v>St. Charles, IL</v>
      </c>
    </row>
    <row r="2736" spans="2:8" x14ac:dyDescent="0.2">
      <c r="B2736" s="27" t="s">
        <v>276</v>
      </c>
      <c r="C2736" s="28" t="s">
        <v>969</v>
      </c>
      <c r="D2736" s="29" t="s">
        <v>53</v>
      </c>
      <c r="E2736" s="30" t="s">
        <v>360</v>
      </c>
      <c r="F2736" s="28" t="s">
        <v>356</v>
      </c>
      <c r="G2736" s="30" t="s">
        <v>749</v>
      </c>
      <c r="H2736" t="str">
        <f>CONCATENATE(Prequal[[#This Row],[CITY]], ", ",Prequal[[#This Row],[STATE]])</f>
        <v>St. Charles, IL</v>
      </c>
    </row>
    <row r="2737" spans="2:8" x14ac:dyDescent="0.2">
      <c r="B2737" s="27" t="s">
        <v>276</v>
      </c>
      <c r="C2737" s="28" t="s">
        <v>969</v>
      </c>
      <c r="D2737" s="29" t="s">
        <v>31</v>
      </c>
      <c r="E2737" s="30" t="s">
        <v>360</v>
      </c>
      <c r="F2737" s="28" t="s">
        <v>356</v>
      </c>
      <c r="G2737" s="30" t="s">
        <v>749</v>
      </c>
      <c r="H2737" t="str">
        <f>CONCATENATE(Prequal[[#This Row],[CITY]], ", ",Prequal[[#This Row],[STATE]])</f>
        <v>St. Charles, IL</v>
      </c>
    </row>
    <row r="2738" spans="2:8" x14ac:dyDescent="0.2">
      <c r="B2738" s="27" t="s">
        <v>276</v>
      </c>
      <c r="C2738" s="28" t="s">
        <v>969</v>
      </c>
      <c r="D2738" s="29" t="s">
        <v>32</v>
      </c>
      <c r="E2738" s="30" t="s">
        <v>360</v>
      </c>
      <c r="F2738" s="28" t="s">
        <v>356</v>
      </c>
      <c r="G2738" s="30" t="s">
        <v>749</v>
      </c>
      <c r="H2738" t="str">
        <f>CONCATENATE(Prequal[[#This Row],[CITY]], ", ",Prequal[[#This Row],[STATE]])</f>
        <v>St. Charles, IL</v>
      </c>
    </row>
    <row r="2739" spans="2:8" x14ac:dyDescent="0.2">
      <c r="B2739" s="27" t="s">
        <v>276</v>
      </c>
      <c r="C2739" s="28" t="s">
        <v>969</v>
      </c>
      <c r="D2739" s="29" t="s">
        <v>38</v>
      </c>
      <c r="E2739" s="30" t="s">
        <v>360</v>
      </c>
      <c r="F2739" s="28" t="s">
        <v>356</v>
      </c>
      <c r="G2739" s="30" t="s">
        <v>749</v>
      </c>
      <c r="H2739" t="str">
        <f>CONCATENATE(Prequal[[#This Row],[CITY]], ", ",Prequal[[#This Row],[STATE]])</f>
        <v>St. Charles, IL</v>
      </c>
    </row>
    <row r="2740" spans="2:8" x14ac:dyDescent="0.2">
      <c r="B2740" s="27" t="s">
        <v>276</v>
      </c>
      <c r="C2740" s="28" t="s">
        <v>969</v>
      </c>
      <c r="D2740" s="29" t="s">
        <v>55</v>
      </c>
      <c r="E2740" s="30" t="s">
        <v>360</v>
      </c>
      <c r="F2740" s="28" t="s">
        <v>356</v>
      </c>
      <c r="G2740" s="30" t="s">
        <v>749</v>
      </c>
      <c r="H2740" t="str">
        <f>CONCATENATE(Prequal[[#This Row],[CITY]], ", ",Prequal[[#This Row],[STATE]])</f>
        <v>St. Charles, IL</v>
      </c>
    </row>
    <row r="2741" spans="2:8" x14ac:dyDescent="0.2">
      <c r="B2741" s="27" t="s">
        <v>277</v>
      </c>
      <c r="C2741" s="28" t="s">
        <v>969</v>
      </c>
      <c r="D2741" s="29" t="s">
        <v>5</v>
      </c>
      <c r="E2741" s="30" t="s">
        <v>370</v>
      </c>
      <c r="F2741" s="28" t="s">
        <v>356</v>
      </c>
      <c r="G2741" s="30" t="s">
        <v>750</v>
      </c>
      <c r="H2741" t="str">
        <f>CONCATENATE(Prequal[[#This Row],[CITY]], ", ",Prequal[[#This Row],[STATE]])</f>
        <v>Schaumburg, IL</v>
      </c>
    </row>
    <row r="2742" spans="2:8" x14ac:dyDescent="0.2">
      <c r="B2742" s="27" t="s">
        <v>277</v>
      </c>
      <c r="C2742" s="28" t="s">
        <v>969</v>
      </c>
      <c r="D2742" s="29" t="s">
        <v>20</v>
      </c>
      <c r="E2742" s="30" t="s">
        <v>370</v>
      </c>
      <c r="F2742" s="28" t="s">
        <v>356</v>
      </c>
      <c r="G2742" s="30" t="s">
        <v>750</v>
      </c>
      <c r="H2742" t="str">
        <f>CONCATENATE(Prequal[[#This Row],[CITY]], ", ",Prequal[[#This Row],[STATE]])</f>
        <v>Schaumburg, IL</v>
      </c>
    </row>
    <row r="2743" spans="2:8" x14ac:dyDescent="0.2">
      <c r="B2743" s="27" t="s">
        <v>277</v>
      </c>
      <c r="C2743" s="28" t="s">
        <v>969</v>
      </c>
      <c r="D2743" s="29" t="s">
        <v>22</v>
      </c>
      <c r="E2743" s="30" t="s">
        <v>370</v>
      </c>
      <c r="F2743" s="28" t="s">
        <v>356</v>
      </c>
      <c r="G2743" s="30" t="s">
        <v>750</v>
      </c>
      <c r="H2743" t="str">
        <f>CONCATENATE(Prequal[[#This Row],[CITY]], ", ",Prequal[[#This Row],[STATE]])</f>
        <v>Schaumburg, IL</v>
      </c>
    </row>
    <row r="2744" spans="2:8" x14ac:dyDescent="0.2">
      <c r="B2744" s="27" t="s">
        <v>278</v>
      </c>
      <c r="C2744" s="28" t="s">
        <v>970</v>
      </c>
      <c r="D2744" s="29" t="s">
        <v>46</v>
      </c>
      <c r="E2744" s="30" t="s">
        <v>427</v>
      </c>
      <c r="F2744" s="28" t="s">
        <v>356</v>
      </c>
      <c r="G2744" s="30" t="s">
        <v>751</v>
      </c>
      <c r="H2744" t="str">
        <f>CONCATENATE(Prequal[[#This Row],[CITY]], ", ",Prequal[[#This Row],[STATE]])</f>
        <v>Elgin, IL</v>
      </c>
    </row>
    <row r="2745" spans="2:8" x14ac:dyDescent="0.2">
      <c r="B2745" s="27" t="s">
        <v>278</v>
      </c>
      <c r="C2745" s="28" t="s">
        <v>970</v>
      </c>
      <c r="D2745" s="29" t="s">
        <v>47</v>
      </c>
      <c r="E2745" s="30" t="s">
        <v>427</v>
      </c>
      <c r="F2745" s="28" t="s">
        <v>356</v>
      </c>
      <c r="G2745" s="30" t="s">
        <v>751</v>
      </c>
      <c r="H2745" t="str">
        <f>CONCATENATE(Prequal[[#This Row],[CITY]], ", ",Prequal[[#This Row],[STATE]])</f>
        <v>Elgin, IL</v>
      </c>
    </row>
    <row r="2746" spans="2:8" x14ac:dyDescent="0.2">
      <c r="B2746" s="27" t="s">
        <v>278</v>
      </c>
      <c r="C2746" s="28" t="s">
        <v>970</v>
      </c>
      <c r="D2746" s="29" t="s">
        <v>48</v>
      </c>
      <c r="E2746" s="30" t="s">
        <v>427</v>
      </c>
      <c r="F2746" s="28" t="s">
        <v>356</v>
      </c>
      <c r="G2746" s="30" t="s">
        <v>751</v>
      </c>
      <c r="H2746" t="str">
        <f>CONCATENATE(Prequal[[#This Row],[CITY]], ", ",Prequal[[#This Row],[STATE]])</f>
        <v>Elgin, IL</v>
      </c>
    </row>
    <row r="2747" spans="2:8" x14ac:dyDescent="0.2">
      <c r="B2747" s="27" t="s">
        <v>278</v>
      </c>
      <c r="C2747" s="28" t="s">
        <v>970</v>
      </c>
      <c r="D2747" s="29" t="s">
        <v>107</v>
      </c>
      <c r="E2747" s="30" t="s">
        <v>427</v>
      </c>
      <c r="F2747" s="28" t="s">
        <v>356</v>
      </c>
      <c r="G2747" s="30" t="s">
        <v>751</v>
      </c>
      <c r="H2747" t="str">
        <f>CONCATENATE(Prequal[[#This Row],[CITY]], ", ",Prequal[[#This Row],[STATE]])</f>
        <v>Elgin, IL</v>
      </c>
    </row>
    <row r="2748" spans="2:8" x14ac:dyDescent="0.2">
      <c r="B2748" s="27" t="s">
        <v>278</v>
      </c>
      <c r="C2748" s="28" t="s">
        <v>970</v>
      </c>
      <c r="D2748" s="29" t="s">
        <v>108</v>
      </c>
      <c r="E2748" s="30" t="s">
        <v>427</v>
      </c>
      <c r="F2748" s="28" t="s">
        <v>356</v>
      </c>
      <c r="G2748" s="30" t="s">
        <v>751</v>
      </c>
      <c r="H2748" t="str">
        <f>CONCATENATE(Prequal[[#This Row],[CITY]], ", ",Prequal[[#This Row],[STATE]])</f>
        <v>Elgin, IL</v>
      </c>
    </row>
    <row r="2749" spans="2:8" x14ac:dyDescent="0.2">
      <c r="B2749" s="27" t="s">
        <v>279</v>
      </c>
      <c r="C2749" s="28" t="s">
        <v>970</v>
      </c>
      <c r="D2749" s="29" t="s">
        <v>4</v>
      </c>
      <c r="E2749" s="30" t="s">
        <v>947</v>
      </c>
      <c r="F2749" s="28" t="s">
        <v>356</v>
      </c>
      <c r="G2749" s="30" t="s">
        <v>842</v>
      </c>
      <c r="H2749" t="str">
        <f>CONCATENATE(Prequal[[#This Row],[CITY]], ", ",Prequal[[#This Row],[STATE]])</f>
        <v>Chicago, IL</v>
      </c>
    </row>
    <row r="2750" spans="2:8" x14ac:dyDescent="0.2">
      <c r="B2750" s="27" t="s">
        <v>279</v>
      </c>
      <c r="C2750" s="28" t="s">
        <v>970</v>
      </c>
      <c r="D2750" s="29" t="s">
        <v>5</v>
      </c>
      <c r="E2750" s="30" t="s">
        <v>947</v>
      </c>
      <c r="F2750" s="28" t="s">
        <v>356</v>
      </c>
      <c r="G2750" s="30" t="s">
        <v>842</v>
      </c>
      <c r="H2750" t="str">
        <f>CONCATENATE(Prequal[[#This Row],[CITY]], ", ",Prequal[[#This Row],[STATE]])</f>
        <v>Chicago, IL</v>
      </c>
    </row>
    <row r="2751" spans="2:8" x14ac:dyDescent="0.2">
      <c r="B2751" s="27" t="s">
        <v>279</v>
      </c>
      <c r="C2751" s="28" t="s">
        <v>970</v>
      </c>
      <c r="D2751" s="29" t="s">
        <v>25</v>
      </c>
      <c r="E2751" s="30" t="s">
        <v>947</v>
      </c>
      <c r="F2751" s="28" t="s">
        <v>356</v>
      </c>
      <c r="G2751" s="30" t="s">
        <v>842</v>
      </c>
      <c r="H2751" t="str">
        <f>CONCATENATE(Prequal[[#This Row],[CITY]], ", ",Prequal[[#This Row],[STATE]])</f>
        <v>Chicago, IL</v>
      </c>
    </row>
    <row r="2752" spans="2:8" x14ac:dyDescent="0.2">
      <c r="B2752" s="27" t="s">
        <v>279</v>
      </c>
      <c r="C2752" s="28" t="s">
        <v>970</v>
      </c>
      <c r="D2752" s="29" t="s">
        <v>9</v>
      </c>
      <c r="E2752" s="30" t="s">
        <v>947</v>
      </c>
      <c r="F2752" s="28" t="s">
        <v>356</v>
      </c>
      <c r="G2752" s="30" t="s">
        <v>842</v>
      </c>
      <c r="H2752" t="str">
        <f>CONCATENATE(Prequal[[#This Row],[CITY]], ", ",Prequal[[#This Row],[STATE]])</f>
        <v>Chicago, IL</v>
      </c>
    </row>
    <row r="2753" spans="2:8" x14ac:dyDescent="0.2">
      <c r="B2753" s="27" t="s">
        <v>279</v>
      </c>
      <c r="C2753" s="28" t="s">
        <v>970</v>
      </c>
      <c r="D2753" s="29" t="s">
        <v>27</v>
      </c>
      <c r="E2753" s="30" t="s">
        <v>947</v>
      </c>
      <c r="F2753" s="28" t="s">
        <v>356</v>
      </c>
      <c r="G2753" s="30" t="s">
        <v>842</v>
      </c>
      <c r="H2753" t="str">
        <f>CONCATENATE(Prequal[[#This Row],[CITY]], ", ",Prequal[[#This Row],[STATE]])</f>
        <v>Chicago, IL</v>
      </c>
    </row>
    <row r="2754" spans="2:8" x14ac:dyDescent="0.2">
      <c r="B2754" s="27" t="s">
        <v>279</v>
      </c>
      <c r="C2754" s="28" t="s">
        <v>970</v>
      </c>
      <c r="D2754" s="29" t="s">
        <v>59</v>
      </c>
      <c r="E2754" s="30" t="s">
        <v>947</v>
      </c>
      <c r="F2754" s="28" t="s">
        <v>356</v>
      </c>
      <c r="G2754" s="30" t="s">
        <v>842</v>
      </c>
      <c r="H2754" t="str">
        <f>CONCATENATE(Prequal[[#This Row],[CITY]], ", ",Prequal[[#This Row],[STATE]])</f>
        <v>Chicago, IL</v>
      </c>
    </row>
    <row r="2755" spans="2:8" x14ac:dyDescent="0.2">
      <c r="B2755" s="27" t="s">
        <v>279</v>
      </c>
      <c r="C2755" s="28" t="s">
        <v>970</v>
      </c>
      <c r="D2755" s="29" t="s">
        <v>11</v>
      </c>
      <c r="E2755" s="30" t="s">
        <v>947</v>
      </c>
      <c r="F2755" s="28" t="s">
        <v>356</v>
      </c>
      <c r="G2755" s="30" t="s">
        <v>842</v>
      </c>
      <c r="H2755" t="str">
        <f>CONCATENATE(Prequal[[#This Row],[CITY]], ", ",Prequal[[#This Row],[STATE]])</f>
        <v>Chicago, IL</v>
      </c>
    </row>
    <row r="2756" spans="2:8" x14ac:dyDescent="0.2">
      <c r="B2756" s="27" t="s">
        <v>279</v>
      </c>
      <c r="C2756" s="28" t="s">
        <v>970</v>
      </c>
      <c r="D2756" s="29" t="s">
        <v>14</v>
      </c>
      <c r="E2756" s="30" t="s">
        <v>947</v>
      </c>
      <c r="F2756" s="28" t="s">
        <v>356</v>
      </c>
      <c r="G2756" s="30" t="s">
        <v>842</v>
      </c>
      <c r="H2756" t="str">
        <f>CONCATENATE(Prequal[[#This Row],[CITY]], ", ",Prequal[[#This Row],[STATE]])</f>
        <v>Chicago, IL</v>
      </c>
    </row>
    <row r="2757" spans="2:8" x14ac:dyDescent="0.2">
      <c r="B2757" s="27" t="s">
        <v>279</v>
      </c>
      <c r="C2757" s="28" t="s">
        <v>970</v>
      </c>
      <c r="D2757" s="29" t="s">
        <v>30</v>
      </c>
      <c r="E2757" s="30" t="s">
        <v>947</v>
      </c>
      <c r="F2757" s="28" t="s">
        <v>356</v>
      </c>
      <c r="G2757" s="30" t="s">
        <v>842</v>
      </c>
      <c r="H2757" t="str">
        <f>CONCATENATE(Prequal[[#This Row],[CITY]], ", ",Prequal[[#This Row],[STATE]])</f>
        <v>Chicago, IL</v>
      </c>
    </row>
    <row r="2758" spans="2:8" x14ac:dyDescent="0.2">
      <c r="B2758" s="27" t="s">
        <v>279</v>
      </c>
      <c r="C2758" s="28" t="s">
        <v>970</v>
      </c>
      <c r="D2758" s="29" t="s">
        <v>31</v>
      </c>
      <c r="E2758" s="30" t="s">
        <v>947</v>
      </c>
      <c r="F2758" s="28" t="s">
        <v>356</v>
      </c>
      <c r="G2758" s="30" t="s">
        <v>842</v>
      </c>
      <c r="H2758" t="str">
        <f>CONCATENATE(Prequal[[#This Row],[CITY]], ", ",Prequal[[#This Row],[STATE]])</f>
        <v>Chicago, IL</v>
      </c>
    </row>
    <row r="2759" spans="2:8" x14ac:dyDescent="0.2">
      <c r="B2759" s="27" t="s">
        <v>279</v>
      </c>
      <c r="C2759" s="28" t="s">
        <v>970</v>
      </c>
      <c r="D2759" s="29" t="s">
        <v>32</v>
      </c>
      <c r="E2759" s="30" t="s">
        <v>947</v>
      </c>
      <c r="F2759" s="28" t="s">
        <v>356</v>
      </c>
      <c r="G2759" s="30" t="s">
        <v>842</v>
      </c>
      <c r="H2759" t="str">
        <f>CONCATENATE(Prequal[[#This Row],[CITY]], ", ",Prequal[[#This Row],[STATE]])</f>
        <v>Chicago, IL</v>
      </c>
    </row>
    <row r="2760" spans="2:8" x14ac:dyDescent="0.2">
      <c r="B2760" s="27" t="s">
        <v>279</v>
      </c>
      <c r="C2760" s="28" t="s">
        <v>970</v>
      </c>
      <c r="D2760" s="29" t="s">
        <v>38</v>
      </c>
      <c r="E2760" s="30" t="s">
        <v>947</v>
      </c>
      <c r="F2760" s="28" t="s">
        <v>356</v>
      </c>
      <c r="G2760" s="30" t="s">
        <v>842</v>
      </c>
      <c r="H2760" t="str">
        <f>CONCATENATE(Prequal[[#This Row],[CITY]], ", ",Prequal[[#This Row],[STATE]])</f>
        <v>Chicago, IL</v>
      </c>
    </row>
    <row r="2761" spans="2:8" x14ac:dyDescent="0.2">
      <c r="B2761" s="27" t="s">
        <v>1044</v>
      </c>
      <c r="C2761" s="28" t="s">
        <v>970</v>
      </c>
      <c r="D2761" s="29" t="s">
        <v>29</v>
      </c>
      <c r="E2761" s="30" t="s">
        <v>394</v>
      </c>
      <c r="F2761" s="28" t="s">
        <v>361</v>
      </c>
      <c r="G2761" s="30" t="s">
        <v>1045</v>
      </c>
      <c r="H2761" t="str">
        <f>CONCATENATE(Prequal[[#This Row],[CITY]], ", ",Prequal[[#This Row],[STATE]])</f>
        <v>St. Louis, MO</v>
      </c>
    </row>
    <row r="2762" spans="2:8" x14ac:dyDescent="0.2">
      <c r="B2762" s="27" t="s">
        <v>1104</v>
      </c>
      <c r="C2762" s="28" t="s">
        <v>969</v>
      </c>
      <c r="D2762" s="29" t="s">
        <v>1004</v>
      </c>
      <c r="E2762" s="30" t="s">
        <v>402</v>
      </c>
      <c r="F2762" s="28" t="s">
        <v>356</v>
      </c>
      <c r="G2762" s="30" t="s">
        <v>1105</v>
      </c>
      <c r="H2762" t="str">
        <f>CONCATENATE(Prequal[[#This Row],[CITY]], ", ",Prequal[[#This Row],[STATE]])</f>
        <v>Naperville, IL</v>
      </c>
    </row>
    <row r="2763" spans="2:8" x14ac:dyDescent="0.2">
      <c r="B2763" s="27" t="s">
        <v>280</v>
      </c>
      <c r="C2763" s="28" t="s">
        <v>969</v>
      </c>
      <c r="D2763" s="29" t="s">
        <v>5</v>
      </c>
      <c r="E2763" s="30" t="s">
        <v>947</v>
      </c>
      <c r="F2763" s="28" t="s">
        <v>356</v>
      </c>
      <c r="G2763" s="30" t="s">
        <v>865</v>
      </c>
      <c r="H2763" t="str">
        <f>CONCATENATE(Prequal[[#This Row],[CITY]], ", ",Prequal[[#This Row],[STATE]])</f>
        <v>Chicago, IL</v>
      </c>
    </row>
    <row r="2764" spans="2:8" x14ac:dyDescent="0.2">
      <c r="B2764" s="27" t="s">
        <v>280</v>
      </c>
      <c r="C2764" s="28" t="s">
        <v>969</v>
      </c>
      <c r="D2764" s="29" t="s">
        <v>27</v>
      </c>
      <c r="E2764" s="30" t="s">
        <v>947</v>
      </c>
      <c r="F2764" s="28" t="s">
        <v>356</v>
      </c>
      <c r="G2764" s="30" t="s">
        <v>865</v>
      </c>
      <c r="H2764" t="str">
        <f>CONCATENATE(Prequal[[#This Row],[CITY]], ", ",Prequal[[#This Row],[STATE]])</f>
        <v>Chicago, IL</v>
      </c>
    </row>
    <row r="2765" spans="2:8" x14ac:dyDescent="0.2">
      <c r="B2765" s="27" t="s">
        <v>280</v>
      </c>
      <c r="C2765" s="28" t="s">
        <v>969</v>
      </c>
      <c r="D2765" s="29" t="s">
        <v>13</v>
      </c>
      <c r="E2765" s="30" t="s">
        <v>947</v>
      </c>
      <c r="F2765" s="28" t="s">
        <v>356</v>
      </c>
      <c r="G2765" s="30" t="s">
        <v>865</v>
      </c>
      <c r="H2765" t="str">
        <f>CONCATENATE(Prequal[[#This Row],[CITY]], ", ",Prequal[[#This Row],[STATE]])</f>
        <v>Chicago, IL</v>
      </c>
    </row>
    <row r="2766" spans="2:8" x14ac:dyDescent="0.2">
      <c r="B2766" s="27" t="s">
        <v>280</v>
      </c>
      <c r="C2766" s="28" t="s">
        <v>969</v>
      </c>
      <c r="D2766" s="29" t="s">
        <v>52</v>
      </c>
      <c r="E2766" s="30" t="s">
        <v>947</v>
      </c>
      <c r="F2766" s="28" t="s">
        <v>356</v>
      </c>
      <c r="G2766" s="30" t="s">
        <v>865</v>
      </c>
      <c r="H2766" t="str">
        <f>CONCATENATE(Prequal[[#This Row],[CITY]], ", ",Prequal[[#This Row],[STATE]])</f>
        <v>Chicago, IL</v>
      </c>
    </row>
    <row r="2767" spans="2:8" x14ac:dyDescent="0.2">
      <c r="B2767" s="27" t="s">
        <v>280</v>
      </c>
      <c r="C2767" s="28" t="s">
        <v>969</v>
      </c>
      <c r="D2767" s="29" t="s">
        <v>14</v>
      </c>
      <c r="E2767" s="30" t="s">
        <v>947</v>
      </c>
      <c r="F2767" s="28" t="s">
        <v>356</v>
      </c>
      <c r="G2767" s="30" t="s">
        <v>865</v>
      </c>
      <c r="H2767" t="str">
        <f>CONCATENATE(Prequal[[#This Row],[CITY]], ", ",Prequal[[#This Row],[STATE]])</f>
        <v>Chicago, IL</v>
      </c>
    </row>
    <row r="2768" spans="2:8" x14ac:dyDescent="0.2">
      <c r="B2768" s="27" t="s">
        <v>281</v>
      </c>
      <c r="C2768" s="28" t="s">
        <v>970</v>
      </c>
      <c r="D2768" s="29" t="s">
        <v>81</v>
      </c>
      <c r="E2768" s="30" t="s">
        <v>399</v>
      </c>
      <c r="F2768" s="28" t="s">
        <v>356</v>
      </c>
      <c r="G2768" s="30" t="s">
        <v>1046</v>
      </c>
      <c r="H2768" t="str">
        <f>CONCATENATE(Prequal[[#This Row],[CITY]], ", ",Prequal[[#This Row],[STATE]])</f>
        <v>Elk Grove Village, IL</v>
      </c>
    </row>
    <row r="2769" spans="2:8" x14ac:dyDescent="0.2">
      <c r="B2769" s="27" t="s">
        <v>281</v>
      </c>
      <c r="C2769" s="28" t="s">
        <v>970</v>
      </c>
      <c r="D2769" s="29" t="s">
        <v>63</v>
      </c>
      <c r="E2769" s="30" t="s">
        <v>399</v>
      </c>
      <c r="F2769" s="28" t="s">
        <v>356</v>
      </c>
      <c r="G2769" s="30" t="s">
        <v>1046</v>
      </c>
      <c r="H2769" t="str">
        <f>CONCATENATE(Prequal[[#This Row],[CITY]], ", ",Prequal[[#This Row],[STATE]])</f>
        <v>Elk Grove Village, IL</v>
      </c>
    </row>
    <row r="2770" spans="2:8" x14ac:dyDescent="0.2">
      <c r="B2770" s="27" t="s">
        <v>281</v>
      </c>
      <c r="C2770" s="28" t="s">
        <v>970</v>
      </c>
      <c r="D2770" s="29" t="s">
        <v>28</v>
      </c>
      <c r="E2770" s="30" t="s">
        <v>399</v>
      </c>
      <c r="F2770" s="28" t="s">
        <v>356</v>
      </c>
      <c r="G2770" s="30" t="s">
        <v>1046</v>
      </c>
      <c r="H2770" t="str">
        <f>CONCATENATE(Prequal[[#This Row],[CITY]], ", ",Prequal[[#This Row],[STATE]])</f>
        <v>Elk Grove Village, IL</v>
      </c>
    </row>
    <row r="2771" spans="2:8" x14ac:dyDescent="0.2">
      <c r="B2771" s="27" t="s">
        <v>281</v>
      </c>
      <c r="C2771" s="28" t="s">
        <v>970</v>
      </c>
      <c r="D2771" s="29" t="s">
        <v>29</v>
      </c>
      <c r="E2771" s="30" t="s">
        <v>399</v>
      </c>
      <c r="F2771" s="28" t="s">
        <v>356</v>
      </c>
      <c r="G2771" s="30" t="s">
        <v>1046</v>
      </c>
      <c r="H2771" t="str">
        <f>CONCATENATE(Prequal[[#This Row],[CITY]], ", ",Prequal[[#This Row],[STATE]])</f>
        <v>Elk Grove Village, IL</v>
      </c>
    </row>
    <row r="2772" spans="2:8" x14ac:dyDescent="0.2">
      <c r="B2772" s="27" t="s">
        <v>960</v>
      </c>
      <c r="C2772" s="28" t="s">
        <v>970</v>
      </c>
      <c r="D2772" s="29" t="s">
        <v>1004</v>
      </c>
      <c r="E2772" s="30" t="s">
        <v>961</v>
      </c>
      <c r="F2772" s="28" t="s">
        <v>356</v>
      </c>
      <c r="G2772" s="30" t="s">
        <v>962</v>
      </c>
      <c r="H2772" t="str">
        <f>CONCATENATE(Prequal[[#This Row],[CITY]], ", ",Prequal[[#This Row],[STATE]])</f>
        <v>Northfield, IL</v>
      </c>
    </row>
    <row r="2773" spans="2:8" x14ac:dyDescent="0.2">
      <c r="B2773" s="27" t="s">
        <v>904</v>
      </c>
      <c r="C2773" s="28" t="s">
        <v>969</v>
      </c>
      <c r="D2773" s="29" t="s">
        <v>59</v>
      </c>
      <c r="E2773" s="30" t="s">
        <v>402</v>
      </c>
      <c r="F2773" s="28" t="s">
        <v>356</v>
      </c>
      <c r="G2773" s="30" t="s">
        <v>905</v>
      </c>
      <c r="H2773" t="str">
        <f>CONCATENATE(Prequal[[#This Row],[CITY]], ", ",Prequal[[#This Row],[STATE]])</f>
        <v>Naperville, IL</v>
      </c>
    </row>
    <row r="2774" spans="2:8" x14ac:dyDescent="0.2">
      <c r="B2774" s="27" t="s">
        <v>282</v>
      </c>
      <c r="C2774" s="28" t="s">
        <v>969</v>
      </c>
      <c r="D2774" s="29" t="s">
        <v>45</v>
      </c>
      <c r="E2774" s="30" t="s">
        <v>438</v>
      </c>
      <c r="F2774" s="28" t="s">
        <v>356</v>
      </c>
      <c r="G2774" s="30" t="s">
        <v>752</v>
      </c>
      <c r="H2774" t="str">
        <f>CONCATENATE(Prequal[[#This Row],[CITY]], ", ",Prequal[[#This Row],[STATE]])</f>
        <v>O'Fallon, IL</v>
      </c>
    </row>
    <row r="2775" spans="2:8" x14ac:dyDescent="0.2">
      <c r="B2775" s="27" t="s">
        <v>282</v>
      </c>
      <c r="C2775" s="28" t="s">
        <v>969</v>
      </c>
      <c r="D2775" s="29" t="s">
        <v>46</v>
      </c>
      <c r="E2775" s="30" t="s">
        <v>438</v>
      </c>
      <c r="F2775" s="28" t="s">
        <v>356</v>
      </c>
      <c r="G2775" s="30" t="s">
        <v>752</v>
      </c>
      <c r="H2775" t="str">
        <f>CONCATENATE(Prequal[[#This Row],[CITY]], ", ",Prequal[[#This Row],[STATE]])</f>
        <v>O'Fallon, IL</v>
      </c>
    </row>
    <row r="2776" spans="2:8" x14ac:dyDescent="0.2">
      <c r="B2776" s="27" t="s">
        <v>282</v>
      </c>
      <c r="C2776" s="28" t="s">
        <v>969</v>
      </c>
      <c r="D2776" s="29" t="s">
        <v>47</v>
      </c>
      <c r="E2776" s="30" t="s">
        <v>438</v>
      </c>
      <c r="F2776" s="28" t="s">
        <v>356</v>
      </c>
      <c r="G2776" s="30" t="s">
        <v>752</v>
      </c>
      <c r="H2776" t="str">
        <f>CONCATENATE(Prequal[[#This Row],[CITY]], ", ",Prequal[[#This Row],[STATE]])</f>
        <v>O'Fallon, IL</v>
      </c>
    </row>
    <row r="2777" spans="2:8" x14ac:dyDescent="0.2">
      <c r="B2777" s="27" t="s">
        <v>282</v>
      </c>
      <c r="C2777" s="28" t="s">
        <v>969</v>
      </c>
      <c r="D2777" s="29" t="s">
        <v>48</v>
      </c>
      <c r="E2777" s="30" t="s">
        <v>438</v>
      </c>
      <c r="F2777" s="28" t="s">
        <v>356</v>
      </c>
      <c r="G2777" s="30" t="s">
        <v>752</v>
      </c>
      <c r="H2777" t="str">
        <f>CONCATENATE(Prequal[[#This Row],[CITY]], ", ",Prequal[[#This Row],[STATE]])</f>
        <v>O'Fallon, IL</v>
      </c>
    </row>
    <row r="2778" spans="2:8" x14ac:dyDescent="0.2">
      <c r="B2778" s="27" t="s">
        <v>282</v>
      </c>
      <c r="C2778" s="28" t="s">
        <v>969</v>
      </c>
      <c r="D2778" s="29" t="s">
        <v>75</v>
      </c>
      <c r="E2778" s="30" t="s">
        <v>438</v>
      </c>
      <c r="F2778" s="28" t="s">
        <v>356</v>
      </c>
      <c r="G2778" s="30" t="s">
        <v>752</v>
      </c>
      <c r="H2778" t="str">
        <f>CONCATENATE(Prequal[[#This Row],[CITY]], ", ",Prequal[[#This Row],[STATE]])</f>
        <v>O'Fallon, IL</v>
      </c>
    </row>
    <row r="2779" spans="2:8" x14ac:dyDescent="0.2">
      <c r="B2779" s="27" t="s">
        <v>282</v>
      </c>
      <c r="C2779" s="28" t="s">
        <v>969</v>
      </c>
      <c r="D2779" s="29" t="s">
        <v>10</v>
      </c>
      <c r="E2779" s="30" t="s">
        <v>438</v>
      </c>
      <c r="F2779" s="28" t="s">
        <v>356</v>
      </c>
      <c r="G2779" s="30" t="s">
        <v>752</v>
      </c>
      <c r="H2779" t="str">
        <f>CONCATENATE(Prequal[[#This Row],[CITY]], ", ",Prequal[[#This Row],[STATE]])</f>
        <v>O'Fallon, IL</v>
      </c>
    </row>
    <row r="2780" spans="2:8" x14ac:dyDescent="0.2">
      <c r="B2780" s="27" t="s">
        <v>531</v>
      </c>
      <c r="C2780" s="28" t="s">
        <v>970</v>
      </c>
      <c r="D2780" s="29" t="s">
        <v>36</v>
      </c>
      <c r="E2780" s="30" t="s">
        <v>947</v>
      </c>
      <c r="F2780" s="28" t="s">
        <v>356</v>
      </c>
      <c r="G2780" s="30" t="s">
        <v>753</v>
      </c>
      <c r="H2780" t="str">
        <f>CONCATENATE(Prequal[[#This Row],[CITY]], ", ",Prequal[[#This Row],[STATE]])</f>
        <v>Chicago, IL</v>
      </c>
    </row>
    <row r="2781" spans="2:8" x14ac:dyDescent="0.2">
      <c r="B2781" s="27" t="s">
        <v>531</v>
      </c>
      <c r="C2781" s="28" t="s">
        <v>970</v>
      </c>
      <c r="D2781" s="29" t="s">
        <v>4</v>
      </c>
      <c r="E2781" s="30" t="s">
        <v>947</v>
      </c>
      <c r="F2781" s="28" t="s">
        <v>356</v>
      </c>
      <c r="G2781" s="30" t="s">
        <v>753</v>
      </c>
      <c r="H2781" t="str">
        <f>CONCATENATE(Prequal[[#This Row],[CITY]], ", ",Prequal[[#This Row],[STATE]])</f>
        <v>Chicago, IL</v>
      </c>
    </row>
    <row r="2782" spans="2:8" x14ac:dyDescent="0.2">
      <c r="B2782" s="27" t="s">
        <v>531</v>
      </c>
      <c r="C2782" s="28" t="s">
        <v>970</v>
      </c>
      <c r="D2782" s="29" t="s">
        <v>5</v>
      </c>
      <c r="E2782" s="30" t="s">
        <v>947</v>
      </c>
      <c r="F2782" s="28" t="s">
        <v>356</v>
      </c>
      <c r="G2782" s="30" t="s">
        <v>753</v>
      </c>
      <c r="H2782" t="str">
        <f>CONCATENATE(Prequal[[#This Row],[CITY]], ", ",Prequal[[#This Row],[STATE]])</f>
        <v>Chicago, IL</v>
      </c>
    </row>
    <row r="2783" spans="2:8" x14ac:dyDescent="0.2">
      <c r="B2783" s="27" t="s">
        <v>531</v>
      </c>
      <c r="C2783" s="28" t="s">
        <v>970</v>
      </c>
      <c r="D2783" s="29" t="s">
        <v>25</v>
      </c>
      <c r="E2783" s="30" t="s">
        <v>947</v>
      </c>
      <c r="F2783" s="28" t="s">
        <v>356</v>
      </c>
      <c r="G2783" s="30" t="s">
        <v>753</v>
      </c>
      <c r="H2783" t="str">
        <f>CONCATENATE(Prequal[[#This Row],[CITY]], ", ",Prequal[[#This Row],[STATE]])</f>
        <v>Chicago, IL</v>
      </c>
    </row>
    <row r="2784" spans="2:8" x14ac:dyDescent="0.2">
      <c r="B2784" s="27" t="s">
        <v>531</v>
      </c>
      <c r="C2784" s="28" t="s">
        <v>970</v>
      </c>
      <c r="D2784" s="29" t="s">
        <v>9</v>
      </c>
      <c r="E2784" s="30" t="s">
        <v>947</v>
      </c>
      <c r="F2784" s="28" t="s">
        <v>356</v>
      </c>
      <c r="G2784" s="30" t="s">
        <v>753</v>
      </c>
      <c r="H2784" t="str">
        <f>CONCATENATE(Prequal[[#This Row],[CITY]], ", ",Prequal[[#This Row],[STATE]])</f>
        <v>Chicago, IL</v>
      </c>
    </row>
    <row r="2785" spans="2:8" x14ac:dyDescent="0.2">
      <c r="B2785" s="27" t="s">
        <v>531</v>
      </c>
      <c r="C2785" s="28" t="s">
        <v>970</v>
      </c>
      <c r="D2785" s="29" t="s">
        <v>27</v>
      </c>
      <c r="E2785" s="30" t="s">
        <v>947</v>
      </c>
      <c r="F2785" s="28" t="s">
        <v>356</v>
      </c>
      <c r="G2785" s="30" t="s">
        <v>753</v>
      </c>
      <c r="H2785" t="str">
        <f>CONCATENATE(Prequal[[#This Row],[CITY]], ", ",Prequal[[#This Row],[STATE]])</f>
        <v>Chicago, IL</v>
      </c>
    </row>
    <row r="2786" spans="2:8" x14ac:dyDescent="0.2">
      <c r="B2786" s="27" t="s">
        <v>531</v>
      </c>
      <c r="C2786" s="28" t="s">
        <v>970</v>
      </c>
      <c r="D2786" s="29" t="s">
        <v>10</v>
      </c>
      <c r="E2786" s="30" t="s">
        <v>947</v>
      </c>
      <c r="F2786" s="28" t="s">
        <v>356</v>
      </c>
      <c r="G2786" s="30" t="s">
        <v>753</v>
      </c>
      <c r="H2786" t="str">
        <f>CONCATENATE(Prequal[[#This Row],[CITY]], ", ",Prequal[[#This Row],[STATE]])</f>
        <v>Chicago, IL</v>
      </c>
    </row>
    <row r="2787" spans="2:8" x14ac:dyDescent="0.2">
      <c r="B2787" s="27" t="s">
        <v>531</v>
      </c>
      <c r="C2787" s="28" t="s">
        <v>970</v>
      </c>
      <c r="D2787" s="29" t="s">
        <v>11</v>
      </c>
      <c r="E2787" s="30" t="s">
        <v>947</v>
      </c>
      <c r="F2787" s="28" t="s">
        <v>356</v>
      </c>
      <c r="G2787" s="30" t="s">
        <v>753</v>
      </c>
      <c r="H2787" t="str">
        <f>CONCATENATE(Prequal[[#This Row],[CITY]], ", ",Prequal[[#This Row],[STATE]])</f>
        <v>Chicago, IL</v>
      </c>
    </row>
    <row r="2788" spans="2:8" x14ac:dyDescent="0.2">
      <c r="B2788" s="27" t="s">
        <v>531</v>
      </c>
      <c r="C2788" s="28" t="s">
        <v>970</v>
      </c>
      <c r="D2788" s="29" t="s">
        <v>14</v>
      </c>
      <c r="E2788" s="30" t="s">
        <v>947</v>
      </c>
      <c r="F2788" s="28" t="s">
        <v>356</v>
      </c>
      <c r="G2788" s="30" t="s">
        <v>753</v>
      </c>
      <c r="H2788" t="str">
        <f>CONCATENATE(Prequal[[#This Row],[CITY]], ", ",Prequal[[#This Row],[STATE]])</f>
        <v>Chicago, IL</v>
      </c>
    </row>
    <row r="2789" spans="2:8" x14ac:dyDescent="0.2">
      <c r="B2789" s="27" t="s">
        <v>531</v>
      </c>
      <c r="C2789" s="28" t="s">
        <v>970</v>
      </c>
      <c r="D2789" s="29" t="s">
        <v>15</v>
      </c>
      <c r="E2789" s="30" t="s">
        <v>947</v>
      </c>
      <c r="F2789" s="28" t="s">
        <v>356</v>
      </c>
      <c r="G2789" s="30" t="s">
        <v>753</v>
      </c>
      <c r="H2789" t="str">
        <f>CONCATENATE(Prequal[[#This Row],[CITY]], ", ",Prequal[[#This Row],[STATE]])</f>
        <v>Chicago, IL</v>
      </c>
    </row>
    <row r="2790" spans="2:8" x14ac:dyDescent="0.2">
      <c r="B2790" s="27" t="s">
        <v>531</v>
      </c>
      <c r="C2790" s="28" t="s">
        <v>970</v>
      </c>
      <c r="D2790" s="29" t="s">
        <v>30</v>
      </c>
      <c r="E2790" s="30" t="s">
        <v>947</v>
      </c>
      <c r="F2790" s="28" t="s">
        <v>356</v>
      </c>
      <c r="G2790" s="30" t="s">
        <v>753</v>
      </c>
      <c r="H2790" t="str">
        <f>CONCATENATE(Prequal[[#This Row],[CITY]], ", ",Prequal[[#This Row],[STATE]])</f>
        <v>Chicago, IL</v>
      </c>
    </row>
    <row r="2791" spans="2:8" x14ac:dyDescent="0.2">
      <c r="B2791" s="27" t="s">
        <v>531</v>
      </c>
      <c r="C2791" s="28" t="s">
        <v>970</v>
      </c>
      <c r="D2791" s="29" t="s">
        <v>31</v>
      </c>
      <c r="E2791" s="30" t="s">
        <v>947</v>
      </c>
      <c r="F2791" s="28" t="s">
        <v>356</v>
      </c>
      <c r="G2791" s="30" t="s">
        <v>753</v>
      </c>
      <c r="H2791" t="str">
        <f>CONCATENATE(Prequal[[#This Row],[CITY]], ", ",Prequal[[#This Row],[STATE]])</f>
        <v>Chicago, IL</v>
      </c>
    </row>
    <row r="2792" spans="2:8" x14ac:dyDescent="0.2">
      <c r="B2792" s="27" t="s">
        <v>531</v>
      </c>
      <c r="C2792" s="28" t="s">
        <v>970</v>
      </c>
      <c r="D2792" s="29" t="s">
        <v>32</v>
      </c>
      <c r="E2792" s="30" t="s">
        <v>947</v>
      </c>
      <c r="F2792" s="28" t="s">
        <v>356</v>
      </c>
      <c r="G2792" s="30" t="s">
        <v>753</v>
      </c>
      <c r="H2792" t="str">
        <f>CONCATENATE(Prequal[[#This Row],[CITY]], ", ",Prequal[[#This Row],[STATE]])</f>
        <v>Chicago, IL</v>
      </c>
    </row>
    <row r="2793" spans="2:8" x14ac:dyDescent="0.2">
      <c r="B2793" s="27" t="s">
        <v>283</v>
      </c>
      <c r="C2793" s="28" t="s">
        <v>970</v>
      </c>
      <c r="D2793" s="29" t="s">
        <v>4</v>
      </c>
      <c r="E2793" s="30" t="s">
        <v>358</v>
      </c>
      <c r="F2793" s="28" t="s">
        <v>356</v>
      </c>
      <c r="G2793" s="30" t="s">
        <v>754</v>
      </c>
      <c r="H2793" t="str">
        <f>CONCATENATE(Prequal[[#This Row],[CITY]], ", ",Prequal[[#This Row],[STATE]])</f>
        <v>Lisle, IL</v>
      </c>
    </row>
    <row r="2794" spans="2:8" x14ac:dyDescent="0.2">
      <c r="B2794" s="27" t="s">
        <v>283</v>
      </c>
      <c r="C2794" s="28" t="s">
        <v>970</v>
      </c>
      <c r="D2794" s="29" t="s">
        <v>5</v>
      </c>
      <c r="E2794" s="30" t="s">
        <v>358</v>
      </c>
      <c r="F2794" s="28" t="s">
        <v>356</v>
      </c>
      <c r="G2794" s="30" t="s">
        <v>754</v>
      </c>
      <c r="H2794" t="str">
        <f>CONCATENATE(Prequal[[#This Row],[CITY]], ", ",Prequal[[#This Row],[STATE]])</f>
        <v>Lisle, IL</v>
      </c>
    </row>
    <row r="2795" spans="2:8" x14ac:dyDescent="0.2">
      <c r="B2795" s="27" t="s">
        <v>283</v>
      </c>
      <c r="C2795" s="28" t="s">
        <v>970</v>
      </c>
      <c r="D2795" s="29" t="s">
        <v>25</v>
      </c>
      <c r="E2795" s="30" t="s">
        <v>358</v>
      </c>
      <c r="F2795" s="28" t="s">
        <v>356</v>
      </c>
      <c r="G2795" s="30" t="s">
        <v>754</v>
      </c>
      <c r="H2795" t="str">
        <f>CONCATENATE(Prequal[[#This Row],[CITY]], ", ",Prequal[[#This Row],[STATE]])</f>
        <v>Lisle, IL</v>
      </c>
    </row>
    <row r="2796" spans="2:8" x14ac:dyDescent="0.2">
      <c r="B2796" s="27" t="s">
        <v>283</v>
      </c>
      <c r="C2796" s="28" t="s">
        <v>970</v>
      </c>
      <c r="D2796" s="29" t="s">
        <v>9</v>
      </c>
      <c r="E2796" s="30" t="s">
        <v>358</v>
      </c>
      <c r="F2796" s="28" t="s">
        <v>356</v>
      </c>
      <c r="G2796" s="30" t="s">
        <v>754</v>
      </c>
      <c r="H2796" t="str">
        <f>CONCATENATE(Prequal[[#This Row],[CITY]], ", ",Prequal[[#This Row],[STATE]])</f>
        <v>Lisle, IL</v>
      </c>
    </row>
    <row r="2797" spans="2:8" x14ac:dyDescent="0.2">
      <c r="B2797" s="27" t="s">
        <v>283</v>
      </c>
      <c r="C2797" s="28" t="s">
        <v>970</v>
      </c>
      <c r="D2797" s="29" t="s">
        <v>27</v>
      </c>
      <c r="E2797" s="30" t="s">
        <v>358</v>
      </c>
      <c r="F2797" s="28" t="s">
        <v>356</v>
      </c>
      <c r="G2797" s="30" t="s">
        <v>754</v>
      </c>
      <c r="H2797" t="str">
        <f>CONCATENATE(Prequal[[#This Row],[CITY]], ", ",Prequal[[#This Row],[STATE]])</f>
        <v>Lisle, IL</v>
      </c>
    </row>
    <row r="2798" spans="2:8" x14ac:dyDescent="0.2">
      <c r="B2798" s="27" t="s">
        <v>283</v>
      </c>
      <c r="C2798" s="28" t="s">
        <v>970</v>
      </c>
      <c r="D2798" s="29" t="s">
        <v>10</v>
      </c>
      <c r="E2798" s="30" t="s">
        <v>358</v>
      </c>
      <c r="F2798" s="28" t="s">
        <v>356</v>
      </c>
      <c r="G2798" s="30" t="s">
        <v>754</v>
      </c>
      <c r="H2798" t="str">
        <f>CONCATENATE(Prequal[[#This Row],[CITY]], ", ",Prequal[[#This Row],[STATE]])</f>
        <v>Lisle, IL</v>
      </c>
    </row>
    <row r="2799" spans="2:8" x14ac:dyDescent="0.2">
      <c r="B2799" s="27" t="s">
        <v>283</v>
      </c>
      <c r="C2799" s="28" t="s">
        <v>970</v>
      </c>
      <c r="D2799" s="29" t="s">
        <v>13</v>
      </c>
      <c r="E2799" s="30" t="s">
        <v>358</v>
      </c>
      <c r="F2799" s="28" t="s">
        <v>356</v>
      </c>
      <c r="G2799" s="30" t="s">
        <v>754</v>
      </c>
      <c r="H2799" t="str">
        <f>CONCATENATE(Prequal[[#This Row],[CITY]], ", ",Prequal[[#This Row],[STATE]])</f>
        <v>Lisle, IL</v>
      </c>
    </row>
    <row r="2800" spans="2:8" x14ac:dyDescent="0.2">
      <c r="B2800" s="27" t="s">
        <v>283</v>
      </c>
      <c r="C2800" s="28" t="s">
        <v>970</v>
      </c>
      <c r="D2800" s="29" t="s">
        <v>14</v>
      </c>
      <c r="E2800" s="30" t="s">
        <v>358</v>
      </c>
      <c r="F2800" s="28" t="s">
        <v>356</v>
      </c>
      <c r="G2800" s="30" t="s">
        <v>754</v>
      </c>
      <c r="H2800" t="str">
        <f>CONCATENATE(Prequal[[#This Row],[CITY]], ", ",Prequal[[#This Row],[STATE]])</f>
        <v>Lisle, IL</v>
      </c>
    </row>
    <row r="2801" spans="2:8" x14ac:dyDescent="0.2">
      <c r="B2801" s="27" t="s">
        <v>283</v>
      </c>
      <c r="C2801" s="28" t="s">
        <v>970</v>
      </c>
      <c r="D2801" s="29" t="s">
        <v>15</v>
      </c>
      <c r="E2801" s="30" t="s">
        <v>358</v>
      </c>
      <c r="F2801" s="28" t="s">
        <v>356</v>
      </c>
      <c r="G2801" s="30" t="s">
        <v>754</v>
      </c>
      <c r="H2801" t="str">
        <f>CONCATENATE(Prequal[[#This Row],[CITY]], ", ",Prequal[[#This Row],[STATE]])</f>
        <v>Lisle, IL</v>
      </c>
    </row>
    <row r="2802" spans="2:8" x14ac:dyDescent="0.2">
      <c r="B2802" s="27" t="s">
        <v>283</v>
      </c>
      <c r="C2802" s="28" t="s">
        <v>970</v>
      </c>
      <c r="D2802" s="29" t="s">
        <v>31</v>
      </c>
      <c r="E2802" s="30" t="s">
        <v>358</v>
      </c>
      <c r="F2802" s="28" t="s">
        <v>356</v>
      </c>
      <c r="G2802" s="30" t="s">
        <v>754</v>
      </c>
      <c r="H2802" t="str">
        <f>CONCATENATE(Prequal[[#This Row],[CITY]], ", ",Prequal[[#This Row],[STATE]])</f>
        <v>Lisle, IL</v>
      </c>
    </row>
    <row r="2803" spans="2:8" x14ac:dyDescent="0.2">
      <c r="B2803" s="27" t="s">
        <v>283</v>
      </c>
      <c r="C2803" s="28" t="s">
        <v>970</v>
      </c>
      <c r="D2803" s="29" t="s">
        <v>32</v>
      </c>
      <c r="E2803" s="30" t="s">
        <v>358</v>
      </c>
      <c r="F2803" s="28" t="s">
        <v>356</v>
      </c>
      <c r="G2803" s="30" t="s">
        <v>754</v>
      </c>
      <c r="H2803" t="str">
        <f>CONCATENATE(Prequal[[#This Row],[CITY]], ", ",Prequal[[#This Row],[STATE]])</f>
        <v>Lisle, IL</v>
      </c>
    </row>
    <row r="2804" spans="2:8" x14ac:dyDescent="0.2">
      <c r="B2804" s="27" t="s">
        <v>284</v>
      </c>
      <c r="C2804" s="28" t="s">
        <v>969</v>
      </c>
      <c r="D2804" s="29" t="s">
        <v>45</v>
      </c>
      <c r="E2804" s="30" t="s">
        <v>947</v>
      </c>
      <c r="F2804" s="28" t="s">
        <v>356</v>
      </c>
      <c r="G2804" s="30" t="s">
        <v>936</v>
      </c>
      <c r="H2804" t="str">
        <f>CONCATENATE(Prequal[[#This Row],[CITY]], ", ",Prequal[[#This Row],[STATE]])</f>
        <v>Chicago, IL</v>
      </c>
    </row>
    <row r="2805" spans="2:8" x14ac:dyDescent="0.2">
      <c r="B2805" s="27" t="s">
        <v>284</v>
      </c>
      <c r="C2805" s="28" t="s">
        <v>969</v>
      </c>
      <c r="D2805" s="29" t="s">
        <v>46</v>
      </c>
      <c r="E2805" s="30" t="s">
        <v>947</v>
      </c>
      <c r="F2805" s="28" t="s">
        <v>356</v>
      </c>
      <c r="G2805" s="30" t="s">
        <v>936</v>
      </c>
      <c r="H2805" t="str">
        <f>CONCATENATE(Prequal[[#This Row],[CITY]], ", ",Prequal[[#This Row],[STATE]])</f>
        <v>Chicago, IL</v>
      </c>
    </row>
    <row r="2806" spans="2:8" x14ac:dyDescent="0.2">
      <c r="B2806" s="27" t="s">
        <v>284</v>
      </c>
      <c r="C2806" s="28" t="s">
        <v>969</v>
      </c>
      <c r="D2806" s="29" t="s">
        <v>47</v>
      </c>
      <c r="E2806" s="30" t="s">
        <v>947</v>
      </c>
      <c r="F2806" s="28" t="s">
        <v>356</v>
      </c>
      <c r="G2806" s="30" t="s">
        <v>936</v>
      </c>
      <c r="H2806" t="str">
        <f>CONCATENATE(Prequal[[#This Row],[CITY]], ", ",Prequal[[#This Row],[STATE]])</f>
        <v>Chicago, IL</v>
      </c>
    </row>
    <row r="2807" spans="2:8" x14ac:dyDescent="0.2">
      <c r="B2807" s="27" t="s">
        <v>284</v>
      </c>
      <c r="C2807" s="28" t="s">
        <v>969</v>
      </c>
      <c r="D2807" s="29" t="s">
        <v>48</v>
      </c>
      <c r="E2807" s="30" t="s">
        <v>947</v>
      </c>
      <c r="F2807" s="28" t="s">
        <v>356</v>
      </c>
      <c r="G2807" s="30" t="s">
        <v>936</v>
      </c>
      <c r="H2807" t="str">
        <f>CONCATENATE(Prequal[[#This Row],[CITY]], ", ",Prequal[[#This Row],[STATE]])</f>
        <v>Chicago, IL</v>
      </c>
    </row>
    <row r="2808" spans="2:8" x14ac:dyDescent="0.2">
      <c r="B2808" s="27" t="s">
        <v>285</v>
      </c>
      <c r="C2808" s="28" t="s">
        <v>969</v>
      </c>
      <c r="D2808" s="29" t="s">
        <v>29</v>
      </c>
      <c r="E2808" s="30" t="s">
        <v>480</v>
      </c>
      <c r="F2808" s="28" t="s">
        <v>356</v>
      </c>
      <c r="G2808" s="30" t="s">
        <v>755</v>
      </c>
      <c r="H2808" t="str">
        <f>CONCATENATE(Prequal[[#This Row],[CITY]], ", ",Prequal[[#This Row],[STATE]])</f>
        <v>Vienna, IL</v>
      </c>
    </row>
    <row r="2809" spans="2:8" x14ac:dyDescent="0.2">
      <c r="B2809" s="27" t="s">
        <v>286</v>
      </c>
      <c r="C2809" s="28" t="s">
        <v>969</v>
      </c>
      <c r="D2809" s="29" t="s">
        <v>5</v>
      </c>
      <c r="E2809" s="30" t="s">
        <v>481</v>
      </c>
      <c r="F2809" s="28" t="s">
        <v>356</v>
      </c>
      <c r="G2809" s="30" t="s">
        <v>756</v>
      </c>
      <c r="H2809" t="str">
        <f>CONCATENATE(Prequal[[#This Row],[CITY]], ", ",Prequal[[#This Row],[STATE]])</f>
        <v>Alton, IL</v>
      </c>
    </row>
    <row r="2810" spans="2:8" x14ac:dyDescent="0.2">
      <c r="B2810" s="27" t="s">
        <v>286</v>
      </c>
      <c r="C2810" s="28" t="s">
        <v>969</v>
      </c>
      <c r="D2810" s="29" t="s">
        <v>8</v>
      </c>
      <c r="E2810" s="30" t="s">
        <v>481</v>
      </c>
      <c r="F2810" s="28" t="s">
        <v>356</v>
      </c>
      <c r="G2810" s="30" t="s">
        <v>756</v>
      </c>
      <c r="H2810" t="str">
        <f>CONCATENATE(Prequal[[#This Row],[CITY]], ", ",Prequal[[#This Row],[STATE]])</f>
        <v>Alton, IL</v>
      </c>
    </row>
    <row r="2811" spans="2:8" x14ac:dyDescent="0.2">
      <c r="B2811" s="27" t="s">
        <v>286</v>
      </c>
      <c r="C2811" s="28" t="s">
        <v>969</v>
      </c>
      <c r="D2811" s="29" t="s">
        <v>25</v>
      </c>
      <c r="E2811" s="30" t="s">
        <v>481</v>
      </c>
      <c r="F2811" s="28" t="s">
        <v>356</v>
      </c>
      <c r="G2811" s="30" t="s">
        <v>756</v>
      </c>
      <c r="H2811" t="str">
        <f>CONCATENATE(Prequal[[#This Row],[CITY]], ", ",Prequal[[#This Row],[STATE]])</f>
        <v>Alton, IL</v>
      </c>
    </row>
    <row r="2812" spans="2:8" x14ac:dyDescent="0.2">
      <c r="B2812" s="27" t="s">
        <v>286</v>
      </c>
      <c r="C2812" s="28" t="s">
        <v>969</v>
      </c>
      <c r="D2812" s="29" t="s">
        <v>9</v>
      </c>
      <c r="E2812" s="30" t="s">
        <v>481</v>
      </c>
      <c r="F2812" s="28" t="s">
        <v>356</v>
      </c>
      <c r="G2812" s="30" t="s">
        <v>756</v>
      </c>
      <c r="H2812" t="str">
        <f>CONCATENATE(Prequal[[#This Row],[CITY]], ", ",Prequal[[#This Row],[STATE]])</f>
        <v>Alton, IL</v>
      </c>
    </row>
    <row r="2813" spans="2:8" x14ac:dyDescent="0.2">
      <c r="B2813" s="27" t="s">
        <v>286</v>
      </c>
      <c r="C2813" s="28" t="s">
        <v>969</v>
      </c>
      <c r="D2813" s="29" t="s">
        <v>27</v>
      </c>
      <c r="E2813" s="30" t="s">
        <v>481</v>
      </c>
      <c r="F2813" s="28" t="s">
        <v>356</v>
      </c>
      <c r="G2813" s="30" t="s">
        <v>756</v>
      </c>
      <c r="H2813" t="str">
        <f>CONCATENATE(Prequal[[#This Row],[CITY]], ", ",Prequal[[#This Row],[STATE]])</f>
        <v>Alton, IL</v>
      </c>
    </row>
    <row r="2814" spans="2:8" x14ac:dyDescent="0.2">
      <c r="B2814" s="27" t="s">
        <v>286</v>
      </c>
      <c r="C2814" s="28" t="s">
        <v>969</v>
      </c>
      <c r="D2814" s="29" t="s">
        <v>10</v>
      </c>
      <c r="E2814" s="30" t="s">
        <v>481</v>
      </c>
      <c r="F2814" s="28" t="s">
        <v>356</v>
      </c>
      <c r="G2814" s="30" t="s">
        <v>756</v>
      </c>
      <c r="H2814" t="str">
        <f>CONCATENATE(Prequal[[#This Row],[CITY]], ", ",Prequal[[#This Row],[STATE]])</f>
        <v>Alton, IL</v>
      </c>
    </row>
    <row r="2815" spans="2:8" x14ac:dyDescent="0.2">
      <c r="B2815" s="27" t="s">
        <v>286</v>
      </c>
      <c r="C2815" s="28" t="s">
        <v>969</v>
      </c>
      <c r="D2815" s="29" t="s">
        <v>12</v>
      </c>
      <c r="E2815" s="30" t="s">
        <v>481</v>
      </c>
      <c r="F2815" s="28" t="s">
        <v>356</v>
      </c>
      <c r="G2815" s="30" t="s">
        <v>756</v>
      </c>
      <c r="H2815" t="str">
        <f>CONCATENATE(Prequal[[#This Row],[CITY]], ", ",Prequal[[#This Row],[STATE]])</f>
        <v>Alton, IL</v>
      </c>
    </row>
    <row r="2816" spans="2:8" x14ac:dyDescent="0.2">
      <c r="B2816" s="27" t="s">
        <v>286</v>
      </c>
      <c r="C2816" s="28" t="s">
        <v>969</v>
      </c>
      <c r="D2816" s="29" t="s">
        <v>29</v>
      </c>
      <c r="E2816" s="30" t="s">
        <v>481</v>
      </c>
      <c r="F2816" s="28" t="s">
        <v>356</v>
      </c>
      <c r="G2816" s="30" t="s">
        <v>756</v>
      </c>
      <c r="H2816" t="str">
        <f>CONCATENATE(Prequal[[#This Row],[CITY]], ", ",Prequal[[#This Row],[STATE]])</f>
        <v>Alton, IL</v>
      </c>
    </row>
    <row r="2817" spans="2:8" x14ac:dyDescent="0.2">
      <c r="B2817" s="27" t="s">
        <v>286</v>
      </c>
      <c r="C2817" s="28" t="s">
        <v>969</v>
      </c>
      <c r="D2817" s="29" t="s">
        <v>14</v>
      </c>
      <c r="E2817" s="30" t="s">
        <v>481</v>
      </c>
      <c r="F2817" s="28" t="s">
        <v>356</v>
      </c>
      <c r="G2817" s="30" t="s">
        <v>756</v>
      </c>
      <c r="H2817" t="str">
        <f>CONCATENATE(Prequal[[#This Row],[CITY]], ", ",Prequal[[#This Row],[STATE]])</f>
        <v>Alton, IL</v>
      </c>
    </row>
    <row r="2818" spans="2:8" x14ac:dyDescent="0.2">
      <c r="B2818" s="27" t="s">
        <v>286</v>
      </c>
      <c r="C2818" s="28" t="s">
        <v>969</v>
      </c>
      <c r="D2818" s="29" t="s">
        <v>15</v>
      </c>
      <c r="E2818" s="30" t="s">
        <v>481</v>
      </c>
      <c r="F2818" s="28" t="s">
        <v>356</v>
      </c>
      <c r="G2818" s="30" t="s">
        <v>756</v>
      </c>
      <c r="H2818" t="str">
        <f>CONCATENATE(Prequal[[#This Row],[CITY]], ", ",Prequal[[#This Row],[STATE]])</f>
        <v>Alton, IL</v>
      </c>
    </row>
    <row r="2819" spans="2:8" x14ac:dyDescent="0.2">
      <c r="B2819" s="27" t="s">
        <v>286</v>
      </c>
      <c r="C2819" s="28" t="s">
        <v>969</v>
      </c>
      <c r="D2819" s="29" t="s">
        <v>1004</v>
      </c>
      <c r="E2819" s="30" t="s">
        <v>481</v>
      </c>
      <c r="F2819" s="28" t="s">
        <v>356</v>
      </c>
      <c r="G2819" s="30" t="s">
        <v>756</v>
      </c>
      <c r="H2819" t="str">
        <f>CONCATENATE(Prequal[[#This Row],[CITY]], ", ",Prequal[[#This Row],[STATE]])</f>
        <v>Alton, IL</v>
      </c>
    </row>
    <row r="2820" spans="2:8" x14ac:dyDescent="0.2">
      <c r="B2820" s="27" t="s">
        <v>906</v>
      </c>
      <c r="C2820" s="28" t="s">
        <v>970</v>
      </c>
      <c r="D2820" s="29" t="s">
        <v>29</v>
      </c>
      <c r="E2820" s="30" t="s">
        <v>482</v>
      </c>
      <c r="F2820" s="28" t="s">
        <v>356</v>
      </c>
      <c r="G2820" s="30" t="s">
        <v>931</v>
      </c>
      <c r="H2820" t="str">
        <f>CONCATENATE(Prequal[[#This Row],[CITY]], ", ",Prequal[[#This Row],[STATE]])</f>
        <v>Edwardsville, IL</v>
      </c>
    </row>
    <row r="2821" spans="2:8" x14ac:dyDescent="0.2">
      <c r="B2821" s="27" t="s">
        <v>287</v>
      </c>
      <c r="C2821" s="28" t="s">
        <v>969</v>
      </c>
      <c r="D2821" s="29" t="s">
        <v>5</v>
      </c>
      <c r="E2821" s="30" t="s">
        <v>518</v>
      </c>
      <c r="F2821" s="28" t="s">
        <v>444</v>
      </c>
      <c r="G2821" s="30" t="s">
        <v>968</v>
      </c>
      <c r="H2821" t="str">
        <f>CONCATENATE(Prequal[[#This Row],[CITY]], ", ",Prequal[[#This Row],[STATE]])</f>
        <v>Bettendorf, IA</v>
      </c>
    </row>
    <row r="2822" spans="2:8" x14ac:dyDescent="0.2">
      <c r="B2822" s="27" t="s">
        <v>287</v>
      </c>
      <c r="C2822" s="28" t="s">
        <v>969</v>
      </c>
      <c r="D2822" s="29" t="s">
        <v>8</v>
      </c>
      <c r="E2822" s="30" t="s">
        <v>518</v>
      </c>
      <c r="F2822" s="28" t="s">
        <v>444</v>
      </c>
      <c r="G2822" s="30" t="s">
        <v>968</v>
      </c>
      <c r="H2822" t="str">
        <f>CONCATENATE(Prequal[[#This Row],[CITY]], ", ",Prequal[[#This Row],[STATE]])</f>
        <v>Bettendorf, IA</v>
      </c>
    </row>
    <row r="2823" spans="2:8" x14ac:dyDescent="0.2">
      <c r="B2823" s="27" t="s">
        <v>287</v>
      </c>
      <c r="C2823" s="28" t="s">
        <v>969</v>
      </c>
      <c r="D2823" s="29" t="s">
        <v>9</v>
      </c>
      <c r="E2823" s="30" t="s">
        <v>518</v>
      </c>
      <c r="F2823" s="28" t="s">
        <v>444</v>
      </c>
      <c r="G2823" s="30" t="s">
        <v>968</v>
      </c>
      <c r="H2823" t="str">
        <f>CONCATENATE(Prequal[[#This Row],[CITY]], ", ",Prequal[[#This Row],[STATE]])</f>
        <v>Bettendorf, IA</v>
      </c>
    </row>
    <row r="2824" spans="2:8" x14ac:dyDescent="0.2">
      <c r="B2824" s="27" t="s">
        <v>287</v>
      </c>
      <c r="C2824" s="28" t="s">
        <v>969</v>
      </c>
      <c r="D2824" s="29" t="s">
        <v>27</v>
      </c>
      <c r="E2824" s="30" t="s">
        <v>518</v>
      </c>
      <c r="F2824" s="28" t="s">
        <v>444</v>
      </c>
      <c r="G2824" s="30" t="s">
        <v>968</v>
      </c>
      <c r="H2824" t="str">
        <f>CONCATENATE(Prequal[[#This Row],[CITY]], ", ",Prequal[[#This Row],[STATE]])</f>
        <v>Bettendorf, IA</v>
      </c>
    </row>
    <row r="2825" spans="2:8" x14ac:dyDescent="0.2">
      <c r="B2825" s="27" t="s">
        <v>287</v>
      </c>
      <c r="C2825" s="28" t="s">
        <v>969</v>
      </c>
      <c r="D2825" s="29" t="s">
        <v>11</v>
      </c>
      <c r="E2825" s="30" t="s">
        <v>518</v>
      </c>
      <c r="F2825" s="28" t="s">
        <v>444</v>
      </c>
      <c r="G2825" s="30" t="s">
        <v>968</v>
      </c>
      <c r="H2825" t="str">
        <f>CONCATENATE(Prequal[[#This Row],[CITY]], ", ",Prequal[[#This Row],[STATE]])</f>
        <v>Bettendorf, IA</v>
      </c>
    </row>
    <row r="2826" spans="2:8" x14ac:dyDescent="0.2">
      <c r="B2826" s="27" t="s">
        <v>287</v>
      </c>
      <c r="C2826" s="28" t="s">
        <v>969</v>
      </c>
      <c r="D2826" s="29" t="s">
        <v>12</v>
      </c>
      <c r="E2826" s="30" t="s">
        <v>518</v>
      </c>
      <c r="F2826" s="28" t="s">
        <v>444</v>
      </c>
      <c r="G2826" s="30" t="s">
        <v>968</v>
      </c>
      <c r="H2826" t="str">
        <f>CONCATENATE(Prequal[[#This Row],[CITY]], ", ",Prequal[[#This Row],[STATE]])</f>
        <v>Bettendorf, IA</v>
      </c>
    </row>
    <row r="2827" spans="2:8" x14ac:dyDescent="0.2">
      <c r="B2827" s="27" t="s">
        <v>287</v>
      </c>
      <c r="C2827" s="28" t="s">
        <v>969</v>
      </c>
      <c r="D2827" s="29" t="s">
        <v>29</v>
      </c>
      <c r="E2827" s="30" t="s">
        <v>518</v>
      </c>
      <c r="F2827" s="28" t="s">
        <v>444</v>
      </c>
      <c r="G2827" s="30" t="s">
        <v>968</v>
      </c>
      <c r="H2827" t="str">
        <f>CONCATENATE(Prequal[[#This Row],[CITY]], ", ",Prequal[[#This Row],[STATE]])</f>
        <v>Bettendorf, IA</v>
      </c>
    </row>
    <row r="2828" spans="2:8" x14ac:dyDescent="0.2">
      <c r="B2828" s="27" t="s">
        <v>287</v>
      </c>
      <c r="C2828" s="28" t="s">
        <v>969</v>
      </c>
      <c r="D2828" s="29" t="s">
        <v>14</v>
      </c>
      <c r="E2828" s="30" t="s">
        <v>518</v>
      </c>
      <c r="F2828" s="28" t="s">
        <v>444</v>
      </c>
      <c r="G2828" s="30" t="s">
        <v>968</v>
      </c>
      <c r="H2828" t="str">
        <f>CONCATENATE(Prequal[[#This Row],[CITY]], ", ",Prequal[[#This Row],[STATE]])</f>
        <v>Bettendorf, IA</v>
      </c>
    </row>
    <row r="2829" spans="2:8" x14ac:dyDescent="0.2">
      <c r="B2829" s="27" t="s">
        <v>287</v>
      </c>
      <c r="C2829" s="28" t="s">
        <v>969</v>
      </c>
      <c r="D2829" s="29" t="s">
        <v>15</v>
      </c>
      <c r="E2829" s="30" t="s">
        <v>518</v>
      </c>
      <c r="F2829" s="28" t="s">
        <v>444</v>
      </c>
      <c r="G2829" s="30" t="s">
        <v>968</v>
      </c>
      <c r="H2829" t="str">
        <f>CONCATENATE(Prequal[[#This Row],[CITY]], ", ",Prequal[[#This Row],[STATE]])</f>
        <v>Bettendorf, IA</v>
      </c>
    </row>
    <row r="2830" spans="2:8" x14ac:dyDescent="0.2">
      <c r="B2830" s="27" t="s">
        <v>287</v>
      </c>
      <c r="C2830" s="28" t="s">
        <v>969</v>
      </c>
      <c r="D2830" s="29" t="s">
        <v>31</v>
      </c>
      <c r="E2830" s="30" t="s">
        <v>518</v>
      </c>
      <c r="F2830" s="28" t="s">
        <v>444</v>
      </c>
      <c r="G2830" s="30" t="s">
        <v>968</v>
      </c>
      <c r="H2830" t="str">
        <f>CONCATENATE(Prequal[[#This Row],[CITY]], ", ",Prequal[[#This Row],[STATE]])</f>
        <v>Bettendorf, IA</v>
      </c>
    </row>
    <row r="2831" spans="2:8" x14ac:dyDescent="0.2">
      <c r="B2831" s="27" t="s">
        <v>1121</v>
      </c>
      <c r="C2831" s="28" t="s">
        <v>969</v>
      </c>
      <c r="D2831" s="29" t="s">
        <v>70</v>
      </c>
      <c r="E2831" s="30" t="s">
        <v>1090</v>
      </c>
      <c r="F2831" s="28" t="s">
        <v>356</v>
      </c>
      <c r="G2831" s="30" t="s">
        <v>1122</v>
      </c>
      <c r="H2831" t="str">
        <f>CONCATENATE(Prequal[[#This Row],[CITY]], ", ",Prequal[[#This Row],[STATE]])</f>
        <v>Glen Ellyn, IL</v>
      </c>
    </row>
    <row r="2832" spans="2:8" x14ac:dyDescent="0.2">
      <c r="B2832" s="27" t="s">
        <v>523</v>
      </c>
      <c r="C2832" s="28" t="s">
        <v>969</v>
      </c>
      <c r="D2832" s="29" t="s">
        <v>4</v>
      </c>
      <c r="E2832" s="30" t="s">
        <v>397</v>
      </c>
      <c r="F2832" s="28" t="s">
        <v>378</v>
      </c>
      <c r="G2832" s="30" t="s">
        <v>757</v>
      </c>
      <c r="H2832" t="str">
        <f>CONCATENATE(Prequal[[#This Row],[CITY]], ", ",Prequal[[#This Row],[STATE]])</f>
        <v>Madison, WI</v>
      </c>
    </row>
    <row r="2833" spans="2:8" x14ac:dyDescent="0.2">
      <c r="B2833" s="27" t="s">
        <v>523</v>
      </c>
      <c r="C2833" s="28" t="s">
        <v>969</v>
      </c>
      <c r="D2833" s="29" t="s">
        <v>5</v>
      </c>
      <c r="E2833" s="30" t="s">
        <v>397</v>
      </c>
      <c r="F2833" s="28" t="s">
        <v>378</v>
      </c>
      <c r="G2833" s="30" t="s">
        <v>757</v>
      </c>
      <c r="H2833" t="str">
        <f>CONCATENATE(Prequal[[#This Row],[CITY]], ", ",Prequal[[#This Row],[STATE]])</f>
        <v>Madison, WI</v>
      </c>
    </row>
    <row r="2834" spans="2:8" x14ac:dyDescent="0.2">
      <c r="B2834" s="27" t="s">
        <v>523</v>
      </c>
      <c r="C2834" s="28" t="s">
        <v>969</v>
      </c>
      <c r="D2834" s="29" t="s">
        <v>27</v>
      </c>
      <c r="E2834" s="30" t="s">
        <v>397</v>
      </c>
      <c r="F2834" s="28" t="s">
        <v>378</v>
      </c>
      <c r="G2834" s="30" t="s">
        <v>757</v>
      </c>
      <c r="H2834" t="str">
        <f>CONCATENATE(Prequal[[#This Row],[CITY]], ", ",Prequal[[#This Row],[STATE]])</f>
        <v>Madison, WI</v>
      </c>
    </row>
    <row r="2835" spans="2:8" x14ac:dyDescent="0.2">
      <c r="B2835" s="27" t="s">
        <v>523</v>
      </c>
      <c r="C2835" s="28" t="s">
        <v>969</v>
      </c>
      <c r="D2835" s="29" t="s">
        <v>52</v>
      </c>
      <c r="E2835" s="30" t="s">
        <v>397</v>
      </c>
      <c r="F2835" s="28" t="s">
        <v>378</v>
      </c>
      <c r="G2835" s="30" t="s">
        <v>757</v>
      </c>
      <c r="H2835" t="str">
        <f>CONCATENATE(Prequal[[#This Row],[CITY]], ", ",Prequal[[#This Row],[STATE]])</f>
        <v>Madison, WI</v>
      </c>
    </row>
    <row r="2836" spans="2:8" x14ac:dyDescent="0.2">
      <c r="B2836" s="27" t="s">
        <v>523</v>
      </c>
      <c r="C2836" s="28" t="s">
        <v>969</v>
      </c>
      <c r="D2836" s="29" t="s">
        <v>14</v>
      </c>
      <c r="E2836" s="30" t="s">
        <v>397</v>
      </c>
      <c r="F2836" s="28" t="s">
        <v>378</v>
      </c>
      <c r="G2836" s="30" t="s">
        <v>757</v>
      </c>
      <c r="H2836" t="str">
        <f>CONCATENATE(Prequal[[#This Row],[CITY]], ", ",Prequal[[#This Row],[STATE]])</f>
        <v>Madison, WI</v>
      </c>
    </row>
    <row r="2837" spans="2:8" x14ac:dyDescent="0.2">
      <c r="B2837" s="27" t="s">
        <v>288</v>
      </c>
      <c r="C2837" s="28" t="s">
        <v>969</v>
      </c>
      <c r="D2837" s="29" t="s">
        <v>45</v>
      </c>
      <c r="E2837" s="30" t="s">
        <v>947</v>
      </c>
      <c r="F2837" s="28" t="s">
        <v>356</v>
      </c>
      <c r="G2837" s="30" t="s">
        <v>758</v>
      </c>
      <c r="H2837" t="str">
        <f>CONCATENATE(Prequal[[#This Row],[CITY]], ", ",Prequal[[#This Row],[STATE]])</f>
        <v>Chicago, IL</v>
      </c>
    </row>
    <row r="2838" spans="2:8" x14ac:dyDescent="0.2">
      <c r="B2838" s="27" t="s">
        <v>288</v>
      </c>
      <c r="C2838" s="28" t="s">
        <v>969</v>
      </c>
      <c r="D2838" s="29" t="s">
        <v>46</v>
      </c>
      <c r="E2838" s="30" t="s">
        <v>947</v>
      </c>
      <c r="F2838" s="28" t="s">
        <v>356</v>
      </c>
      <c r="G2838" s="30" t="s">
        <v>758</v>
      </c>
      <c r="H2838" t="str">
        <f>CONCATENATE(Prequal[[#This Row],[CITY]], ", ",Prequal[[#This Row],[STATE]])</f>
        <v>Chicago, IL</v>
      </c>
    </row>
    <row r="2839" spans="2:8" x14ac:dyDescent="0.2">
      <c r="B2839" s="27" t="s">
        <v>288</v>
      </c>
      <c r="C2839" s="28" t="s">
        <v>969</v>
      </c>
      <c r="D2839" s="29" t="s">
        <v>47</v>
      </c>
      <c r="E2839" s="30" t="s">
        <v>947</v>
      </c>
      <c r="F2839" s="28" t="s">
        <v>356</v>
      </c>
      <c r="G2839" s="30" t="s">
        <v>758</v>
      </c>
      <c r="H2839" t="str">
        <f>CONCATENATE(Prequal[[#This Row],[CITY]], ", ",Prequal[[#This Row],[STATE]])</f>
        <v>Chicago, IL</v>
      </c>
    </row>
    <row r="2840" spans="2:8" x14ac:dyDescent="0.2">
      <c r="B2840" s="27" t="s">
        <v>288</v>
      </c>
      <c r="C2840" s="28" t="s">
        <v>969</v>
      </c>
      <c r="D2840" s="29" t="s">
        <v>31</v>
      </c>
      <c r="E2840" s="30" t="s">
        <v>947</v>
      </c>
      <c r="F2840" s="28" t="s">
        <v>356</v>
      </c>
      <c r="G2840" s="30" t="s">
        <v>758</v>
      </c>
      <c r="H2840" t="str">
        <f>CONCATENATE(Prequal[[#This Row],[CITY]], ", ",Prequal[[#This Row],[STATE]])</f>
        <v>Chicago, IL</v>
      </c>
    </row>
    <row r="2841" spans="2:8" x14ac:dyDescent="0.2">
      <c r="B2841" s="27" t="s">
        <v>288</v>
      </c>
      <c r="C2841" s="28" t="s">
        <v>969</v>
      </c>
      <c r="D2841" s="29" t="s">
        <v>32</v>
      </c>
      <c r="E2841" s="30" t="s">
        <v>947</v>
      </c>
      <c r="F2841" s="28" t="s">
        <v>356</v>
      </c>
      <c r="G2841" s="30" t="s">
        <v>758</v>
      </c>
      <c r="H2841" t="str">
        <f>CONCATENATE(Prequal[[#This Row],[CITY]], ", ",Prequal[[#This Row],[STATE]])</f>
        <v>Chicago, IL</v>
      </c>
    </row>
    <row r="2842" spans="2:8" x14ac:dyDescent="0.2">
      <c r="B2842" s="27" t="s">
        <v>288</v>
      </c>
      <c r="C2842" s="28" t="s">
        <v>969</v>
      </c>
      <c r="D2842" s="29" t="s">
        <v>38</v>
      </c>
      <c r="E2842" s="30" t="s">
        <v>947</v>
      </c>
      <c r="F2842" s="28" t="s">
        <v>356</v>
      </c>
      <c r="G2842" s="30" t="s">
        <v>758</v>
      </c>
      <c r="H2842" t="str">
        <f>CONCATENATE(Prequal[[#This Row],[CITY]], ", ",Prequal[[#This Row],[STATE]])</f>
        <v>Chicago, IL</v>
      </c>
    </row>
    <row r="2843" spans="2:8" x14ac:dyDescent="0.2">
      <c r="B2843" s="27" t="s">
        <v>289</v>
      </c>
      <c r="C2843" s="28" t="s">
        <v>970</v>
      </c>
      <c r="D2843" s="29" t="s">
        <v>4</v>
      </c>
      <c r="E2843" s="30" t="s">
        <v>947</v>
      </c>
      <c r="F2843" s="28" t="s">
        <v>356</v>
      </c>
      <c r="G2843" s="30" t="s">
        <v>759</v>
      </c>
      <c r="H2843" t="str">
        <f>CONCATENATE(Prequal[[#This Row],[CITY]], ", ",Prequal[[#This Row],[STATE]])</f>
        <v>Chicago, IL</v>
      </c>
    </row>
    <row r="2844" spans="2:8" x14ac:dyDescent="0.2">
      <c r="B2844" s="27" t="s">
        <v>289</v>
      </c>
      <c r="C2844" s="28" t="s">
        <v>970</v>
      </c>
      <c r="D2844" s="29" t="s">
        <v>5</v>
      </c>
      <c r="E2844" s="30" t="s">
        <v>947</v>
      </c>
      <c r="F2844" s="28" t="s">
        <v>356</v>
      </c>
      <c r="G2844" s="30" t="s">
        <v>759</v>
      </c>
      <c r="H2844" t="str">
        <f>CONCATENATE(Prequal[[#This Row],[CITY]], ", ",Prequal[[#This Row],[STATE]])</f>
        <v>Chicago, IL</v>
      </c>
    </row>
    <row r="2845" spans="2:8" x14ac:dyDescent="0.2">
      <c r="B2845" s="27" t="s">
        <v>289</v>
      </c>
      <c r="C2845" s="28" t="s">
        <v>970</v>
      </c>
      <c r="D2845" s="29" t="s">
        <v>7</v>
      </c>
      <c r="E2845" s="30" t="s">
        <v>947</v>
      </c>
      <c r="F2845" s="28" t="s">
        <v>356</v>
      </c>
      <c r="G2845" s="30" t="s">
        <v>759</v>
      </c>
      <c r="H2845" t="str">
        <f>CONCATENATE(Prequal[[#This Row],[CITY]], ", ",Prequal[[#This Row],[STATE]])</f>
        <v>Chicago, IL</v>
      </c>
    </row>
    <row r="2846" spans="2:8" x14ac:dyDescent="0.2">
      <c r="B2846" s="27" t="s">
        <v>289</v>
      </c>
      <c r="C2846" s="28" t="s">
        <v>970</v>
      </c>
      <c r="D2846" s="29" t="s">
        <v>8</v>
      </c>
      <c r="E2846" s="30" t="s">
        <v>947</v>
      </c>
      <c r="F2846" s="28" t="s">
        <v>356</v>
      </c>
      <c r="G2846" s="30" t="s">
        <v>759</v>
      </c>
      <c r="H2846" t="str">
        <f>CONCATENATE(Prequal[[#This Row],[CITY]], ", ",Prequal[[#This Row],[STATE]])</f>
        <v>Chicago, IL</v>
      </c>
    </row>
    <row r="2847" spans="2:8" x14ac:dyDescent="0.2">
      <c r="B2847" s="27" t="s">
        <v>289</v>
      </c>
      <c r="C2847" s="28" t="s">
        <v>970</v>
      </c>
      <c r="D2847" s="29" t="s">
        <v>9</v>
      </c>
      <c r="E2847" s="30" t="s">
        <v>947</v>
      </c>
      <c r="F2847" s="28" t="s">
        <v>356</v>
      </c>
      <c r="G2847" s="30" t="s">
        <v>759</v>
      </c>
      <c r="H2847" t="str">
        <f>CONCATENATE(Prequal[[#This Row],[CITY]], ", ",Prequal[[#This Row],[STATE]])</f>
        <v>Chicago, IL</v>
      </c>
    </row>
    <row r="2848" spans="2:8" x14ac:dyDescent="0.2">
      <c r="B2848" s="27" t="s">
        <v>289</v>
      </c>
      <c r="C2848" s="28" t="s">
        <v>970</v>
      </c>
      <c r="D2848" s="29" t="s">
        <v>26</v>
      </c>
      <c r="E2848" s="30" t="s">
        <v>947</v>
      </c>
      <c r="F2848" s="28" t="s">
        <v>356</v>
      </c>
      <c r="G2848" s="30" t="s">
        <v>759</v>
      </c>
      <c r="H2848" t="str">
        <f>CONCATENATE(Prequal[[#This Row],[CITY]], ", ",Prequal[[#This Row],[STATE]])</f>
        <v>Chicago, IL</v>
      </c>
    </row>
    <row r="2849" spans="2:8" x14ac:dyDescent="0.2">
      <c r="B2849" s="27" t="s">
        <v>289</v>
      </c>
      <c r="C2849" s="28" t="s">
        <v>970</v>
      </c>
      <c r="D2849" s="29" t="s">
        <v>20</v>
      </c>
      <c r="E2849" s="30" t="s">
        <v>947</v>
      </c>
      <c r="F2849" s="28" t="s">
        <v>356</v>
      </c>
      <c r="G2849" s="30" t="s">
        <v>759</v>
      </c>
      <c r="H2849" t="str">
        <f>CONCATENATE(Prequal[[#This Row],[CITY]], ", ",Prequal[[#This Row],[STATE]])</f>
        <v>Chicago, IL</v>
      </c>
    </row>
    <row r="2850" spans="2:8" x14ac:dyDescent="0.2">
      <c r="B2850" s="27" t="s">
        <v>289</v>
      </c>
      <c r="C2850" s="28" t="s">
        <v>970</v>
      </c>
      <c r="D2850" s="29" t="s">
        <v>27</v>
      </c>
      <c r="E2850" s="30" t="s">
        <v>947</v>
      </c>
      <c r="F2850" s="28" t="s">
        <v>356</v>
      </c>
      <c r="G2850" s="30" t="s">
        <v>759</v>
      </c>
      <c r="H2850" t="str">
        <f>CONCATENATE(Prequal[[#This Row],[CITY]], ", ",Prequal[[#This Row],[STATE]])</f>
        <v>Chicago, IL</v>
      </c>
    </row>
    <row r="2851" spans="2:8" x14ac:dyDescent="0.2">
      <c r="B2851" s="27" t="s">
        <v>289</v>
      </c>
      <c r="C2851" s="28" t="s">
        <v>970</v>
      </c>
      <c r="D2851" s="29" t="s">
        <v>10</v>
      </c>
      <c r="E2851" s="30" t="s">
        <v>947</v>
      </c>
      <c r="F2851" s="28" t="s">
        <v>356</v>
      </c>
      <c r="G2851" s="30" t="s">
        <v>759</v>
      </c>
      <c r="H2851" t="str">
        <f>CONCATENATE(Prequal[[#This Row],[CITY]], ", ",Prequal[[#This Row],[STATE]])</f>
        <v>Chicago, IL</v>
      </c>
    </row>
    <row r="2852" spans="2:8" x14ac:dyDescent="0.2">
      <c r="B2852" s="27" t="s">
        <v>289</v>
      </c>
      <c r="C2852" s="28" t="s">
        <v>970</v>
      </c>
      <c r="D2852" s="29" t="s">
        <v>21</v>
      </c>
      <c r="E2852" s="30" t="s">
        <v>947</v>
      </c>
      <c r="F2852" s="28" t="s">
        <v>356</v>
      </c>
      <c r="G2852" s="30" t="s">
        <v>759</v>
      </c>
      <c r="H2852" t="str">
        <f>CONCATENATE(Prequal[[#This Row],[CITY]], ", ",Prequal[[#This Row],[STATE]])</f>
        <v>Chicago, IL</v>
      </c>
    </row>
    <row r="2853" spans="2:8" x14ac:dyDescent="0.2">
      <c r="B2853" s="27" t="s">
        <v>289</v>
      </c>
      <c r="C2853" s="28" t="s">
        <v>970</v>
      </c>
      <c r="D2853" s="29" t="s">
        <v>22</v>
      </c>
      <c r="E2853" s="30" t="s">
        <v>947</v>
      </c>
      <c r="F2853" s="28" t="s">
        <v>356</v>
      </c>
      <c r="G2853" s="30" t="s">
        <v>759</v>
      </c>
      <c r="H2853" t="str">
        <f>CONCATENATE(Prequal[[#This Row],[CITY]], ", ",Prequal[[#This Row],[STATE]])</f>
        <v>Chicago, IL</v>
      </c>
    </row>
    <row r="2854" spans="2:8" x14ac:dyDescent="0.2">
      <c r="B2854" s="27" t="s">
        <v>289</v>
      </c>
      <c r="C2854" s="28" t="s">
        <v>970</v>
      </c>
      <c r="D2854" s="29" t="s">
        <v>37</v>
      </c>
      <c r="E2854" s="30" t="s">
        <v>947</v>
      </c>
      <c r="F2854" s="28" t="s">
        <v>356</v>
      </c>
      <c r="G2854" s="30" t="s">
        <v>759</v>
      </c>
      <c r="H2854" t="str">
        <f>CONCATENATE(Prequal[[#This Row],[CITY]], ", ",Prequal[[#This Row],[STATE]])</f>
        <v>Chicago, IL</v>
      </c>
    </row>
    <row r="2855" spans="2:8" x14ac:dyDescent="0.2">
      <c r="B2855" s="27" t="s">
        <v>289</v>
      </c>
      <c r="C2855" s="28" t="s">
        <v>970</v>
      </c>
      <c r="D2855" s="29" t="s">
        <v>13</v>
      </c>
      <c r="E2855" s="30" t="s">
        <v>947</v>
      </c>
      <c r="F2855" s="28" t="s">
        <v>356</v>
      </c>
      <c r="G2855" s="30" t="s">
        <v>759</v>
      </c>
      <c r="H2855" t="str">
        <f>CONCATENATE(Prequal[[#This Row],[CITY]], ", ",Prequal[[#This Row],[STATE]])</f>
        <v>Chicago, IL</v>
      </c>
    </row>
    <row r="2856" spans="2:8" x14ac:dyDescent="0.2">
      <c r="B2856" s="27" t="s">
        <v>289</v>
      </c>
      <c r="C2856" s="28" t="s">
        <v>970</v>
      </c>
      <c r="D2856" s="29" t="s">
        <v>14</v>
      </c>
      <c r="E2856" s="30" t="s">
        <v>947</v>
      </c>
      <c r="F2856" s="28" t="s">
        <v>356</v>
      </c>
      <c r="G2856" s="30" t="s">
        <v>759</v>
      </c>
      <c r="H2856" t="str">
        <f>CONCATENATE(Prequal[[#This Row],[CITY]], ", ",Prequal[[#This Row],[STATE]])</f>
        <v>Chicago, IL</v>
      </c>
    </row>
    <row r="2857" spans="2:8" x14ac:dyDescent="0.2">
      <c r="B2857" s="27" t="s">
        <v>289</v>
      </c>
      <c r="C2857" s="28" t="s">
        <v>970</v>
      </c>
      <c r="D2857" s="29" t="s">
        <v>15</v>
      </c>
      <c r="E2857" s="30" t="s">
        <v>947</v>
      </c>
      <c r="F2857" s="28" t="s">
        <v>356</v>
      </c>
      <c r="G2857" s="30" t="s">
        <v>759</v>
      </c>
      <c r="H2857" t="str">
        <f>CONCATENATE(Prequal[[#This Row],[CITY]], ", ",Prequal[[#This Row],[STATE]])</f>
        <v>Chicago, IL</v>
      </c>
    </row>
    <row r="2858" spans="2:8" x14ac:dyDescent="0.2">
      <c r="B2858" s="27" t="s">
        <v>980</v>
      </c>
      <c r="C2858" s="28" t="s">
        <v>970</v>
      </c>
      <c r="D2858" s="29" t="s">
        <v>11</v>
      </c>
      <c r="E2858" s="30" t="s">
        <v>947</v>
      </c>
      <c r="F2858" s="28" t="s">
        <v>356</v>
      </c>
      <c r="G2858" s="30" t="s">
        <v>981</v>
      </c>
      <c r="H2858" t="str">
        <f>CONCATENATE(Prequal[[#This Row],[CITY]], ", ",Prequal[[#This Row],[STATE]])</f>
        <v>Chicago, IL</v>
      </c>
    </row>
    <row r="2859" spans="2:8" x14ac:dyDescent="0.2">
      <c r="B2859" s="27" t="s">
        <v>1106</v>
      </c>
      <c r="C2859" s="28" t="s">
        <v>969</v>
      </c>
      <c r="D2859" s="29" t="s">
        <v>10</v>
      </c>
      <c r="E2859" s="30" t="s">
        <v>370</v>
      </c>
      <c r="F2859" s="28" t="s">
        <v>356</v>
      </c>
      <c r="G2859" s="30" t="s">
        <v>1107</v>
      </c>
      <c r="H2859" t="str">
        <f>CONCATENATE(Prequal[[#This Row],[CITY]], ", ",Prequal[[#This Row],[STATE]])</f>
        <v>Schaumburg, IL</v>
      </c>
    </row>
    <row r="2860" spans="2:8" x14ac:dyDescent="0.2">
      <c r="B2860" s="27" t="s">
        <v>290</v>
      </c>
      <c r="C2860" s="28" t="s">
        <v>969</v>
      </c>
      <c r="D2860" s="29" t="s">
        <v>5</v>
      </c>
      <c r="E2860" s="30" t="s">
        <v>384</v>
      </c>
      <c r="F2860" s="28" t="s">
        <v>356</v>
      </c>
      <c r="G2860" s="30" t="s">
        <v>760</v>
      </c>
      <c r="H2860" t="str">
        <f>CONCATENATE(Prequal[[#This Row],[CITY]], ", ",Prequal[[#This Row],[STATE]])</f>
        <v>Decatur, IL</v>
      </c>
    </row>
    <row r="2861" spans="2:8" x14ac:dyDescent="0.2">
      <c r="B2861" s="27" t="s">
        <v>290</v>
      </c>
      <c r="C2861" s="28" t="s">
        <v>969</v>
      </c>
      <c r="D2861" s="29" t="s">
        <v>29</v>
      </c>
      <c r="E2861" s="30" t="s">
        <v>384</v>
      </c>
      <c r="F2861" s="28" t="s">
        <v>356</v>
      </c>
      <c r="G2861" s="30" t="s">
        <v>760</v>
      </c>
      <c r="H2861" t="str">
        <f>CONCATENATE(Prequal[[#This Row],[CITY]], ", ",Prequal[[#This Row],[STATE]])</f>
        <v>Decatur, IL</v>
      </c>
    </row>
    <row r="2862" spans="2:8" x14ac:dyDescent="0.2">
      <c r="B2862" s="27" t="s">
        <v>291</v>
      </c>
      <c r="C2862" s="28" t="s">
        <v>969</v>
      </c>
      <c r="D2862" s="29" t="s">
        <v>11</v>
      </c>
      <c r="E2862" s="30" t="s">
        <v>947</v>
      </c>
      <c r="F2862" s="28" t="s">
        <v>356</v>
      </c>
      <c r="G2862" s="30" t="s">
        <v>1108</v>
      </c>
      <c r="H2862" t="str">
        <f>CONCATENATE(Prequal[[#This Row],[CITY]], ", ",Prequal[[#This Row],[STATE]])</f>
        <v>Chicago, IL</v>
      </c>
    </row>
    <row r="2863" spans="2:8" x14ac:dyDescent="0.2">
      <c r="B2863" s="27" t="s">
        <v>291</v>
      </c>
      <c r="C2863" s="28" t="s">
        <v>969</v>
      </c>
      <c r="D2863" s="29" t="s">
        <v>15</v>
      </c>
      <c r="E2863" s="30" t="s">
        <v>947</v>
      </c>
      <c r="F2863" s="28" t="s">
        <v>356</v>
      </c>
      <c r="G2863" s="30" t="s">
        <v>1108</v>
      </c>
      <c r="H2863" t="str">
        <f>CONCATENATE(Prequal[[#This Row],[CITY]], ", ",Prequal[[#This Row],[STATE]])</f>
        <v>Chicago, IL</v>
      </c>
    </row>
    <row r="2864" spans="2:8" x14ac:dyDescent="0.2">
      <c r="B2864" s="27" t="s">
        <v>292</v>
      </c>
      <c r="C2864" s="28" t="s">
        <v>969</v>
      </c>
      <c r="D2864" s="29" t="s">
        <v>46</v>
      </c>
      <c r="E2864" s="30" t="s">
        <v>373</v>
      </c>
      <c r="F2864" s="28" t="s">
        <v>356</v>
      </c>
      <c r="G2864" s="30" t="s">
        <v>761</v>
      </c>
      <c r="H2864" t="str">
        <f>CONCATENATE(Prequal[[#This Row],[CITY]], ", ",Prequal[[#This Row],[STATE]])</f>
        <v>Arlington Heights, IL</v>
      </c>
    </row>
    <row r="2865" spans="2:8" x14ac:dyDescent="0.2">
      <c r="B2865" s="27" t="s">
        <v>292</v>
      </c>
      <c r="C2865" s="28" t="s">
        <v>969</v>
      </c>
      <c r="D2865" s="29" t="s">
        <v>47</v>
      </c>
      <c r="E2865" s="30" t="s">
        <v>373</v>
      </c>
      <c r="F2865" s="28" t="s">
        <v>356</v>
      </c>
      <c r="G2865" s="30" t="s">
        <v>761</v>
      </c>
      <c r="H2865" t="str">
        <f>CONCATENATE(Prequal[[#This Row],[CITY]], ", ",Prequal[[#This Row],[STATE]])</f>
        <v>Arlington Heights, IL</v>
      </c>
    </row>
    <row r="2866" spans="2:8" x14ac:dyDescent="0.2">
      <c r="B2866" s="27" t="s">
        <v>292</v>
      </c>
      <c r="C2866" s="28" t="s">
        <v>969</v>
      </c>
      <c r="D2866" s="29" t="s">
        <v>48</v>
      </c>
      <c r="E2866" s="30" t="s">
        <v>373</v>
      </c>
      <c r="F2866" s="28" t="s">
        <v>356</v>
      </c>
      <c r="G2866" s="30" t="s">
        <v>761</v>
      </c>
      <c r="H2866" t="str">
        <f>CONCATENATE(Prequal[[#This Row],[CITY]], ", ",Prequal[[#This Row],[STATE]])</f>
        <v>Arlington Heights, IL</v>
      </c>
    </row>
    <row r="2867" spans="2:8" x14ac:dyDescent="0.2">
      <c r="B2867" s="27" t="s">
        <v>292</v>
      </c>
      <c r="C2867" s="28" t="s">
        <v>969</v>
      </c>
      <c r="D2867" s="29" t="s">
        <v>107</v>
      </c>
      <c r="E2867" s="30" t="s">
        <v>373</v>
      </c>
      <c r="F2867" s="28" t="s">
        <v>356</v>
      </c>
      <c r="G2867" s="30" t="s">
        <v>761</v>
      </c>
      <c r="H2867" t="str">
        <f>CONCATENATE(Prequal[[#This Row],[CITY]], ", ",Prequal[[#This Row],[STATE]])</f>
        <v>Arlington Heights, IL</v>
      </c>
    </row>
    <row r="2868" spans="2:8" x14ac:dyDescent="0.2">
      <c r="B2868" s="27" t="s">
        <v>292</v>
      </c>
      <c r="C2868" s="28" t="s">
        <v>969</v>
      </c>
      <c r="D2868" s="29" t="s">
        <v>108</v>
      </c>
      <c r="E2868" s="30" t="s">
        <v>373</v>
      </c>
      <c r="F2868" s="28" t="s">
        <v>356</v>
      </c>
      <c r="G2868" s="30" t="s">
        <v>761</v>
      </c>
      <c r="H2868" t="str">
        <f>CONCATENATE(Prequal[[#This Row],[CITY]], ", ",Prequal[[#This Row],[STATE]])</f>
        <v>Arlington Heights, IL</v>
      </c>
    </row>
    <row r="2869" spans="2:8" x14ac:dyDescent="0.2">
      <c r="B2869" s="27" t="s">
        <v>293</v>
      </c>
      <c r="C2869" s="28" t="s">
        <v>969</v>
      </c>
      <c r="D2869" s="29" t="s">
        <v>5</v>
      </c>
      <c r="E2869" s="30" t="s">
        <v>947</v>
      </c>
      <c r="F2869" s="28" t="s">
        <v>356</v>
      </c>
      <c r="G2869" s="30" t="s">
        <v>762</v>
      </c>
      <c r="H2869" t="str">
        <f>CONCATENATE(Prequal[[#This Row],[CITY]], ", ",Prequal[[#This Row],[STATE]])</f>
        <v>Chicago, IL</v>
      </c>
    </row>
    <row r="2870" spans="2:8" x14ac:dyDescent="0.2">
      <c r="B2870" s="27" t="s">
        <v>293</v>
      </c>
      <c r="C2870" s="28" t="s">
        <v>969</v>
      </c>
      <c r="D2870" s="29" t="s">
        <v>8</v>
      </c>
      <c r="E2870" s="30" t="s">
        <v>947</v>
      </c>
      <c r="F2870" s="28" t="s">
        <v>356</v>
      </c>
      <c r="G2870" s="30" t="s">
        <v>762</v>
      </c>
      <c r="H2870" t="str">
        <f>CONCATENATE(Prequal[[#This Row],[CITY]], ", ",Prequal[[#This Row],[STATE]])</f>
        <v>Chicago, IL</v>
      </c>
    </row>
    <row r="2871" spans="2:8" x14ac:dyDescent="0.2">
      <c r="B2871" s="27" t="s">
        <v>293</v>
      </c>
      <c r="C2871" s="28" t="s">
        <v>969</v>
      </c>
      <c r="D2871" s="29" t="s">
        <v>9</v>
      </c>
      <c r="E2871" s="30" t="s">
        <v>947</v>
      </c>
      <c r="F2871" s="28" t="s">
        <v>356</v>
      </c>
      <c r="G2871" s="30" t="s">
        <v>762</v>
      </c>
      <c r="H2871" t="str">
        <f>CONCATENATE(Prequal[[#This Row],[CITY]], ", ",Prequal[[#This Row],[STATE]])</f>
        <v>Chicago, IL</v>
      </c>
    </row>
    <row r="2872" spans="2:8" x14ac:dyDescent="0.2">
      <c r="B2872" s="27" t="s">
        <v>293</v>
      </c>
      <c r="C2872" s="28" t="s">
        <v>969</v>
      </c>
      <c r="D2872" s="29" t="s">
        <v>20</v>
      </c>
      <c r="E2872" s="30" t="s">
        <v>947</v>
      </c>
      <c r="F2872" s="28" t="s">
        <v>356</v>
      </c>
      <c r="G2872" s="30" t="s">
        <v>762</v>
      </c>
      <c r="H2872" t="str">
        <f>CONCATENATE(Prequal[[#This Row],[CITY]], ", ",Prequal[[#This Row],[STATE]])</f>
        <v>Chicago, IL</v>
      </c>
    </row>
    <row r="2873" spans="2:8" x14ac:dyDescent="0.2">
      <c r="B2873" s="27" t="s">
        <v>293</v>
      </c>
      <c r="C2873" s="28" t="s">
        <v>969</v>
      </c>
      <c r="D2873" s="29" t="s">
        <v>27</v>
      </c>
      <c r="E2873" s="30" t="s">
        <v>947</v>
      </c>
      <c r="F2873" s="28" t="s">
        <v>356</v>
      </c>
      <c r="G2873" s="30" t="s">
        <v>762</v>
      </c>
      <c r="H2873" t="str">
        <f>CONCATENATE(Prequal[[#This Row],[CITY]], ", ",Prequal[[#This Row],[STATE]])</f>
        <v>Chicago, IL</v>
      </c>
    </row>
    <row r="2874" spans="2:8" x14ac:dyDescent="0.2">
      <c r="B2874" s="27" t="s">
        <v>293</v>
      </c>
      <c r="C2874" s="28" t="s">
        <v>969</v>
      </c>
      <c r="D2874" s="29" t="s">
        <v>10</v>
      </c>
      <c r="E2874" s="30" t="s">
        <v>947</v>
      </c>
      <c r="F2874" s="28" t="s">
        <v>356</v>
      </c>
      <c r="G2874" s="30" t="s">
        <v>762</v>
      </c>
      <c r="H2874" t="str">
        <f>CONCATENATE(Prequal[[#This Row],[CITY]], ", ",Prequal[[#This Row],[STATE]])</f>
        <v>Chicago, IL</v>
      </c>
    </row>
    <row r="2875" spans="2:8" x14ac:dyDescent="0.2">
      <c r="B2875" s="27" t="s">
        <v>293</v>
      </c>
      <c r="C2875" s="28" t="s">
        <v>969</v>
      </c>
      <c r="D2875" s="29" t="s">
        <v>21</v>
      </c>
      <c r="E2875" s="30" t="s">
        <v>947</v>
      </c>
      <c r="F2875" s="28" t="s">
        <v>356</v>
      </c>
      <c r="G2875" s="30" t="s">
        <v>762</v>
      </c>
      <c r="H2875" t="str">
        <f>CONCATENATE(Prequal[[#This Row],[CITY]], ", ",Prequal[[#This Row],[STATE]])</f>
        <v>Chicago, IL</v>
      </c>
    </row>
    <row r="2876" spans="2:8" x14ac:dyDescent="0.2">
      <c r="B2876" s="27" t="s">
        <v>293</v>
      </c>
      <c r="C2876" s="28" t="s">
        <v>969</v>
      </c>
      <c r="D2876" s="29" t="s">
        <v>12</v>
      </c>
      <c r="E2876" s="30" t="s">
        <v>947</v>
      </c>
      <c r="F2876" s="28" t="s">
        <v>356</v>
      </c>
      <c r="G2876" s="30" t="s">
        <v>762</v>
      </c>
      <c r="H2876" t="str">
        <f>CONCATENATE(Prequal[[#This Row],[CITY]], ", ",Prequal[[#This Row],[STATE]])</f>
        <v>Chicago, IL</v>
      </c>
    </row>
    <row r="2877" spans="2:8" x14ac:dyDescent="0.2">
      <c r="B2877" s="27" t="s">
        <v>293</v>
      </c>
      <c r="C2877" s="28" t="s">
        <v>969</v>
      </c>
      <c r="D2877" s="29" t="s">
        <v>37</v>
      </c>
      <c r="E2877" s="30" t="s">
        <v>947</v>
      </c>
      <c r="F2877" s="28" t="s">
        <v>356</v>
      </c>
      <c r="G2877" s="30" t="s">
        <v>762</v>
      </c>
      <c r="H2877" t="str">
        <f>CONCATENATE(Prequal[[#This Row],[CITY]], ", ",Prequal[[#This Row],[STATE]])</f>
        <v>Chicago, IL</v>
      </c>
    </row>
    <row r="2878" spans="2:8" x14ac:dyDescent="0.2">
      <c r="B2878" s="27" t="s">
        <v>293</v>
      </c>
      <c r="C2878" s="28" t="s">
        <v>969</v>
      </c>
      <c r="D2878" s="29" t="s">
        <v>14</v>
      </c>
      <c r="E2878" s="30" t="s">
        <v>947</v>
      </c>
      <c r="F2878" s="28" t="s">
        <v>356</v>
      </c>
      <c r="G2878" s="30" t="s">
        <v>762</v>
      </c>
      <c r="H2878" t="str">
        <f>CONCATENATE(Prequal[[#This Row],[CITY]], ", ",Prequal[[#This Row],[STATE]])</f>
        <v>Chicago, IL</v>
      </c>
    </row>
    <row r="2879" spans="2:8" x14ac:dyDescent="0.2">
      <c r="B2879" s="27" t="s">
        <v>293</v>
      </c>
      <c r="C2879" s="28" t="s">
        <v>969</v>
      </c>
      <c r="D2879" s="29" t="s">
        <v>15</v>
      </c>
      <c r="E2879" s="30" t="s">
        <v>947</v>
      </c>
      <c r="F2879" s="28" t="s">
        <v>356</v>
      </c>
      <c r="G2879" s="30" t="s">
        <v>762</v>
      </c>
      <c r="H2879" t="str">
        <f>CONCATENATE(Prequal[[#This Row],[CITY]], ", ",Prequal[[#This Row],[STATE]])</f>
        <v>Chicago, IL</v>
      </c>
    </row>
    <row r="2880" spans="2:8" x14ac:dyDescent="0.2">
      <c r="B2880" s="27" t="s">
        <v>294</v>
      </c>
      <c r="C2880" s="28" t="s">
        <v>969</v>
      </c>
      <c r="D2880" s="29" t="s">
        <v>5</v>
      </c>
      <c r="E2880" s="30" t="s">
        <v>391</v>
      </c>
      <c r="F2880" s="28" t="s">
        <v>356</v>
      </c>
      <c r="G2880" s="30" t="s">
        <v>763</v>
      </c>
      <c r="H2880" t="str">
        <f>CONCATENATE(Prequal[[#This Row],[CITY]], ", ",Prequal[[#This Row],[STATE]])</f>
        <v>Rosemont, IL</v>
      </c>
    </row>
    <row r="2881" spans="2:8" x14ac:dyDescent="0.2">
      <c r="B2881" s="27" t="s">
        <v>294</v>
      </c>
      <c r="C2881" s="28" t="s">
        <v>969</v>
      </c>
      <c r="D2881" s="29" t="s">
        <v>10</v>
      </c>
      <c r="E2881" s="30" t="s">
        <v>391</v>
      </c>
      <c r="F2881" s="28" t="s">
        <v>356</v>
      </c>
      <c r="G2881" s="30" t="s">
        <v>763</v>
      </c>
      <c r="H2881" t="str">
        <f>CONCATENATE(Prequal[[#This Row],[CITY]], ", ",Prequal[[#This Row],[STATE]])</f>
        <v>Rosemont, IL</v>
      </c>
    </row>
    <row r="2882" spans="2:8" x14ac:dyDescent="0.2">
      <c r="B2882" s="27" t="s">
        <v>294</v>
      </c>
      <c r="C2882" s="28" t="s">
        <v>969</v>
      </c>
      <c r="D2882" s="29" t="s">
        <v>29</v>
      </c>
      <c r="E2882" s="30" t="s">
        <v>391</v>
      </c>
      <c r="F2882" s="28" t="s">
        <v>356</v>
      </c>
      <c r="G2882" s="30" t="s">
        <v>763</v>
      </c>
      <c r="H2882" t="str">
        <f>CONCATENATE(Prequal[[#This Row],[CITY]], ", ",Prequal[[#This Row],[STATE]])</f>
        <v>Rosemont, IL</v>
      </c>
    </row>
    <row r="2883" spans="2:8" x14ac:dyDescent="0.2">
      <c r="B2883" s="27" t="s">
        <v>295</v>
      </c>
      <c r="C2883" s="28" t="s">
        <v>970</v>
      </c>
      <c r="D2883" s="29" t="s">
        <v>10</v>
      </c>
      <c r="E2883" s="30" t="s">
        <v>947</v>
      </c>
      <c r="F2883" s="28" t="s">
        <v>356</v>
      </c>
      <c r="G2883" s="30" t="s">
        <v>764</v>
      </c>
      <c r="H2883" t="str">
        <f>CONCATENATE(Prequal[[#This Row],[CITY]], ", ",Prequal[[#This Row],[STATE]])</f>
        <v>Chicago, IL</v>
      </c>
    </row>
    <row r="2884" spans="2:8" x14ac:dyDescent="0.2">
      <c r="B2884" s="27" t="s">
        <v>295</v>
      </c>
      <c r="C2884" s="28" t="s">
        <v>970</v>
      </c>
      <c r="D2884" s="29" t="s">
        <v>51</v>
      </c>
      <c r="E2884" s="30" t="s">
        <v>947</v>
      </c>
      <c r="F2884" s="28" t="s">
        <v>356</v>
      </c>
      <c r="G2884" s="30" t="s">
        <v>764</v>
      </c>
      <c r="H2884" t="str">
        <f>CONCATENATE(Prequal[[#This Row],[CITY]], ", ",Prequal[[#This Row],[STATE]])</f>
        <v>Chicago, IL</v>
      </c>
    </row>
    <row r="2885" spans="2:8" x14ac:dyDescent="0.2">
      <c r="B2885" s="27" t="s">
        <v>296</v>
      </c>
      <c r="C2885" s="28" t="s">
        <v>969</v>
      </c>
      <c r="D2885" s="29" t="s">
        <v>4</v>
      </c>
      <c r="E2885" s="30" t="s">
        <v>483</v>
      </c>
      <c r="F2885" s="28" t="s">
        <v>363</v>
      </c>
      <c r="G2885" s="30" t="s">
        <v>765</v>
      </c>
      <c r="H2885" t="str">
        <f>CONCATENATE(Prequal[[#This Row],[CITY]], ", ",Prequal[[#This Row],[STATE]])</f>
        <v>Minneapolis, MN</v>
      </c>
    </row>
    <row r="2886" spans="2:8" x14ac:dyDescent="0.2">
      <c r="B2886" s="27" t="s">
        <v>296</v>
      </c>
      <c r="C2886" s="28" t="s">
        <v>969</v>
      </c>
      <c r="D2886" s="29" t="s">
        <v>26</v>
      </c>
      <c r="E2886" s="30" t="s">
        <v>483</v>
      </c>
      <c r="F2886" s="28" t="s">
        <v>363</v>
      </c>
      <c r="G2886" s="30" t="s">
        <v>765</v>
      </c>
      <c r="H2886" t="str">
        <f>CONCATENATE(Prequal[[#This Row],[CITY]], ", ",Prequal[[#This Row],[STATE]])</f>
        <v>Minneapolis, MN</v>
      </c>
    </row>
    <row r="2887" spans="2:8" x14ac:dyDescent="0.2">
      <c r="B2887" s="27" t="s">
        <v>296</v>
      </c>
      <c r="C2887" s="28" t="s">
        <v>969</v>
      </c>
      <c r="D2887" s="29" t="s">
        <v>20</v>
      </c>
      <c r="E2887" s="30" t="s">
        <v>483</v>
      </c>
      <c r="F2887" s="28" t="s">
        <v>363</v>
      </c>
      <c r="G2887" s="30" t="s">
        <v>765</v>
      </c>
      <c r="H2887" t="str">
        <f>CONCATENATE(Prequal[[#This Row],[CITY]], ", ",Prequal[[#This Row],[STATE]])</f>
        <v>Minneapolis, MN</v>
      </c>
    </row>
    <row r="2888" spans="2:8" x14ac:dyDescent="0.2">
      <c r="B2888" s="27" t="s">
        <v>296</v>
      </c>
      <c r="C2888" s="28" t="s">
        <v>969</v>
      </c>
      <c r="D2888" s="29" t="s">
        <v>27</v>
      </c>
      <c r="E2888" s="30" t="s">
        <v>483</v>
      </c>
      <c r="F2888" s="28" t="s">
        <v>363</v>
      </c>
      <c r="G2888" s="30" t="s">
        <v>765</v>
      </c>
      <c r="H2888" t="str">
        <f>CONCATENATE(Prequal[[#This Row],[CITY]], ", ",Prequal[[#This Row],[STATE]])</f>
        <v>Minneapolis, MN</v>
      </c>
    </row>
    <row r="2889" spans="2:8" x14ac:dyDescent="0.2">
      <c r="B2889" s="27" t="s">
        <v>296</v>
      </c>
      <c r="C2889" s="28" t="s">
        <v>969</v>
      </c>
      <c r="D2889" s="29" t="s">
        <v>21</v>
      </c>
      <c r="E2889" s="30" t="s">
        <v>483</v>
      </c>
      <c r="F2889" s="28" t="s">
        <v>363</v>
      </c>
      <c r="G2889" s="30" t="s">
        <v>765</v>
      </c>
      <c r="H2889" t="str">
        <f>CONCATENATE(Prequal[[#This Row],[CITY]], ", ",Prequal[[#This Row],[STATE]])</f>
        <v>Minneapolis, MN</v>
      </c>
    </row>
    <row r="2890" spans="2:8" x14ac:dyDescent="0.2">
      <c r="B2890" s="27" t="s">
        <v>296</v>
      </c>
      <c r="C2890" s="28" t="s">
        <v>969</v>
      </c>
      <c r="D2890" s="29" t="s">
        <v>13</v>
      </c>
      <c r="E2890" s="30" t="s">
        <v>483</v>
      </c>
      <c r="F2890" s="28" t="s">
        <v>363</v>
      </c>
      <c r="G2890" s="30" t="s">
        <v>765</v>
      </c>
      <c r="H2890" t="str">
        <f>CONCATENATE(Prequal[[#This Row],[CITY]], ", ",Prequal[[#This Row],[STATE]])</f>
        <v>Minneapolis, MN</v>
      </c>
    </row>
    <row r="2891" spans="2:8" x14ac:dyDescent="0.2">
      <c r="B2891" s="27" t="s">
        <v>296</v>
      </c>
      <c r="C2891" s="28" t="s">
        <v>969</v>
      </c>
      <c r="D2891" s="29" t="s">
        <v>52</v>
      </c>
      <c r="E2891" s="30" t="s">
        <v>483</v>
      </c>
      <c r="F2891" s="28" t="s">
        <v>363</v>
      </c>
      <c r="G2891" s="30" t="s">
        <v>765</v>
      </c>
      <c r="H2891" t="str">
        <f>CONCATENATE(Prequal[[#This Row],[CITY]], ", ",Prequal[[#This Row],[STATE]])</f>
        <v>Minneapolis, MN</v>
      </c>
    </row>
    <row r="2892" spans="2:8" x14ac:dyDescent="0.2">
      <c r="B2892" s="27" t="s">
        <v>296</v>
      </c>
      <c r="C2892" s="28" t="s">
        <v>969</v>
      </c>
      <c r="D2892" s="29" t="s">
        <v>14</v>
      </c>
      <c r="E2892" s="30" t="s">
        <v>483</v>
      </c>
      <c r="F2892" s="28" t="s">
        <v>363</v>
      </c>
      <c r="G2892" s="30" t="s">
        <v>765</v>
      </c>
      <c r="H2892" t="str">
        <f>CONCATENATE(Prequal[[#This Row],[CITY]], ", ",Prequal[[#This Row],[STATE]])</f>
        <v>Minneapolis, MN</v>
      </c>
    </row>
    <row r="2893" spans="2:8" x14ac:dyDescent="0.2">
      <c r="B2893" s="27" t="s">
        <v>296</v>
      </c>
      <c r="C2893" s="28" t="s">
        <v>969</v>
      </c>
      <c r="D2893" s="29" t="s">
        <v>56</v>
      </c>
      <c r="E2893" s="30" t="s">
        <v>483</v>
      </c>
      <c r="F2893" s="28" t="s">
        <v>363</v>
      </c>
      <c r="G2893" s="30" t="s">
        <v>765</v>
      </c>
      <c r="H2893" t="str">
        <f>CONCATENATE(Prequal[[#This Row],[CITY]], ", ",Prequal[[#This Row],[STATE]])</f>
        <v>Minneapolis, MN</v>
      </c>
    </row>
    <row r="2894" spans="2:8" x14ac:dyDescent="0.2">
      <c r="B2894" s="27" t="s">
        <v>519</v>
      </c>
      <c r="C2894" s="28" t="s">
        <v>969</v>
      </c>
      <c r="D2894" s="29" t="s">
        <v>43</v>
      </c>
      <c r="E2894" s="30" t="s">
        <v>947</v>
      </c>
      <c r="F2894" s="28" t="s">
        <v>356</v>
      </c>
      <c r="G2894" s="30" t="s">
        <v>1002</v>
      </c>
      <c r="H2894" t="str">
        <f>CONCATENATE(Prequal[[#This Row],[CITY]], ", ",Prequal[[#This Row],[STATE]])</f>
        <v>Chicago, IL</v>
      </c>
    </row>
    <row r="2895" spans="2:8" x14ac:dyDescent="0.2">
      <c r="B2895" s="27" t="s">
        <v>519</v>
      </c>
      <c r="C2895" s="28" t="s">
        <v>969</v>
      </c>
      <c r="D2895" s="29" t="s">
        <v>44</v>
      </c>
      <c r="E2895" s="30" t="s">
        <v>947</v>
      </c>
      <c r="F2895" s="28" t="s">
        <v>356</v>
      </c>
      <c r="G2895" s="30" t="s">
        <v>1002</v>
      </c>
      <c r="H2895" t="str">
        <f>CONCATENATE(Prequal[[#This Row],[CITY]], ", ",Prequal[[#This Row],[STATE]])</f>
        <v>Chicago, IL</v>
      </c>
    </row>
    <row r="2896" spans="2:8" x14ac:dyDescent="0.2">
      <c r="B2896" s="27" t="s">
        <v>519</v>
      </c>
      <c r="C2896" s="28" t="s">
        <v>969</v>
      </c>
      <c r="D2896" s="29" t="s">
        <v>4</v>
      </c>
      <c r="E2896" s="30" t="s">
        <v>947</v>
      </c>
      <c r="F2896" s="28" t="s">
        <v>356</v>
      </c>
      <c r="G2896" s="30" t="s">
        <v>1002</v>
      </c>
      <c r="H2896" t="str">
        <f>CONCATENATE(Prequal[[#This Row],[CITY]], ", ",Prequal[[#This Row],[STATE]])</f>
        <v>Chicago, IL</v>
      </c>
    </row>
    <row r="2897" spans="2:8" x14ac:dyDescent="0.2">
      <c r="B2897" s="27" t="s">
        <v>519</v>
      </c>
      <c r="C2897" s="28" t="s">
        <v>969</v>
      </c>
      <c r="D2897" s="29" t="s">
        <v>5</v>
      </c>
      <c r="E2897" s="30" t="s">
        <v>947</v>
      </c>
      <c r="F2897" s="28" t="s">
        <v>356</v>
      </c>
      <c r="G2897" s="30" t="s">
        <v>1002</v>
      </c>
      <c r="H2897" t="str">
        <f>CONCATENATE(Prequal[[#This Row],[CITY]], ", ",Prequal[[#This Row],[STATE]])</f>
        <v>Chicago, IL</v>
      </c>
    </row>
    <row r="2898" spans="2:8" x14ac:dyDescent="0.2">
      <c r="B2898" s="27" t="s">
        <v>519</v>
      </c>
      <c r="C2898" s="28" t="s">
        <v>969</v>
      </c>
      <c r="D2898" s="29" t="s">
        <v>6</v>
      </c>
      <c r="E2898" s="30" t="s">
        <v>947</v>
      </c>
      <c r="F2898" s="28" t="s">
        <v>356</v>
      </c>
      <c r="G2898" s="30" t="s">
        <v>1002</v>
      </c>
      <c r="H2898" t="str">
        <f>CONCATENATE(Prequal[[#This Row],[CITY]], ", ",Prequal[[#This Row],[STATE]])</f>
        <v>Chicago, IL</v>
      </c>
    </row>
    <row r="2899" spans="2:8" x14ac:dyDescent="0.2">
      <c r="B2899" s="27" t="s">
        <v>519</v>
      </c>
      <c r="C2899" s="28" t="s">
        <v>969</v>
      </c>
      <c r="D2899" s="29" t="s">
        <v>24</v>
      </c>
      <c r="E2899" s="30" t="s">
        <v>947</v>
      </c>
      <c r="F2899" s="28" t="s">
        <v>356</v>
      </c>
      <c r="G2899" s="30" t="s">
        <v>1002</v>
      </c>
      <c r="H2899" t="str">
        <f>CONCATENATE(Prequal[[#This Row],[CITY]], ", ",Prequal[[#This Row],[STATE]])</f>
        <v>Chicago, IL</v>
      </c>
    </row>
    <row r="2900" spans="2:8" x14ac:dyDescent="0.2">
      <c r="B2900" s="27" t="s">
        <v>519</v>
      </c>
      <c r="C2900" s="28" t="s">
        <v>969</v>
      </c>
      <c r="D2900" s="29" t="s">
        <v>25</v>
      </c>
      <c r="E2900" s="30" t="s">
        <v>947</v>
      </c>
      <c r="F2900" s="28" t="s">
        <v>356</v>
      </c>
      <c r="G2900" s="30" t="s">
        <v>1002</v>
      </c>
      <c r="H2900" t="str">
        <f>CONCATENATE(Prequal[[#This Row],[CITY]], ", ",Prequal[[#This Row],[STATE]])</f>
        <v>Chicago, IL</v>
      </c>
    </row>
    <row r="2901" spans="2:8" x14ac:dyDescent="0.2">
      <c r="B2901" s="27" t="s">
        <v>519</v>
      </c>
      <c r="C2901" s="28" t="s">
        <v>969</v>
      </c>
      <c r="D2901" s="29" t="s">
        <v>9</v>
      </c>
      <c r="E2901" s="30" t="s">
        <v>947</v>
      </c>
      <c r="F2901" s="28" t="s">
        <v>356</v>
      </c>
      <c r="G2901" s="30" t="s">
        <v>1002</v>
      </c>
      <c r="H2901" t="str">
        <f>CONCATENATE(Prequal[[#This Row],[CITY]], ", ",Prequal[[#This Row],[STATE]])</f>
        <v>Chicago, IL</v>
      </c>
    </row>
    <row r="2902" spans="2:8" x14ac:dyDescent="0.2">
      <c r="B2902" s="27" t="s">
        <v>519</v>
      </c>
      <c r="C2902" s="28" t="s">
        <v>969</v>
      </c>
      <c r="D2902" s="29" t="s">
        <v>26</v>
      </c>
      <c r="E2902" s="30" t="s">
        <v>947</v>
      </c>
      <c r="F2902" s="28" t="s">
        <v>356</v>
      </c>
      <c r="G2902" s="30" t="s">
        <v>1002</v>
      </c>
      <c r="H2902" t="str">
        <f>CONCATENATE(Prequal[[#This Row],[CITY]], ", ",Prequal[[#This Row],[STATE]])</f>
        <v>Chicago, IL</v>
      </c>
    </row>
    <row r="2903" spans="2:8" x14ac:dyDescent="0.2">
      <c r="B2903" s="27" t="s">
        <v>519</v>
      </c>
      <c r="C2903" s="28" t="s">
        <v>969</v>
      </c>
      <c r="D2903" s="29" t="s">
        <v>20</v>
      </c>
      <c r="E2903" s="30" t="s">
        <v>947</v>
      </c>
      <c r="F2903" s="28" t="s">
        <v>356</v>
      </c>
      <c r="G2903" s="30" t="s">
        <v>1002</v>
      </c>
      <c r="H2903" t="str">
        <f>CONCATENATE(Prequal[[#This Row],[CITY]], ", ",Prequal[[#This Row],[STATE]])</f>
        <v>Chicago, IL</v>
      </c>
    </row>
    <row r="2904" spans="2:8" x14ac:dyDescent="0.2">
      <c r="B2904" s="27" t="s">
        <v>519</v>
      </c>
      <c r="C2904" s="28" t="s">
        <v>969</v>
      </c>
      <c r="D2904" s="29" t="s">
        <v>27</v>
      </c>
      <c r="E2904" s="30" t="s">
        <v>947</v>
      </c>
      <c r="F2904" s="28" t="s">
        <v>356</v>
      </c>
      <c r="G2904" s="30" t="s">
        <v>1002</v>
      </c>
      <c r="H2904" t="str">
        <f>CONCATENATE(Prequal[[#This Row],[CITY]], ", ",Prequal[[#This Row],[STATE]])</f>
        <v>Chicago, IL</v>
      </c>
    </row>
    <row r="2905" spans="2:8" x14ac:dyDescent="0.2">
      <c r="B2905" s="27" t="s">
        <v>519</v>
      </c>
      <c r="C2905" s="28" t="s">
        <v>969</v>
      </c>
      <c r="D2905" s="29" t="s">
        <v>10</v>
      </c>
      <c r="E2905" s="30" t="s">
        <v>947</v>
      </c>
      <c r="F2905" s="28" t="s">
        <v>356</v>
      </c>
      <c r="G2905" s="30" t="s">
        <v>1002</v>
      </c>
      <c r="H2905" t="str">
        <f>CONCATENATE(Prequal[[#This Row],[CITY]], ", ",Prequal[[#This Row],[STATE]])</f>
        <v>Chicago, IL</v>
      </c>
    </row>
    <row r="2906" spans="2:8" x14ac:dyDescent="0.2">
      <c r="B2906" s="27" t="s">
        <v>519</v>
      </c>
      <c r="C2906" s="28" t="s">
        <v>969</v>
      </c>
      <c r="D2906" s="29" t="s">
        <v>39</v>
      </c>
      <c r="E2906" s="30" t="s">
        <v>947</v>
      </c>
      <c r="F2906" s="28" t="s">
        <v>356</v>
      </c>
      <c r="G2906" s="30" t="s">
        <v>1002</v>
      </c>
      <c r="H2906" t="str">
        <f>CONCATENATE(Prequal[[#This Row],[CITY]], ", ",Prequal[[#This Row],[STATE]])</f>
        <v>Chicago, IL</v>
      </c>
    </row>
    <row r="2907" spans="2:8" x14ac:dyDescent="0.2">
      <c r="B2907" s="27" t="s">
        <v>519</v>
      </c>
      <c r="C2907" s="28" t="s">
        <v>969</v>
      </c>
      <c r="D2907" s="29" t="s">
        <v>12</v>
      </c>
      <c r="E2907" s="30" t="s">
        <v>947</v>
      </c>
      <c r="F2907" s="28" t="s">
        <v>356</v>
      </c>
      <c r="G2907" s="30" t="s">
        <v>1002</v>
      </c>
      <c r="H2907" t="str">
        <f>CONCATENATE(Prequal[[#This Row],[CITY]], ", ",Prequal[[#This Row],[STATE]])</f>
        <v>Chicago, IL</v>
      </c>
    </row>
    <row r="2908" spans="2:8" x14ac:dyDescent="0.2">
      <c r="B2908" s="27" t="s">
        <v>519</v>
      </c>
      <c r="C2908" s="28" t="s">
        <v>969</v>
      </c>
      <c r="D2908" s="29" t="s">
        <v>37</v>
      </c>
      <c r="E2908" s="30" t="s">
        <v>947</v>
      </c>
      <c r="F2908" s="28" t="s">
        <v>356</v>
      </c>
      <c r="G2908" s="30" t="s">
        <v>1002</v>
      </c>
      <c r="H2908" t="str">
        <f>CONCATENATE(Prequal[[#This Row],[CITY]], ", ",Prequal[[#This Row],[STATE]])</f>
        <v>Chicago, IL</v>
      </c>
    </row>
    <row r="2909" spans="2:8" x14ac:dyDescent="0.2">
      <c r="B2909" s="27" t="s">
        <v>519</v>
      </c>
      <c r="C2909" s="28" t="s">
        <v>969</v>
      </c>
      <c r="D2909" s="29" t="s">
        <v>13</v>
      </c>
      <c r="E2909" s="30" t="s">
        <v>947</v>
      </c>
      <c r="F2909" s="28" t="s">
        <v>356</v>
      </c>
      <c r="G2909" s="30" t="s">
        <v>1002</v>
      </c>
      <c r="H2909" t="str">
        <f>CONCATENATE(Prequal[[#This Row],[CITY]], ", ",Prequal[[#This Row],[STATE]])</f>
        <v>Chicago, IL</v>
      </c>
    </row>
    <row r="2910" spans="2:8" x14ac:dyDescent="0.2">
      <c r="B2910" s="27" t="s">
        <v>519</v>
      </c>
      <c r="C2910" s="28" t="s">
        <v>969</v>
      </c>
      <c r="D2910" s="29" t="s">
        <v>14</v>
      </c>
      <c r="E2910" s="30" t="s">
        <v>947</v>
      </c>
      <c r="F2910" s="28" t="s">
        <v>356</v>
      </c>
      <c r="G2910" s="30" t="s">
        <v>1002</v>
      </c>
      <c r="H2910" t="str">
        <f>CONCATENATE(Prequal[[#This Row],[CITY]], ", ",Prequal[[#This Row],[STATE]])</f>
        <v>Chicago, IL</v>
      </c>
    </row>
    <row r="2911" spans="2:8" x14ac:dyDescent="0.2">
      <c r="B2911" s="27" t="s">
        <v>519</v>
      </c>
      <c r="C2911" s="28" t="s">
        <v>969</v>
      </c>
      <c r="D2911" s="29" t="s">
        <v>15</v>
      </c>
      <c r="E2911" s="30" t="s">
        <v>947</v>
      </c>
      <c r="F2911" s="28" t="s">
        <v>356</v>
      </c>
      <c r="G2911" s="30" t="s">
        <v>1002</v>
      </c>
      <c r="H2911" t="str">
        <f>CONCATENATE(Prequal[[#This Row],[CITY]], ", ",Prequal[[#This Row],[STATE]])</f>
        <v>Chicago, IL</v>
      </c>
    </row>
    <row r="2912" spans="2:8" x14ac:dyDescent="0.2">
      <c r="B2912" s="27" t="s">
        <v>519</v>
      </c>
      <c r="C2912" s="28" t="s">
        <v>969</v>
      </c>
      <c r="D2912" s="29" t="s">
        <v>30</v>
      </c>
      <c r="E2912" s="30" t="s">
        <v>947</v>
      </c>
      <c r="F2912" s="28" t="s">
        <v>356</v>
      </c>
      <c r="G2912" s="30" t="s">
        <v>1002</v>
      </c>
      <c r="H2912" t="str">
        <f>CONCATENATE(Prequal[[#This Row],[CITY]], ", ",Prequal[[#This Row],[STATE]])</f>
        <v>Chicago, IL</v>
      </c>
    </row>
    <row r="2913" spans="2:8" x14ac:dyDescent="0.2">
      <c r="B2913" s="27" t="s">
        <v>519</v>
      </c>
      <c r="C2913" s="28" t="s">
        <v>969</v>
      </c>
      <c r="D2913" s="29" t="s">
        <v>53</v>
      </c>
      <c r="E2913" s="30" t="s">
        <v>947</v>
      </c>
      <c r="F2913" s="28" t="s">
        <v>356</v>
      </c>
      <c r="G2913" s="30" t="s">
        <v>1002</v>
      </c>
      <c r="H2913" t="str">
        <f>CONCATENATE(Prequal[[#This Row],[CITY]], ", ",Prequal[[#This Row],[STATE]])</f>
        <v>Chicago, IL</v>
      </c>
    </row>
    <row r="2914" spans="2:8" x14ac:dyDescent="0.2">
      <c r="B2914" s="27" t="s">
        <v>519</v>
      </c>
      <c r="C2914" s="28" t="s">
        <v>969</v>
      </c>
      <c r="D2914" s="29" t="s">
        <v>31</v>
      </c>
      <c r="E2914" s="30" t="s">
        <v>947</v>
      </c>
      <c r="F2914" s="28" t="s">
        <v>356</v>
      </c>
      <c r="G2914" s="30" t="s">
        <v>1002</v>
      </c>
      <c r="H2914" t="str">
        <f>CONCATENATE(Prequal[[#This Row],[CITY]], ", ",Prequal[[#This Row],[STATE]])</f>
        <v>Chicago, IL</v>
      </c>
    </row>
    <row r="2915" spans="2:8" x14ac:dyDescent="0.2">
      <c r="B2915" s="27" t="s">
        <v>519</v>
      </c>
      <c r="C2915" s="28" t="s">
        <v>969</v>
      </c>
      <c r="D2915" s="29" t="s">
        <v>32</v>
      </c>
      <c r="E2915" s="30" t="s">
        <v>947</v>
      </c>
      <c r="F2915" s="28" t="s">
        <v>356</v>
      </c>
      <c r="G2915" s="30" t="s">
        <v>1002</v>
      </c>
      <c r="H2915" t="str">
        <f>CONCATENATE(Prequal[[#This Row],[CITY]], ", ",Prequal[[#This Row],[STATE]])</f>
        <v>Chicago, IL</v>
      </c>
    </row>
    <row r="2916" spans="2:8" x14ac:dyDescent="0.2">
      <c r="B2916" s="27" t="s">
        <v>846</v>
      </c>
      <c r="C2916" s="28" t="s">
        <v>969</v>
      </c>
      <c r="D2916" s="29" t="s">
        <v>59</v>
      </c>
      <c r="E2916" s="30" t="s">
        <v>947</v>
      </c>
      <c r="F2916" s="28" t="s">
        <v>356</v>
      </c>
      <c r="G2916" s="30" t="s">
        <v>847</v>
      </c>
      <c r="H2916" t="str">
        <f>CONCATENATE(Prequal[[#This Row],[CITY]], ", ",Prequal[[#This Row],[STATE]])</f>
        <v>Chicago, IL</v>
      </c>
    </row>
    <row r="2917" spans="2:8" x14ac:dyDescent="0.2">
      <c r="B2917" s="27" t="s">
        <v>297</v>
      </c>
      <c r="C2917" s="28" t="s">
        <v>969</v>
      </c>
      <c r="D2917" s="29" t="s">
        <v>43</v>
      </c>
      <c r="E2917" s="30" t="s">
        <v>947</v>
      </c>
      <c r="F2917" s="28" t="s">
        <v>356</v>
      </c>
      <c r="G2917" s="30" t="s">
        <v>903</v>
      </c>
      <c r="H2917" t="str">
        <f>CONCATENATE(Prequal[[#This Row],[CITY]], ", ",Prequal[[#This Row],[STATE]])</f>
        <v>Chicago, IL</v>
      </c>
    </row>
    <row r="2918" spans="2:8" x14ac:dyDescent="0.2">
      <c r="B2918" s="27" t="s">
        <v>297</v>
      </c>
      <c r="C2918" s="28" t="s">
        <v>969</v>
      </c>
      <c r="D2918" s="29" t="s">
        <v>44</v>
      </c>
      <c r="E2918" s="30" t="s">
        <v>947</v>
      </c>
      <c r="F2918" s="28" t="s">
        <v>356</v>
      </c>
      <c r="G2918" s="30" t="s">
        <v>903</v>
      </c>
      <c r="H2918" t="str">
        <f>CONCATENATE(Prequal[[#This Row],[CITY]], ", ",Prequal[[#This Row],[STATE]])</f>
        <v>Chicago, IL</v>
      </c>
    </row>
    <row r="2919" spans="2:8" x14ac:dyDescent="0.2">
      <c r="B2919" s="27" t="s">
        <v>297</v>
      </c>
      <c r="C2919" s="28" t="s">
        <v>969</v>
      </c>
      <c r="D2919" s="29" t="s">
        <v>45</v>
      </c>
      <c r="E2919" s="30" t="s">
        <v>947</v>
      </c>
      <c r="F2919" s="28" t="s">
        <v>356</v>
      </c>
      <c r="G2919" s="30" t="s">
        <v>903</v>
      </c>
      <c r="H2919" t="str">
        <f>CONCATENATE(Prequal[[#This Row],[CITY]], ", ",Prequal[[#This Row],[STATE]])</f>
        <v>Chicago, IL</v>
      </c>
    </row>
    <row r="2920" spans="2:8" x14ac:dyDescent="0.2">
      <c r="B2920" s="27" t="s">
        <v>297</v>
      </c>
      <c r="C2920" s="28" t="s">
        <v>969</v>
      </c>
      <c r="D2920" s="29" t="s">
        <v>46</v>
      </c>
      <c r="E2920" s="30" t="s">
        <v>947</v>
      </c>
      <c r="F2920" s="28" t="s">
        <v>356</v>
      </c>
      <c r="G2920" s="30" t="s">
        <v>903</v>
      </c>
      <c r="H2920" t="str">
        <f>CONCATENATE(Prequal[[#This Row],[CITY]], ", ",Prequal[[#This Row],[STATE]])</f>
        <v>Chicago, IL</v>
      </c>
    </row>
    <row r="2921" spans="2:8" x14ac:dyDescent="0.2">
      <c r="B2921" s="27" t="s">
        <v>297</v>
      </c>
      <c r="C2921" s="28" t="s">
        <v>969</v>
      </c>
      <c r="D2921" s="29" t="s">
        <v>47</v>
      </c>
      <c r="E2921" s="30" t="s">
        <v>947</v>
      </c>
      <c r="F2921" s="28" t="s">
        <v>356</v>
      </c>
      <c r="G2921" s="30" t="s">
        <v>903</v>
      </c>
      <c r="H2921" t="str">
        <f>CONCATENATE(Prequal[[#This Row],[CITY]], ", ",Prequal[[#This Row],[STATE]])</f>
        <v>Chicago, IL</v>
      </c>
    </row>
    <row r="2922" spans="2:8" x14ac:dyDescent="0.2">
      <c r="B2922" s="27" t="s">
        <v>297</v>
      </c>
      <c r="C2922" s="28" t="s">
        <v>969</v>
      </c>
      <c r="D2922" s="29" t="s">
        <v>48</v>
      </c>
      <c r="E2922" s="30" t="s">
        <v>947</v>
      </c>
      <c r="F2922" s="28" t="s">
        <v>356</v>
      </c>
      <c r="G2922" s="30" t="s">
        <v>903</v>
      </c>
      <c r="H2922" t="str">
        <f>CONCATENATE(Prequal[[#This Row],[CITY]], ", ",Prequal[[#This Row],[STATE]])</f>
        <v>Chicago, IL</v>
      </c>
    </row>
    <row r="2923" spans="2:8" x14ac:dyDescent="0.2">
      <c r="B2923" s="27" t="s">
        <v>297</v>
      </c>
      <c r="C2923" s="28" t="s">
        <v>969</v>
      </c>
      <c r="D2923" s="29" t="s">
        <v>4</v>
      </c>
      <c r="E2923" s="30" t="s">
        <v>947</v>
      </c>
      <c r="F2923" s="28" t="s">
        <v>356</v>
      </c>
      <c r="G2923" s="30" t="s">
        <v>903</v>
      </c>
      <c r="H2923" t="str">
        <f>CONCATENATE(Prequal[[#This Row],[CITY]], ", ",Prequal[[#This Row],[STATE]])</f>
        <v>Chicago, IL</v>
      </c>
    </row>
    <row r="2924" spans="2:8" x14ac:dyDescent="0.2">
      <c r="B2924" s="27" t="s">
        <v>297</v>
      </c>
      <c r="C2924" s="28" t="s">
        <v>969</v>
      </c>
      <c r="D2924" s="29" t="s">
        <v>5</v>
      </c>
      <c r="E2924" s="30" t="s">
        <v>947</v>
      </c>
      <c r="F2924" s="28" t="s">
        <v>356</v>
      </c>
      <c r="G2924" s="30" t="s">
        <v>903</v>
      </c>
      <c r="H2924" t="str">
        <f>CONCATENATE(Prequal[[#This Row],[CITY]], ", ",Prequal[[#This Row],[STATE]])</f>
        <v>Chicago, IL</v>
      </c>
    </row>
    <row r="2925" spans="2:8" x14ac:dyDescent="0.2">
      <c r="B2925" s="27" t="s">
        <v>297</v>
      </c>
      <c r="C2925" s="28" t="s">
        <v>969</v>
      </c>
      <c r="D2925" s="29" t="s">
        <v>7</v>
      </c>
      <c r="E2925" s="30" t="s">
        <v>947</v>
      </c>
      <c r="F2925" s="28" t="s">
        <v>356</v>
      </c>
      <c r="G2925" s="30" t="s">
        <v>903</v>
      </c>
      <c r="H2925" t="str">
        <f>CONCATENATE(Prequal[[#This Row],[CITY]], ", ",Prequal[[#This Row],[STATE]])</f>
        <v>Chicago, IL</v>
      </c>
    </row>
    <row r="2926" spans="2:8" x14ac:dyDescent="0.2">
      <c r="B2926" s="27" t="s">
        <v>297</v>
      </c>
      <c r="C2926" s="28" t="s">
        <v>969</v>
      </c>
      <c r="D2926" s="29" t="s">
        <v>8</v>
      </c>
      <c r="E2926" s="30" t="s">
        <v>947</v>
      </c>
      <c r="F2926" s="28" t="s">
        <v>356</v>
      </c>
      <c r="G2926" s="30" t="s">
        <v>903</v>
      </c>
      <c r="H2926" t="str">
        <f>CONCATENATE(Prequal[[#This Row],[CITY]], ", ",Prequal[[#This Row],[STATE]])</f>
        <v>Chicago, IL</v>
      </c>
    </row>
    <row r="2927" spans="2:8" x14ac:dyDescent="0.2">
      <c r="B2927" s="27" t="s">
        <v>297</v>
      </c>
      <c r="C2927" s="28" t="s">
        <v>969</v>
      </c>
      <c r="D2927" s="29" t="s">
        <v>24</v>
      </c>
      <c r="E2927" s="30" t="s">
        <v>947</v>
      </c>
      <c r="F2927" s="28" t="s">
        <v>356</v>
      </c>
      <c r="G2927" s="30" t="s">
        <v>903</v>
      </c>
      <c r="H2927" t="str">
        <f>CONCATENATE(Prequal[[#This Row],[CITY]], ", ",Prequal[[#This Row],[STATE]])</f>
        <v>Chicago, IL</v>
      </c>
    </row>
    <row r="2928" spans="2:8" x14ac:dyDescent="0.2">
      <c r="B2928" s="27" t="s">
        <v>297</v>
      </c>
      <c r="C2928" s="28" t="s">
        <v>969</v>
      </c>
      <c r="D2928" s="29" t="s">
        <v>25</v>
      </c>
      <c r="E2928" s="30" t="s">
        <v>947</v>
      </c>
      <c r="F2928" s="28" t="s">
        <v>356</v>
      </c>
      <c r="G2928" s="30" t="s">
        <v>903</v>
      </c>
      <c r="H2928" t="str">
        <f>CONCATENATE(Prequal[[#This Row],[CITY]], ", ",Prequal[[#This Row],[STATE]])</f>
        <v>Chicago, IL</v>
      </c>
    </row>
    <row r="2929" spans="2:8" x14ac:dyDescent="0.2">
      <c r="B2929" s="27" t="s">
        <v>297</v>
      </c>
      <c r="C2929" s="28" t="s">
        <v>969</v>
      </c>
      <c r="D2929" s="29" t="s">
        <v>9</v>
      </c>
      <c r="E2929" s="30" t="s">
        <v>947</v>
      </c>
      <c r="F2929" s="28" t="s">
        <v>356</v>
      </c>
      <c r="G2929" s="30" t="s">
        <v>903</v>
      </c>
      <c r="H2929" t="str">
        <f>CONCATENATE(Prequal[[#This Row],[CITY]], ", ",Prequal[[#This Row],[STATE]])</f>
        <v>Chicago, IL</v>
      </c>
    </row>
    <row r="2930" spans="2:8" x14ac:dyDescent="0.2">
      <c r="B2930" s="27" t="s">
        <v>297</v>
      </c>
      <c r="C2930" s="28" t="s">
        <v>969</v>
      </c>
      <c r="D2930" s="29" t="s">
        <v>49</v>
      </c>
      <c r="E2930" s="30" t="s">
        <v>947</v>
      </c>
      <c r="F2930" s="28" t="s">
        <v>356</v>
      </c>
      <c r="G2930" s="30" t="s">
        <v>903</v>
      </c>
      <c r="H2930" t="str">
        <f>CONCATENATE(Prequal[[#This Row],[CITY]], ", ",Prequal[[#This Row],[STATE]])</f>
        <v>Chicago, IL</v>
      </c>
    </row>
    <row r="2931" spans="2:8" x14ac:dyDescent="0.2">
      <c r="B2931" s="27" t="s">
        <v>297</v>
      </c>
      <c r="C2931" s="28" t="s">
        <v>969</v>
      </c>
      <c r="D2931" s="29" t="s">
        <v>27</v>
      </c>
      <c r="E2931" s="30" t="s">
        <v>947</v>
      </c>
      <c r="F2931" s="28" t="s">
        <v>356</v>
      </c>
      <c r="G2931" s="30" t="s">
        <v>903</v>
      </c>
      <c r="H2931" t="str">
        <f>CONCATENATE(Prequal[[#This Row],[CITY]], ", ",Prequal[[#This Row],[STATE]])</f>
        <v>Chicago, IL</v>
      </c>
    </row>
    <row r="2932" spans="2:8" x14ac:dyDescent="0.2">
      <c r="B2932" s="27" t="s">
        <v>297</v>
      </c>
      <c r="C2932" s="28" t="s">
        <v>969</v>
      </c>
      <c r="D2932" s="29" t="s">
        <v>10</v>
      </c>
      <c r="E2932" s="30" t="s">
        <v>947</v>
      </c>
      <c r="F2932" s="28" t="s">
        <v>356</v>
      </c>
      <c r="G2932" s="30" t="s">
        <v>903</v>
      </c>
      <c r="H2932" t="str">
        <f>CONCATENATE(Prequal[[#This Row],[CITY]], ", ",Prequal[[#This Row],[STATE]])</f>
        <v>Chicago, IL</v>
      </c>
    </row>
    <row r="2933" spans="2:8" x14ac:dyDescent="0.2">
      <c r="B2933" s="27" t="s">
        <v>297</v>
      </c>
      <c r="C2933" s="28" t="s">
        <v>969</v>
      </c>
      <c r="D2933" s="29" t="s">
        <v>21</v>
      </c>
      <c r="E2933" s="30" t="s">
        <v>947</v>
      </c>
      <c r="F2933" s="28" t="s">
        <v>356</v>
      </c>
      <c r="G2933" s="30" t="s">
        <v>903</v>
      </c>
      <c r="H2933" t="str">
        <f>CONCATENATE(Prequal[[#This Row],[CITY]], ", ",Prequal[[#This Row],[STATE]])</f>
        <v>Chicago, IL</v>
      </c>
    </row>
    <row r="2934" spans="2:8" x14ac:dyDescent="0.2">
      <c r="B2934" s="27" t="s">
        <v>297</v>
      </c>
      <c r="C2934" s="28" t="s">
        <v>969</v>
      </c>
      <c r="D2934" s="29" t="s">
        <v>18</v>
      </c>
      <c r="E2934" s="30" t="s">
        <v>947</v>
      </c>
      <c r="F2934" s="28" t="s">
        <v>356</v>
      </c>
      <c r="G2934" s="30" t="s">
        <v>903</v>
      </c>
      <c r="H2934" t="str">
        <f>CONCATENATE(Prequal[[#This Row],[CITY]], ", ",Prequal[[#This Row],[STATE]])</f>
        <v>Chicago, IL</v>
      </c>
    </row>
    <row r="2935" spans="2:8" x14ac:dyDescent="0.2">
      <c r="B2935" s="27" t="s">
        <v>297</v>
      </c>
      <c r="C2935" s="28" t="s">
        <v>969</v>
      </c>
      <c r="D2935" s="29" t="s">
        <v>11</v>
      </c>
      <c r="E2935" s="30" t="s">
        <v>947</v>
      </c>
      <c r="F2935" s="28" t="s">
        <v>356</v>
      </c>
      <c r="G2935" s="30" t="s">
        <v>903</v>
      </c>
      <c r="H2935" t="str">
        <f>CONCATENATE(Prequal[[#This Row],[CITY]], ", ",Prequal[[#This Row],[STATE]])</f>
        <v>Chicago, IL</v>
      </c>
    </row>
    <row r="2936" spans="2:8" x14ac:dyDescent="0.2">
      <c r="B2936" s="27" t="s">
        <v>297</v>
      </c>
      <c r="C2936" s="28" t="s">
        <v>969</v>
      </c>
      <c r="D2936" s="29" t="s">
        <v>22</v>
      </c>
      <c r="E2936" s="30" t="s">
        <v>947</v>
      </c>
      <c r="F2936" s="28" t="s">
        <v>356</v>
      </c>
      <c r="G2936" s="30" t="s">
        <v>903</v>
      </c>
      <c r="H2936" t="str">
        <f>CONCATENATE(Prequal[[#This Row],[CITY]], ", ",Prequal[[#This Row],[STATE]])</f>
        <v>Chicago, IL</v>
      </c>
    </row>
    <row r="2937" spans="2:8" x14ac:dyDescent="0.2">
      <c r="B2937" s="27" t="s">
        <v>297</v>
      </c>
      <c r="C2937" s="28" t="s">
        <v>969</v>
      </c>
      <c r="D2937" s="29" t="s">
        <v>51</v>
      </c>
      <c r="E2937" s="30" t="s">
        <v>947</v>
      </c>
      <c r="F2937" s="28" t="s">
        <v>356</v>
      </c>
      <c r="G2937" s="30" t="s">
        <v>903</v>
      </c>
      <c r="H2937" t="str">
        <f>CONCATENATE(Prequal[[#This Row],[CITY]], ", ",Prequal[[#This Row],[STATE]])</f>
        <v>Chicago, IL</v>
      </c>
    </row>
    <row r="2938" spans="2:8" x14ac:dyDescent="0.2">
      <c r="B2938" s="27" t="s">
        <v>297</v>
      </c>
      <c r="C2938" s="28" t="s">
        <v>969</v>
      </c>
      <c r="D2938" s="29" t="s">
        <v>37</v>
      </c>
      <c r="E2938" s="30" t="s">
        <v>947</v>
      </c>
      <c r="F2938" s="28" t="s">
        <v>356</v>
      </c>
      <c r="G2938" s="30" t="s">
        <v>903</v>
      </c>
      <c r="H2938" t="str">
        <f>CONCATENATE(Prequal[[#This Row],[CITY]], ", ",Prequal[[#This Row],[STATE]])</f>
        <v>Chicago, IL</v>
      </c>
    </row>
    <row r="2939" spans="2:8" x14ac:dyDescent="0.2">
      <c r="B2939" s="27" t="s">
        <v>297</v>
      </c>
      <c r="C2939" s="28" t="s">
        <v>969</v>
      </c>
      <c r="D2939" s="29" t="s">
        <v>13</v>
      </c>
      <c r="E2939" s="30" t="s">
        <v>947</v>
      </c>
      <c r="F2939" s="28" t="s">
        <v>356</v>
      </c>
      <c r="G2939" s="30" t="s">
        <v>903</v>
      </c>
      <c r="H2939" t="str">
        <f>CONCATENATE(Prequal[[#This Row],[CITY]], ", ",Prequal[[#This Row],[STATE]])</f>
        <v>Chicago, IL</v>
      </c>
    </row>
    <row r="2940" spans="2:8" x14ac:dyDescent="0.2">
      <c r="B2940" s="27" t="s">
        <v>297</v>
      </c>
      <c r="C2940" s="28" t="s">
        <v>969</v>
      </c>
      <c r="D2940" s="29" t="s">
        <v>52</v>
      </c>
      <c r="E2940" s="30" t="s">
        <v>947</v>
      </c>
      <c r="F2940" s="28" t="s">
        <v>356</v>
      </c>
      <c r="G2940" s="30" t="s">
        <v>903</v>
      </c>
      <c r="H2940" t="str">
        <f>CONCATENATE(Prequal[[#This Row],[CITY]], ", ",Prequal[[#This Row],[STATE]])</f>
        <v>Chicago, IL</v>
      </c>
    </row>
    <row r="2941" spans="2:8" x14ac:dyDescent="0.2">
      <c r="B2941" s="27" t="s">
        <v>297</v>
      </c>
      <c r="C2941" s="28" t="s">
        <v>969</v>
      </c>
      <c r="D2941" s="29" t="s">
        <v>14</v>
      </c>
      <c r="E2941" s="30" t="s">
        <v>947</v>
      </c>
      <c r="F2941" s="28" t="s">
        <v>356</v>
      </c>
      <c r="G2941" s="30" t="s">
        <v>903</v>
      </c>
      <c r="H2941" t="str">
        <f>CONCATENATE(Prequal[[#This Row],[CITY]], ", ",Prequal[[#This Row],[STATE]])</f>
        <v>Chicago, IL</v>
      </c>
    </row>
    <row r="2942" spans="2:8" x14ac:dyDescent="0.2">
      <c r="B2942" s="27" t="s">
        <v>297</v>
      </c>
      <c r="C2942" s="28" t="s">
        <v>969</v>
      </c>
      <c r="D2942" s="29" t="s">
        <v>15</v>
      </c>
      <c r="E2942" s="30" t="s">
        <v>947</v>
      </c>
      <c r="F2942" s="28" t="s">
        <v>356</v>
      </c>
      <c r="G2942" s="30" t="s">
        <v>903</v>
      </c>
      <c r="H2942" t="str">
        <f>CONCATENATE(Prequal[[#This Row],[CITY]], ", ",Prequal[[#This Row],[STATE]])</f>
        <v>Chicago, IL</v>
      </c>
    </row>
    <row r="2943" spans="2:8" x14ac:dyDescent="0.2">
      <c r="B2943" s="31" t="s">
        <v>297</v>
      </c>
      <c r="C2943" s="32" t="s">
        <v>969</v>
      </c>
      <c r="D2943" s="33" t="s">
        <v>30</v>
      </c>
      <c r="E2943" s="30" t="s">
        <v>947</v>
      </c>
      <c r="F2943" s="32" t="s">
        <v>356</v>
      </c>
      <c r="G2943" s="30" t="s">
        <v>903</v>
      </c>
      <c r="H2943" t="str">
        <f>CONCATENATE(Prequal[[#This Row],[CITY]], ", ",Prequal[[#This Row],[STATE]])</f>
        <v>Chicago, IL</v>
      </c>
    </row>
    <row r="2944" spans="2:8" x14ac:dyDescent="0.2">
      <c r="B2944" s="31" t="s">
        <v>297</v>
      </c>
      <c r="C2944" s="32" t="s">
        <v>969</v>
      </c>
      <c r="D2944" s="33" t="s">
        <v>53</v>
      </c>
      <c r="E2944" s="30" t="s">
        <v>947</v>
      </c>
      <c r="F2944" s="32" t="s">
        <v>356</v>
      </c>
      <c r="G2944" s="30" t="s">
        <v>903</v>
      </c>
      <c r="H2944" t="str">
        <f>CONCATENATE(Prequal[[#This Row],[CITY]], ", ",Prequal[[#This Row],[STATE]])</f>
        <v>Chicago, IL</v>
      </c>
    </row>
    <row r="2945" spans="2:8" x14ac:dyDescent="0.2">
      <c r="B2945" s="31" t="s">
        <v>297</v>
      </c>
      <c r="C2945" s="32" t="s">
        <v>969</v>
      </c>
      <c r="D2945" s="33" t="s">
        <v>31</v>
      </c>
      <c r="E2945" s="30" t="s">
        <v>947</v>
      </c>
      <c r="F2945" s="32" t="s">
        <v>356</v>
      </c>
      <c r="G2945" s="30" t="s">
        <v>903</v>
      </c>
      <c r="H2945" t="str">
        <f>CONCATENATE(Prequal[[#This Row],[CITY]], ", ",Prequal[[#This Row],[STATE]])</f>
        <v>Chicago, IL</v>
      </c>
    </row>
    <row r="2946" spans="2:8" x14ac:dyDescent="0.2">
      <c r="B2946" s="31" t="s">
        <v>297</v>
      </c>
      <c r="C2946" s="32" t="s">
        <v>969</v>
      </c>
      <c r="D2946" s="33" t="s">
        <v>32</v>
      </c>
      <c r="E2946" s="30" t="s">
        <v>947</v>
      </c>
      <c r="F2946" s="32" t="s">
        <v>356</v>
      </c>
      <c r="G2946" s="30" t="s">
        <v>903</v>
      </c>
      <c r="H2946" t="str">
        <f>CONCATENATE(Prequal[[#This Row],[CITY]], ", ",Prequal[[#This Row],[STATE]])</f>
        <v>Chicago, IL</v>
      </c>
    </row>
    <row r="2947" spans="2:8" x14ac:dyDescent="0.2">
      <c r="B2947" s="31" t="s">
        <v>297</v>
      </c>
      <c r="C2947" s="32" t="s">
        <v>969</v>
      </c>
      <c r="D2947" s="33" t="s">
        <v>54</v>
      </c>
      <c r="E2947" s="30" t="s">
        <v>947</v>
      </c>
      <c r="F2947" s="32" t="s">
        <v>356</v>
      </c>
      <c r="G2947" s="30" t="s">
        <v>903</v>
      </c>
      <c r="H2947" t="str">
        <f>CONCATENATE(Prequal[[#This Row],[CITY]], ", ",Prequal[[#This Row],[STATE]])</f>
        <v>Chicago, IL</v>
      </c>
    </row>
    <row r="2948" spans="2:8" x14ac:dyDescent="0.2">
      <c r="B2948" s="31" t="s">
        <v>297</v>
      </c>
      <c r="C2948" s="32" t="s">
        <v>969</v>
      </c>
      <c r="D2948" s="33" t="s">
        <v>38</v>
      </c>
      <c r="E2948" s="30" t="s">
        <v>947</v>
      </c>
      <c r="F2948" s="32" t="s">
        <v>356</v>
      </c>
      <c r="G2948" s="30" t="s">
        <v>903</v>
      </c>
      <c r="H2948" t="str">
        <f>CONCATENATE(Prequal[[#This Row],[CITY]], ", ",Prequal[[#This Row],[STATE]])</f>
        <v>Chicago, IL</v>
      </c>
    </row>
    <row r="2949" spans="2:8" x14ac:dyDescent="0.2">
      <c r="B2949" s="31" t="s">
        <v>297</v>
      </c>
      <c r="C2949" s="32" t="s">
        <v>969</v>
      </c>
      <c r="D2949" s="33" t="s">
        <v>55</v>
      </c>
      <c r="E2949" s="30" t="s">
        <v>947</v>
      </c>
      <c r="F2949" s="32" t="s">
        <v>356</v>
      </c>
      <c r="G2949" s="30" t="s">
        <v>903</v>
      </c>
      <c r="H2949" t="str">
        <f>CONCATENATE(Prequal[[#This Row],[CITY]], ", ",Prequal[[#This Row],[STATE]])</f>
        <v>Chicago, IL</v>
      </c>
    </row>
    <row r="2950" spans="2:8" x14ac:dyDescent="0.2">
      <c r="B2950" s="27" t="s">
        <v>297</v>
      </c>
      <c r="C2950" s="28" t="s">
        <v>969</v>
      </c>
      <c r="D2950" s="29" t="s">
        <v>56</v>
      </c>
      <c r="E2950" s="30" t="s">
        <v>947</v>
      </c>
      <c r="F2950" s="28" t="s">
        <v>356</v>
      </c>
      <c r="G2950" s="30" t="s">
        <v>903</v>
      </c>
      <c r="H2950" t="str">
        <f>CONCATENATE(Prequal[[#This Row],[CITY]], ", ",Prequal[[#This Row],[STATE]])</f>
        <v>Chicago, IL</v>
      </c>
    </row>
    <row r="2951" spans="2:8" x14ac:dyDescent="0.2">
      <c r="B2951" s="27" t="s">
        <v>297</v>
      </c>
      <c r="C2951" s="28" t="s">
        <v>969</v>
      </c>
      <c r="D2951" s="29" t="s">
        <v>33</v>
      </c>
      <c r="E2951" s="30" t="s">
        <v>947</v>
      </c>
      <c r="F2951" s="28" t="s">
        <v>356</v>
      </c>
      <c r="G2951" s="30" t="s">
        <v>903</v>
      </c>
      <c r="H2951" t="str">
        <f>CONCATENATE(Prequal[[#This Row],[CITY]], ", ",Prequal[[#This Row],[STATE]])</f>
        <v>Chicago, IL</v>
      </c>
    </row>
    <row r="2952" spans="2:8" x14ac:dyDescent="0.2">
      <c r="B2952" s="27" t="s">
        <v>298</v>
      </c>
      <c r="C2952" s="28" t="s">
        <v>969</v>
      </c>
      <c r="D2952" s="29" t="s">
        <v>107</v>
      </c>
      <c r="E2952" s="30" t="s">
        <v>431</v>
      </c>
      <c r="F2952" s="28" t="s">
        <v>356</v>
      </c>
      <c r="G2952" s="30" t="s">
        <v>766</v>
      </c>
      <c r="H2952" t="str">
        <f>CONCATENATE(Prequal[[#This Row],[CITY]], ", ",Prequal[[#This Row],[STATE]])</f>
        <v>East Dundee, IL</v>
      </c>
    </row>
    <row r="2953" spans="2:8" x14ac:dyDescent="0.2">
      <c r="B2953" s="27" t="s">
        <v>298</v>
      </c>
      <c r="C2953" s="28" t="s">
        <v>969</v>
      </c>
      <c r="D2953" s="29" t="s">
        <v>108</v>
      </c>
      <c r="E2953" s="30" t="s">
        <v>431</v>
      </c>
      <c r="F2953" s="28" t="s">
        <v>356</v>
      </c>
      <c r="G2953" s="30" t="s">
        <v>766</v>
      </c>
      <c r="H2953" t="str">
        <f>CONCATENATE(Prequal[[#This Row],[CITY]], ", ",Prequal[[#This Row],[STATE]])</f>
        <v>East Dundee, IL</v>
      </c>
    </row>
    <row r="2954" spans="2:8" x14ac:dyDescent="0.2">
      <c r="B2954" s="27" t="s">
        <v>299</v>
      </c>
      <c r="C2954" s="28" t="s">
        <v>970</v>
      </c>
      <c r="D2954" s="29" t="s">
        <v>4</v>
      </c>
      <c r="E2954" s="30" t="s">
        <v>947</v>
      </c>
      <c r="F2954" s="28" t="s">
        <v>356</v>
      </c>
      <c r="G2954" s="30" t="s">
        <v>767</v>
      </c>
      <c r="H2954" t="str">
        <f>CONCATENATE(Prequal[[#This Row],[CITY]], ", ",Prequal[[#This Row],[STATE]])</f>
        <v>Chicago, IL</v>
      </c>
    </row>
    <row r="2955" spans="2:8" x14ac:dyDescent="0.2">
      <c r="B2955" s="27" t="s">
        <v>299</v>
      </c>
      <c r="C2955" s="28" t="s">
        <v>970</v>
      </c>
      <c r="D2955" s="29" t="s">
        <v>5</v>
      </c>
      <c r="E2955" s="30" t="s">
        <v>947</v>
      </c>
      <c r="F2955" s="28" t="s">
        <v>356</v>
      </c>
      <c r="G2955" s="30" t="s">
        <v>767</v>
      </c>
      <c r="H2955" t="str">
        <f>CONCATENATE(Prequal[[#This Row],[CITY]], ", ",Prequal[[#This Row],[STATE]])</f>
        <v>Chicago, IL</v>
      </c>
    </row>
    <row r="2956" spans="2:8" x14ac:dyDescent="0.2">
      <c r="B2956" s="27" t="s">
        <v>299</v>
      </c>
      <c r="C2956" s="28" t="s">
        <v>970</v>
      </c>
      <c r="D2956" s="29" t="s">
        <v>9</v>
      </c>
      <c r="E2956" s="30" t="s">
        <v>947</v>
      </c>
      <c r="F2956" s="28" t="s">
        <v>356</v>
      </c>
      <c r="G2956" s="30" t="s">
        <v>767</v>
      </c>
      <c r="H2956" t="str">
        <f>CONCATENATE(Prequal[[#This Row],[CITY]], ", ",Prequal[[#This Row],[STATE]])</f>
        <v>Chicago, IL</v>
      </c>
    </row>
    <row r="2957" spans="2:8" x14ac:dyDescent="0.2">
      <c r="B2957" s="27" t="s">
        <v>299</v>
      </c>
      <c r="C2957" s="28" t="s">
        <v>970</v>
      </c>
      <c r="D2957" s="29" t="s">
        <v>26</v>
      </c>
      <c r="E2957" s="30" t="s">
        <v>947</v>
      </c>
      <c r="F2957" s="28" t="s">
        <v>356</v>
      </c>
      <c r="G2957" s="30" t="s">
        <v>767</v>
      </c>
      <c r="H2957" t="str">
        <f>CONCATENATE(Prequal[[#This Row],[CITY]], ", ",Prequal[[#This Row],[STATE]])</f>
        <v>Chicago, IL</v>
      </c>
    </row>
    <row r="2958" spans="2:8" x14ac:dyDescent="0.2">
      <c r="B2958" s="27" t="s">
        <v>299</v>
      </c>
      <c r="C2958" s="28" t="s">
        <v>970</v>
      </c>
      <c r="D2958" s="29" t="s">
        <v>20</v>
      </c>
      <c r="E2958" s="30" t="s">
        <v>947</v>
      </c>
      <c r="F2958" s="28" t="s">
        <v>356</v>
      </c>
      <c r="G2958" s="30" t="s">
        <v>767</v>
      </c>
      <c r="H2958" t="str">
        <f>CONCATENATE(Prequal[[#This Row],[CITY]], ", ",Prequal[[#This Row],[STATE]])</f>
        <v>Chicago, IL</v>
      </c>
    </row>
    <row r="2959" spans="2:8" x14ac:dyDescent="0.2">
      <c r="B2959" s="27" t="s">
        <v>299</v>
      </c>
      <c r="C2959" s="28" t="s">
        <v>970</v>
      </c>
      <c r="D2959" s="29" t="s">
        <v>27</v>
      </c>
      <c r="E2959" s="30" t="s">
        <v>947</v>
      </c>
      <c r="F2959" s="28" t="s">
        <v>356</v>
      </c>
      <c r="G2959" s="30" t="s">
        <v>767</v>
      </c>
      <c r="H2959" t="str">
        <f>CONCATENATE(Prequal[[#This Row],[CITY]], ", ",Prequal[[#This Row],[STATE]])</f>
        <v>Chicago, IL</v>
      </c>
    </row>
    <row r="2960" spans="2:8" x14ac:dyDescent="0.2">
      <c r="B2960" s="27" t="s">
        <v>299</v>
      </c>
      <c r="C2960" s="28" t="s">
        <v>970</v>
      </c>
      <c r="D2960" s="29" t="s">
        <v>10</v>
      </c>
      <c r="E2960" s="30" t="s">
        <v>947</v>
      </c>
      <c r="F2960" s="28" t="s">
        <v>356</v>
      </c>
      <c r="G2960" s="30" t="s">
        <v>767</v>
      </c>
      <c r="H2960" t="str">
        <f>CONCATENATE(Prequal[[#This Row],[CITY]], ", ",Prequal[[#This Row],[STATE]])</f>
        <v>Chicago, IL</v>
      </c>
    </row>
    <row r="2961" spans="2:8" x14ac:dyDescent="0.2">
      <c r="B2961" s="27" t="s">
        <v>299</v>
      </c>
      <c r="C2961" s="28" t="s">
        <v>970</v>
      </c>
      <c r="D2961" s="29" t="s">
        <v>21</v>
      </c>
      <c r="E2961" s="30" t="s">
        <v>947</v>
      </c>
      <c r="F2961" s="28" t="s">
        <v>356</v>
      </c>
      <c r="G2961" s="30" t="s">
        <v>767</v>
      </c>
      <c r="H2961" t="str">
        <f>CONCATENATE(Prequal[[#This Row],[CITY]], ", ",Prequal[[#This Row],[STATE]])</f>
        <v>Chicago, IL</v>
      </c>
    </row>
    <row r="2962" spans="2:8" x14ac:dyDescent="0.2">
      <c r="B2962" s="27" t="s">
        <v>299</v>
      </c>
      <c r="C2962" s="28" t="s">
        <v>970</v>
      </c>
      <c r="D2962" s="29" t="s">
        <v>28</v>
      </c>
      <c r="E2962" s="30" t="s">
        <v>947</v>
      </c>
      <c r="F2962" s="28" t="s">
        <v>356</v>
      </c>
      <c r="G2962" s="30" t="s">
        <v>767</v>
      </c>
      <c r="H2962" t="str">
        <f>CONCATENATE(Prequal[[#This Row],[CITY]], ", ",Prequal[[#This Row],[STATE]])</f>
        <v>Chicago, IL</v>
      </c>
    </row>
    <row r="2963" spans="2:8" x14ac:dyDescent="0.2">
      <c r="B2963" s="27" t="s">
        <v>299</v>
      </c>
      <c r="C2963" s="28" t="s">
        <v>970</v>
      </c>
      <c r="D2963" s="29" t="s">
        <v>29</v>
      </c>
      <c r="E2963" s="30" t="s">
        <v>947</v>
      </c>
      <c r="F2963" s="28" t="s">
        <v>356</v>
      </c>
      <c r="G2963" s="30" t="s">
        <v>767</v>
      </c>
      <c r="H2963" t="str">
        <f>CONCATENATE(Prequal[[#This Row],[CITY]], ", ",Prequal[[#This Row],[STATE]])</f>
        <v>Chicago, IL</v>
      </c>
    </row>
    <row r="2964" spans="2:8" x14ac:dyDescent="0.2">
      <c r="B2964" s="27" t="s">
        <v>299</v>
      </c>
      <c r="C2964" s="28" t="s">
        <v>970</v>
      </c>
      <c r="D2964" s="29" t="s">
        <v>13</v>
      </c>
      <c r="E2964" s="30" t="s">
        <v>947</v>
      </c>
      <c r="F2964" s="28" t="s">
        <v>356</v>
      </c>
      <c r="G2964" s="30" t="s">
        <v>767</v>
      </c>
      <c r="H2964" t="str">
        <f>CONCATENATE(Prequal[[#This Row],[CITY]], ", ",Prequal[[#This Row],[STATE]])</f>
        <v>Chicago, IL</v>
      </c>
    </row>
    <row r="2965" spans="2:8" x14ac:dyDescent="0.2">
      <c r="B2965" s="27" t="s">
        <v>299</v>
      </c>
      <c r="C2965" s="28" t="s">
        <v>970</v>
      </c>
      <c r="D2965" s="29" t="s">
        <v>14</v>
      </c>
      <c r="E2965" s="30" t="s">
        <v>947</v>
      </c>
      <c r="F2965" s="28" t="s">
        <v>356</v>
      </c>
      <c r="G2965" s="30" t="s">
        <v>767</v>
      </c>
      <c r="H2965" t="str">
        <f>CONCATENATE(Prequal[[#This Row],[CITY]], ", ",Prequal[[#This Row],[STATE]])</f>
        <v>Chicago, IL</v>
      </c>
    </row>
    <row r="2966" spans="2:8" x14ac:dyDescent="0.2">
      <c r="B2966" s="27" t="s">
        <v>299</v>
      </c>
      <c r="C2966" s="28" t="s">
        <v>970</v>
      </c>
      <c r="D2966" s="29" t="s">
        <v>15</v>
      </c>
      <c r="E2966" s="30" t="s">
        <v>947</v>
      </c>
      <c r="F2966" s="28" t="s">
        <v>356</v>
      </c>
      <c r="G2966" s="30" t="s">
        <v>767</v>
      </c>
      <c r="H2966" t="str">
        <f>CONCATENATE(Prequal[[#This Row],[CITY]], ", ",Prequal[[#This Row],[STATE]])</f>
        <v>Chicago, IL</v>
      </c>
    </row>
    <row r="2967" spans="2:8" x14ac:dyDescent="0.2">
      <c r="B2967" s="27" t="s">
        <v>299</v>
      </c>
      <c r="C2967" s="28" t="s">
        <v>970</v>
      </c>
      <c r="D2967" s="29" t="s">
        <v>30</v>
      </c>
      <c r="E2967" s="30" t="s">
        <v>947</v>
      </c>
      <c r="F2967" s="28" t="s">
        <v>356</v>
      </c>
      <c r="G2967" s="30" t="s">
        <v>767</v>
      </c>
      <c r="H2967" t="str">
        <f>CONCATENATE(Prequal[[#This Row],[CITY]], ", ",Prequal[[#This Row],[STATE]])</f>
        <v>Chicago, IL</v>
      </c>
    </row>
    <row r="2968" spans="2:8" x14ac:dyDescent="0.2">
      <c r="B2968" s="27" t="s">
        <v>299</v>
      </c>
      <c r="C2968" s="28" t="s">
        <v>970</v>
      </c>
      <c r="D2968" s="29" t="s">
        <v>53</v>
      </c>
      <c r="E2968" s="30" t="s">
        <v>947</v>
      </c>
      <c r="F2968" s="28" t="s">
        <v>356</v>
      </c>
      <c r="G2968" s="30" t="s">
        <v>767</v>
      </c>
      <c r="H2968" t="str">
        <f>CONCATENATE(Prequal[[#This Row],[CITY]], ", ",Prequal[[#This Row],[STATE]])</f>
        <v>Chicago, IL</v>
      </c>
    </row>
    <row r="2969" spans="2:8" x14ac:dyDescent="0.2">
      <c r="B2969" s="27" t="s">
        <v>299</v>
      </c>
      <c r="C2969" s="28" t="s">
        <v>970</v>
      </c>
      <c r="D2969" s="29" t="s">
        <v>31</v>
      </c>
      <c r="E2969" s="30" t="s">
        <v>947</v>
      </c>
      <c r="F2969" s="28" t="s">
        <v>356</v>
      </c>
      <c r="G2969" s="30" t="s">
        <v>767</v>
      </c>
      <c r="H2969" t="str">
        <f>CONCATENATE(Prequal[[#This Row],[CITY]], ", ",Prequal[[#This Row],[STATE]])</f>
        <v>Chicago, IL</v>
      </c>
    </row>
    <row r="2970" spans="2:8" x14ac:dyDescent="0.2">
      <c r="B2970" s="27" t="s">
        <v>299</v>
      </c>
      <c r="C2970" s="28" t="s">
        <v>970</v>
      </c>
      <c r="D2970" s="29" t="s">
        <v>32</v>
      </c>
      <c r="E2970" s="30" t="s">
        <v>947</v>
      </c>
      <c r="F2970" s="28" t="s">
        <v>356</v>
      </c>
      <c r="G2970" s="30" t="s">
        <v>767</v>
      </c>
      <c r="H2970" t="str">
        <f>CONCATENATE(Prequal[[#This Row],[CITY]], ", ",Prequal[[#This Row],[STATE]])</f>
        <v>Chicago, IL</v>
      </c>
    </row>
    <row r="2971" spans="2:8" x14ac:dyDescent="0.2">
      <c r="B2971" s="27" t="s">
        <v>299</v>
      </c>
      <c r="C2971" s="28" t="s">
        <v>970</v>
      </c>
      <c r="D2971" s="29" t="s">
        <v>54</v>
      </c>
      <c r="E2971" s="30" t="s">
        <v>947</v>
      </c>
      <c r="F2971" s="28" t="s">
        <v>356</v>
      </c>
      <c r="G2971" s="30" t="s">
        <v>767</v>
      </c>
      <c r="H2971" t="str">
        <f>CONCATENATE(Prequal[[#This Row],[CITY]], ", ",Prequal[[#This Row],[STATE]])</f>
        <v>Chicago, IL</v>
      </c>
    </row>
    <row r="2972" spans="2:8" x14ac:dyDescent="0.2">
      <c r="B2972" s="27" t="s">
        <v>299</v>
      </c>
      <c r="C2972" s="28" t="s">
        <v>970</v>
      </c>
      <c r="D2972" s="29" t="s">
        <v>38</v>
      </c>
      <c r="E2972" s="30" t="s">
        <v>947</v>
      </c>
      <c r="F2972" s="28" t="s">
        <v>356</v>
      </c>
      <c r="G2972" s="30" t="s">
        <v>767</v>
      </c>
      <c r="H2972" t="str">
        <f>CONCATENATE(Prequal[[#This Row],[CITY]], ", ",Prequal[[#This Row],[STATE]])</f>
        <v>Chicago, IL</v>
      </c>
    </row>
    <row r="2973" spans="2:8" x14ac:dyDescent="0.2">
      <c r="B2973" s="27" t="s">
        <v>300</v>
      </c>
      <c r="C2973" s="28" t="s">
        <v>969</v>
      </c>
      <c r="D2973" s="29" t="s">
        <v>4</v>
      </c>
      <c r="E2973" s="30" t="s">
        <v>405</v>
      </c>
      <c r="F2973" s="28" t="s">
        <v>378</v>
      </c>
      <c r="G2973" s="30" t="s">
        <v>932</v>
      </c>
      <c r="H2973" t="str">
        <f>CONCATENATE(Prequal[[#This Row],[CITY]], ", ",Prequal[[#This Row],[STATE]])</f>
        <v>Joliet, WI</v>
      </c>
    </row>
    <row r="2974" spans="2:8" x14ac:dyDescent="0.2">
      <c r="B2974" s="27" t="s">
        <v>300</v>
      </c>
      <c r="C2974" s="28" t="s">
        <v>969</v>
      </c>
      <c r="D2974" s="29" t="s">
        <v>5</v>
      </c>
      <c r="E2974" s="30" t="s">
        <v>405</v>
      </c>
      <c r="F2974" s="28" t="s">
        <v>378</v>
      </c>
      <c r="G2974" s="30" t="s">
        <v>932</v>
      </c>
      <c r="H2974" t="str">
        <f>CONCATENATE(Prequal[[#This Row],[CITY]], ", ",Prequal[[#This Row],[STATE]])</f>
        <v>Joliet, WI</v>
      </c>
    </row>
    <row r="2975" spans="2:8" x14ac:dyDescent="0.2">
      <c r="B2975" s="27" t="s">
        <v>300</v>
      </c>
      <c r="C2975" s="28" t="s">
        <v>969</v>
      </c>
      <c r="D2975" s="29" t="s">
        <v>6</v>
      </c>
      <c r="E2975" s="30" t="s">
        <v>405</v>
      </c>
      <c r="F2975" s="28" t="s">
        <v>378</v>
      </c>
      <c r="G2975" s="30" t="s">
        <v>932</v>
      </c>
      <c r="H2975" t="str">
        <f>CONCATENATE(Prequal[[#This Row],[CITY]], ", ",Prequal[[#This Row],[STATE]])</f>
        <v>Joliet, WI</v>
      </c>
    </row>
    <row r="2976" spans="2:8" x14ac:dyDescent="0.2">
      <c r="B2976" s="27" t="s">
        <v>300</v>
      </c>
      <c r="C2976" s="28" t="s">
        <v>969</v>
      </c>
      <c r="D2976" s="29" t="s">
        <v>7</v>
      </c>
      <c r="E2976" s="30" t="s">
        <v>405</v>
      </c>
      <c r="F2976" s="28" t="s">
        <v>378</v>
      </c>
      <c r="G2976" s="30" t="s">
        <v>932</v>
      </c>
      <c r="H2976" t="str">
        <f>CONCATENATE(Prequal[[#This Row],[CITY]], ", ",Prequal[[#This Row],[STATE]])</f>
        <v>Joliet, WI</v>
      </c>
    </row>
    <row r="2977" spans="2:8" x14ac:dyDescent="0.2">
      <c r="B2977" s="27" t="s">
        <v>300</v>
      </c>
      <c r="C2977" s="28" t="s">
        <v>969</v>
      </c>
      <c r="D2977" s="29" t="s">
        <v>8</v>
      </c>
      <c r="E2977" s="30" t="s">
        <v>405</v>
      </c>
      <c r="F2977" s="28" t="s">
        <v>378</v>
      </c>
      <c r="G2977" s="30" t="s">
        <v>932</v>
      </c>
      <c r="H2977" t="str">
        <f>CONCATENATE(Prequal[[#This Row],[CITY]], ", ",Prequal[[#This Row],[STATE]])</f>
        <v>Joliet, WI</v>
      </c>
    </row>
    <row r="2978" spans="2:8" x14ac:dyDescent="0.2">
      <c r="B2978" s="27" t="s">
        <v>300</v>
      </c>
      <c r="C2978" s="28" t="s">
        <v>969</v>
      </c>
      <c r="D2978" s="29" t="s">
        <v>24</v>
      </c>
      <c r="E2978" s="30" t="s">
        <v>405</v>
      </c>
      <c r="F2978" s="28" t="s">
        <v>378</v>
      </c>
      <c r="G2978" s="30" t="s">
        <v>932</v>
      </c>
      <c r="H2978" t="str">
        <f>CONCATENATE(Prequal[[#This Row],[CITY]], ", ",Prequal[[#This Row],[STATE]])</f>
        <v>Joliet, WI</v>
      </c>
    </row>
    <row r="2979" spans="2:8" x14ac:dyDescent="0.2">
      <c r="B2979" s="27" t="s">
        <v>300</v>
      </c>
      <c r="C2979" s="28" t="s">
        <v>969</v>
      </c>
      <c r="D2979" s="29" t="s">
        <v>25</v>
      </c>
      <c r="E2979" s="30" t="s">
        <v>405</v>
      </c>
      <c r="F2979" s="28" t="s">
        <v>378</v>
      </c>
      <c r="G2979" s="30" t="s">
        <v>932</v>
      </c>
      <c r="H2979" t="str">
        <f>CONCATENATE(Prequal[[#This Row],[CITY]], ", ",Prequal[[#This Row],[STATE]])</f>
        <v>Joliet, WI</v>
      </c>
    </row>
    <row r="2980" spans="2:8" x14ac:dyDescent="0.2">
      <c r="B2980" s="27" t="s">
        <v>300</v>
      </c>
      <c r="C2980" s="28" t="s">
        <v>969</v>
      </c>
      <c r="D2980" s="29" t="s">
        <v>9</v>
      </c>
      <c r="E2980" s="30" t="s">
        <v>405</v>
      </c>
      <c r="F2980" s="28" t="s">
        <v>378</v>
      </c>
      <c r="G2980" s="30" t="s">
        <v>932</v>
      </c>
      <c r="H2980" t="str">
        <f>CONCATENATE(Prequal[[#This Row],[CITY]], ", ",Prequal[[#This Row],[STATE]])</f>
        <v>Joliet, WI</v>
      </c>
    </row>
    <row r="2981" spans="2:8" x14ac:dyDescent="0.2">
      <c r="B2981" s="27" t="s">
        <v>300</v>
      </c>
      <c r="C2981" s="28" t="s">
        <v>969</v>
      </c>
      <c r="D2981" s="29" t="s">
        <v>26</v>
      </c>
      <c r="E2981" s="30" t="s">
        <v>405</v>
      </c>
      <c r="F2981" s="28" t="s">
        <v>378</v>
      </c>
      <c r="G2981" s="30" t="s">
        <v>932</v>
      </c>
      <c r="H2981" t="str">
        <f>CONCATENATE(Prequal[[#This Row],[CITY]], ", ",Prequal[[#This Row],[STATE]])</f>
        <v>Joliet, WI</v>
      </c>
    </row>
    <row r="2982" spans="2:8" x14ac:dyDescent="0.2">
      <c r="B2982" s="27" t="s">
        <v>300</v>
      </c>
      <c r="C2982" s="28" t="s">
        <v>969</v>
      </c>
      <c r="D2982" s="29" t="s">
        <v>20</v>
      </c>
      <c r="E2982" s="30" t="s">
        <v>405</v>
      </c>
      <c r="F2982" s="28" t="s">
        <v>378</v>
      </c>
      <c r="G2982" s="30" t="s">
        <v>932</v>
      </c>
      <c r="H2982" t="str">
        <f>CONCATENATE(Prequal[[#This Row],[CITY]], ", ",Prequal[[#This Row],[STATE]])</f>
        <v>Joliet, WI</v>
      </c>
    </row>
    <row r="2983" spans="2:8" x14ac:dyDescent="0.2">
      <c r="B2983" s="27" t="s">
        <v>300</v>
      </c>
      <c r="C2983" s="28" t="s">
        <v>969</v>
      </c>
      <c r="D2983" s="29" t="s">
        <v>49</v>
      </c>
      <c r="E2983" s="30" t="s">
        <v>405</v>
      </c>
      <c r="F2983" s="28" t="s">
        <v>378</v>
      </c>
      <c r="G2983" s="30" t="s">
        <v>932</v>
      </c>
      <c r="H2983" t="str">
        <f>CONCATENATE(Prequal[[#This Row],[CITY]], ", ",Prequal[[#This Row],[STATE]])</f>
        <v>Joliet, WI</v>
      </c>
    </row>
    <row r="2984" spans="2:8" x14ac:dyDescent="0.2">
      <c r="B2984" s="27" t="s">
        <v>300</v>
      </c>
      <c r="C2984" s="28" t="s">
        <v>969</v>
      </c>
      <c r="D2984" s="29" t="s">
        <v>27</v>
      </c>
      <c r="E2984" s="30" t="s">
        <v>405</v>
      </c>
      <c r="F2984" s="28" t="s">
        <v>378</v>
      </c>
      <c r="G2984" s="30" t="s">
        <v>932</v>
      </c>
      <c r="H2984" t="str">
        <f>CONCATENATE(Prequal[[#This Row],[CITY]], ", ",Prequal[[#This Row],[STATE]])</f>
        <v>Joliet, WI</v>
      </c>
    </row>
    <row r="2985" spans="2:8" x14ac:dyDescent="0.2">
      <c r="B2985" s="27" t="s">
        <v>300</v>
      </c>
      <c r="C2985" s="28" t="s">
        <v>969</v>
      </c>
      <c r="D2985" s="29" t="s">
        <v>10</v>
      </c>
      <c r="E2985" s="30" t="s">
        <v>405</v>
      </c>
      <c r="F2985" s="28" t="s">
        <v>378</v>
      </c>
      <c r="G2985" s="30" t="s">
        <v>932</v>
      </c>
      <c r="H2985" t="str">
        <f>CONCATENATE(Prequal[[#This Row],[CITY]], ", ",Prequal[[#This Row],[STATE]])</f>
        <v>Joliet, WI</v>
      </c>
    </row>
    <row r="2986" spans="2:8" x14ac:dyDescent="0.2">
      <c r="B2986" s="27" t="s">
        <v>300</v>
      </c>
      <c r="C2986" s="28" t="s">
        <v>969</v>
      </c>
      <c r="D2986" s="29" t="s">
        <v>21</v>
      </c>
      <c r="E2986" s="30" t="s">
        <v>405</v>
      </c>
      <c r="F2986" s="28" t="s">
        <v>378</v>
      </c>
      <c r="G2986" s="30" t="s">
        <v>932</v>
      </c>
      <c r="H2986" t="str">
        <f>CONCATENATE(Prequal[[#This Row],[CITY]], ", ",Prequal[[#This Row],[STATE]])</f>
        <v>Joliet, WI</v>
      </c>
    </row>
    <row r="2987" spans="2:8" x14ac:dyDescent="0.2">
      <c r="B2987" s="27" t="s">
        <v>300</v>
      </c>
      <c r="C2987" s="28" t="s">
        <v>969</v>
      </c>
      <c r="D2987" s="29" t="s">
        <v>22</v>
      </c>
      <c r="E2987" s="30" t="s">
        <v>405</v>
      </c>
      <c r="F2987" s="28" t="s">
        <v>378</v>
      </c>
      <c r="G2987" s="30" t="s">
        <v>932</v>
      </c>
      <c r="H2987" t="str">
        <f>CONCATENATE(Prequal[[#This Row],[CITY]], ", ",Prequal[[#This Row],[STATE]])</f>
        <v>Joliet, WI</v>
      </c>
    </row>
    <row r="2988" spans="2:8" x14ac:dyDescent="0.2">
      <c r="B2988" s="27" t="s">
        <v>300</v>
      </c>
      <c r="C2988" s="28" t="s">
        <v>969</v>
      </c>
      <c r="D2988" s="29" t="s">
        <v>39</v>
      </c>
      <c r="E2988" s="30" t="s">
        <v>405</v>
      </c>
      <c r="F2988" s="28" t="s">
        <v>378</v>
      </c>
      <c r="G2988" s="30" t="s">
        <v>932</v>
      </c>
      <c r="H2988" t="str">
        <f>CONCATENATE(Prequal[[#This Row],[CITY]], ", ",Prequal[[#This Row],[STATE]])</f>
        <v>Joliet, WI</v>
      </c>
    </row>
    <row r="2989" spans="2:8" x14ac:dyDescent="0.2">
      <c r="B2989" s="27" t="s">
        <v>300</v>
      </c>
      <c r="C2989" s="28" t="s">
        <v>969</v>
      </c>
      <c r="D2989" s="29" t="s">
        <v>12</v>
      </c>
      <c r="E2989" s="30" t="s">
        <v>405</v>
      </c>
      <c r="F2989" s="28" t="s">
        <v>378</v>
      </c>
      <c r="G2989" s="30" t="s">
        <v>932</v>
      </c>
      <c r="H2989" t="str">
        <f>CONCATENATE(Prequal[[#This Row],[CITY]], ", ",Prequal[[#This Row],[STATE]])</f>
        <v>Joliet, WI</v>
      </c>
    </row>
    <row r="2990" spans="2:8" x14ac:dyDescent="0.2">
      <c r="B2990" s="27" t="s">
        <v>300</v>
      </c>
      <c r="C2990" s="28" t="s">
        <v>969</v>
      </c>
      <c r="D2990" s="29" t="s">
        <v>37</v>
      </c>
      <c r="E2990" s="30" t="s">
        <v>405</v>
      </c>
      <c r="F2990" s="28" t="s">
        <v>378</v>
      </c>
      <c r="G2990" s="30" t="s">
        <v>932</v>
      </c>
      <c r="H2990" t="str">
        <f>CONCATENATE(Prequal[[#This Row],[CITY]], ", ",Prequal[[#This Row],[STATE]])</f>
        <v>Joliet, WI</v>
      </c>
    </row>
    <row r="2991" spans="2:8" x14ac:dyDescent="0.2">
      <c r="B2991" s="27" t="s">
        <v>300</v>
      </c>
      <c r="C2991" s="28" t="s">
        <v>969</v>
      </c>
      <c r="D2991" s="29" t="s">
        <v>13</v>
      </c>
      <c r="E2991" s="30" t="s">
        <v>405</v>
      </c>
      <c r="F2991" s="28" t="s">
        <v>378</v>
      </c>
      <c r="G2991" s="30" t="s">
        <v>932</v>
      </c>
      <c r="H2991" t="str">
        <f>CONCATENATE(Prequal[[#This Row],[CITY]], ", ",Prequal[[#This Row],[STATE]])</f>
        <v>Joliet, WI</v>
      </c>
    </row>
    <row r="2992" spans="2:8" x14ac:dyDescent="0.2">
      <c r="B2992" s="27" t="s">
        <v>300</v>
      </c>
      <c r="C2992" s="28" t="s">
        <v>969</v>
      </c>
      <c r="D2992" s="29" t="s">
        <v>14</v>
      </c>
      <c r="E2992" s="30" t="s">
        <v>405</v>
      </c>
      <c r="F2992" s="28" t="s">
        <v>378</v>
      </c>
      <c r="G2992" s="30" t="s">
        <v>932</v>
      </c>
      <c r="H2992" t="str">
        <f>CONCATENATE(Prequal[[#This Row],[CITY]], ", ",Prequal[[#This Row],[STATE]])</f>
        <v>Joliet, WI</v>
      </c>
    </row>
    <row r="2993" spans="2:8" x14ac:dyDescent="0.2">
      <c r="B2993" s="27" t="s">
        <v>300</v>
      </c>
      <c r="C2993" s="28" t="s">
        <v>969</v>
      </c>
      <c r="D2993" s="29" t="s">
        <v>15</v>
      </c>
      <c r="E2993" s="30" t="s">
        <v>405</v>
      </c>
      <c r="F2993" s="28" t="s">
        <v>378</v>
      </c>
      <c r="G2993" s="30" t="s">
        <v>932</v>
      </c>
      <c r="H2993" t="str">
        <f>CONCATENATE(Prequal[[#This Row],[CITY]], ", ",Prequal[[#This Row],[STATE]])</f>
        <v>Joliet, WI</v>
      </c>
    </row>
    <row r="2994" spans="2:8" x14ac:dyDescent="0.2">
      <c r="B2994" s="27" t="s">
        <v>300</v>
      </c>
      <c r="C2994" s="28" t="s">
        <v>969</v>
      </c>
      <c r="D2994" s="29" t="s">
        <v>30</v>
      </c>
      <c r="E2994" s="30" t="s">
        <v>405</v>
      </c>
      <c r="F2994" s="28" t="s">
        <v>378</v>
      </c>
      <c r="G2994" s="30" t="s">
        <v>932</v>
      </c>
      <c r="H2994" t="str">
        <f>CONCATENATE(Prequal[[#This Row],[CITY]], ", ",Prequal[[#This Row],[STATE]])</f>
        <v>Joliet, WI</v>
      </c>
    </row>
    <row r="2995" spans="2:8" x14ac:dyDescent="0.2">
      <c r="B2995" s="27" t="s">
        <v>300</v>
      </c>
      <c r="C2995" s="28" t="s">
        <v>969</v>
      </c>
      <c r="D2995" s="29" t="s">
        <v>53</v>
      </c>
      <c r="E2995" s="30" t="s">
        <v>405</v>
      </c>
      <c r="F2995" s="28" t="s">
        <v>378</v>
      </c>
      <c r="G2995" s="30" t="s">
        <v>932</v>
      </c>
      <c r="H2995" t="str">
        <f>CONCATENATE(Prequal[[#This Row],[CITY]], ", ",Prequal[[#This Row],[STATE]])</f>
        <v>Joliet, WI</v>
      </c>
    </row>
    <row r="2996" spans="2:8" x14ac:dyDescent="0.2">
      <c r="B2996" s="27" t="s">
        <v>300</v>
      </c>
      <c r="C2996" s="28" t="s">
        <v>969</v>
      </c>
      <c r="D2996" s="29" t="s">
        <v>31</v>
      </c>
      <c r="E2996" s="30" t="s">
        <v>405</v>
      </c>
      <c r="F2996" s="28" t="s">
        <v>378</v>
      </c>
      <c r="G2996" s="30" t="s">
        <v>932</v>
      </c>
      <c r="H2996" t="str">
        <f>CONCATENATE(Prequal[[#This Row],[CITY]], ", ",Prequal[[#This Row],[STATE]])</f>
        <v>Joliet, WI</v>
      </c>
    </row>
    <row r="2997" spans="2:8" x14ac:dyDescent="0.2">
      <c r="B2997" s="27" t="s">
        <v>300</v>
      </c>
      <c r="C2997" s="28" t="s">
        <v>969</v>
      </c>
      <c r="D2997" s="29" t="s">
        <v>32</v>
      </c>
      <c r="E2997" s="30" t="s">
        <v>405</v>
      </c>
      <c r="F2997" s="28" t="s">
        <v>378</v>
      </c>
      <c r="G2997" s="30" t="s">
        <v>932</v>
      </c>
      <c r="H2997" t="str">
        <f>CONCATENATE(Prequal[[#This Row],[CITY]], ", ",Prequal[[#This Row],[STATE]])</f>
        <v>Joliet, WI</v>
      </c>
    </row>
    <row r="2998" spans="2:8" x14ac:dyDescent="0.2">
      <c r="B2998" s="27" t="s">
        <v>1047</v>
      </c>
      <c r="C2998" s="28" t="s">
        <v>970</v>
      </c>
      <c r="D2998" s="29" t="s">
        <v>48</v>
      </c>
      <c r="E2998" s="30" t="s">
        <v>410</v>
      </c>
      <c r="F2998" s="28" t="s">
        <v>356</v>
      </c>
      <c r="G2998" s="30" t="s">
        <v>1048</v>
      </c>
      <c r="H2998" t="str">
        <f>CONCATENATE(Prequal[[#This Row],[CITY]], ", ",Prequal[[#This Row],[STATE]])</f>
        <v>Palatine, IL</v>
      </c>
    </row>
    <row r="2999" spans="2:8" x14ac:dyDescent="0.2">
      <c r="B2999" s="27" t="s">
        <v>301</v>
      </c>
      <c r="C2999" s="28" t="s">
        <v>969</v>
      </c>
      <c r="D2999" s="29" t="s">
        <v>70</v>
      </c>
      <c r="E2999" s="30" t="s">
        <v>484</v>
      </c>
      <c r="F2999" s="28" t="s">
        <v>361</v>
      </c>
      <c r="G2999" s="30" t="s">
        <v>768</v>
      </c>
      <c r="H2999" t="str">
        <f>CONCATENATE(Prequal[[#This Row],[CITY]], ", ",Prequal[[#This Row],[STATE]])</f>
        <v>Lee's Summit, MO</v>
      </c>
    </row>
    <row r="3000" spans="2:8" x14ac:dyDescent="0.2">
      <c r="B3000" s="27" t="s">
        <v>302</v>
      </c>
      <c r="C3000" s="28" t="s">
        <v>969</v>
      </c>
      <c r="D3000" s="29" t="s">
        <v>59</v>
      </c>
      <c r="E3000" s="30" t="s">
        <v>947</v>
      </c>
      <c r="F3000" s="28" t="s">
        <v>356</v>
      </c>
      <c r="G3000" s="30" t="s">
        <v>769</v>
      </c>
      <c r="H3000" t="str">
        <f>CONCATENATE(Prequal[[#This Row],[CITY]], ", ",Prequal[[#This Row],[STATE]])</f>
        <v>Chicago, IL</v>
      </c>
    </row>
    <row r="3001" spans="2:8" x14ac:dyDescent="0.2">
      <c r="B3001" s="27" t="s">
        <v>303</v>
      </c>
      <c r="C3001" s="28" t="s">
        <v>969</v>
      </c>
      <c r="D3001" s="29" t="s">
        <v>35</v>
      </c>
      <c r="E3001" s="30" t="s">
        <v>947</v>
      </c>
      <c r="F3001" s="28" t="s">
        <v>356</v>
      </c>
      <c r="G3001" s="30" t="s">
        <v>854</v>
      </c>
      <c r="H3001" t="str">
        <f>CONCATENATE(Prequal[[#This Row],[CITY]], ", ",Prequal[[#This Row],[STATE]])</f>
        <v>Chicago, IL</v>
      </c>
    </row>
    <row r="3002" spans="2:8" x14ac:dyDescent="0.2">
      <c r="B3002" s="27" t="s">
        <v>303</v>
      </c>
      <c r="C3002" s="28" t="s">
        <v>969</v>
      </c>
      <c r="D3002" s="29" t="s">
        <v>43</v>
      </c>
      <c r="E3002" s="30" t="s">
        <v>947</v>
      </c>
      <c r="F3002" s="28" t="s">
        <v>356</v>
      </c>
      <c r="G3002" s="30" t="s">
        <v>854</v>
      </c>
      <c r="H3002" t="str">
        <f>CONCATENATE(Prequal[[#This Row],[CITY]], ", ",Prequal[[#This Row],[STATE]])</f>
        <v>Chicago, IL</v>
      </c>
    </row>
    <row r="3003" spans="2:8" x14ac:dyDescent="0.2">
      <c r="B3003" s="27" t="s">
        <v>303</v>
      </c>
      <c r="C3003" s="28" t="s">
        <v>969</v>
      </c>
      <c r="D3003" s="29" t="s">
        <v>44</v>
      </c>
      <c r="E3003" s="30" t="s">
        <v>947</v>
      </c>
      <c r="F3003" s="28" t="s">
        <v>356</v>
      </c>
      <c r="G3003" s="30" t="s">
        <v>854</v>
      </c>
      <c r="H3003" t="str">
        <f>CONCATENATE(Prequal[[#This Row],[CITY]], ", ",Prequal[[#This Row],[STATE]])</f>
        <v>Chicago, IL</v>
      </c>
    </row>
    <row r="3004" spans="2:8" x14ac:dyDescent="0.2">
      <c r="B3004" s="27" t="s">
        <v>303</v>
      </c>
      <c r="C3004" s="28" t="s">
        <v>969</v>
      </c>
      <c r="D3004" s="29" t="s">
        <v>46</v>
      </c>
      <c r="E3004" s="30" t="s">
        <v>947</v>
      </c>
      <c r="F3004" s="28" t="s">
        <v>356</v>
      </c>
      <c r="G3004" s="30" t="s">
        <v>854</v>
      </c>
      <c r="H3004" t="str">
        <f>CONCATENATE(Prequal[[#This Row],[CITY]], ", ",Prequal[[#This Row],[STATE]])</f>
        <v>Chicago, IL</v>
      </c>
    </row>
    <row r="3005" spans="2:8" x14ac:dyDescent="0.2">
      <c r="B3005" s="27" t="s">
        <v>303</v>
      </c>
      <c r="C3005" s="28" t="s">
        <v>969</v>
      </c>
      <c r="D3005" s="29" t="s">
        <v>47</v>
      </c>
      <c r="E3005" s="30" t="s">
        <v>947</v>
      </c>
      <c r="F3005" s="28" t="s">
        <v>356</v>
      </c>
      <c r="G3005" s="30" t="s">
        <v>854</v>
      </c>
      <c r="H3005" t="str">
        <f>CONCATENATE(Prequal[[#This Row],[CITY]], ", ",Prequal[[#This Row],[STATE]])</f>
        <v>Chicago, IL</v>
      </c>
    </row>
    <row r="3006" spans="2:8" x14ac:dyDescent="0.2">
      <c r="B3006" s="27" t="s">
        <v>303</v>
      </c>
      <c r="C3006" s="28" t="s">
        <v>969</v>
      </c>
      <c r="D3006" s="29" t="s">
        <v>4</v>
      </c>
      <c r="E3006" s="30" t="s">
        <v>947</v>
      </c>
      <c r="F3006" s="28" t="s">
        <v>356</v>
      </c>
      <c r="G3006" s="30" t="s">
        <v>854</v>
      </c>
      <c r="H3006" t="str">
        <f>CONCATENATE(Prequal[[#This Row],[CITY]], ", ",Prequal[[#This Row],[STATE]])</f>
        <v>Chicago, IL</v>
      </c>
    </row>
    <row r="3007" spans="2:8" x14ac:dyDescent="0.2">
      <c r="B3007" s="27" t="s">
        <v>303</v>
      </c>
      <c r="C3007" s="28" t="s">
        <v>969</v>
      </c>
      <c r="D3007" s="29" t="s">
        <v>5</v>
      </c>
      <c r="E3007" s="30" t="s">
        <v>947</v>
      </c>
      <c r="F3007" s="28" t="s">
        <v>356</v>
      </c>
      <c r="G3007" s="30" t="s">
        <v>854</v>
      </c>
      <c r="H3007" t="str">
        <f>CONCATENATE(Prequal[[#This Row],[CITY]], ", ",Prequal[[#This Row],[STATE]])</f>
        <v>Chicago, IL</v>
      </c>
    </row>
    <row r="3008" spans="2:8" x14ac:dyDescent="0.2">
      <c r="B3008" s="27" t="s">
        <v>303</v>
      </c>
      <c r="C3008" s="28" t="s">
        <v>969</v>
      </c>
      <c r="D3008" s="29" t="s">
        <v>7</v>
      </c>
      <c r="E3008" s="30" t="s">
        <v>947</v>
      </c>
      <c r="F3008" s="28" t="s">
        <v>356</v>
      </c>
      <c r="G3008" s="30" t="s">
        <v>854</v>
      </c>
      <c r="H3008" t="str">
        <f>CONCATENATE(Prequal[[#This Row],[CITY]], ", ",Prequal[[#This Row],[STATE]])</f>
        <v>Chicago, IL</v>
      </c>
    </row>
    <row r="3009" spans="2:8" x14ac:dyDescent="0.2">
      <c r="B3009" s="27" t="s">
        <v>303</v>
      </c>
      <c r="C3009" s="28" t="s">
        <v>969</v>
      </c>
      <c r="D3009" s="29" t="s">
        <v>8</v>
      </c>
      <c r="E3009" s="30" t="s">
        <v>947</v>
      </c>
      <c r="F3009" s="28" t="s">
        <v>356</v>
      </c>
      <c r="G3009" s="30" t="s">
        <v>854</v>
      </c>
      <c r="H3009" t="str">
        <f>CONCATENATE(Prequal[[#This Row],[CITY]], ", ",Prequal[[#This Row],[STATE]])</f>
        <v>Chicago, IL</v>
      </c>
    </row>
    <row r="3010" spans="2:8" x14ac:dyDescent="0.2">
      <c r="B3010" s="27" t="s">
        <v>303</v>
      </c>
      <c r="C3010" s="28" t="s">
        <v>969</v>
      </c>
      <c r="D3010" s="29" t="s">
        <v>24</v>
      </c>
      <c r="E3010" s="30" t="s">
        <v>947</v>
      </c>
      <c r="F3010" s="28" t="s">
        <v>356</v>
      </c>
      <c r="G3010" s="30" t="s">
        <v>854</v>
      </c>
      <c r="H3010" t="str">
        <f>CONCATENATE(Prequal[[#This Row],[CITY]], ", ",Prequal[[#This Row],[STATE]])</f>
        <v>Chicago, IL</v>
      </c>
    </row>
    <row r="3011" spans="2:8" x14ac:dyDescent="0.2">
      <c r="B3011" s="27" t="s">
        <v>303</v>
      </c>
      <c r="C3011" s="28" t="s">
        <v>969</v>
      </c>
      <c r="D3011" s="29" t="s">
        <v>25</v>
      </c>
      <c r="E3011" s="30" t="s">
        <v>947</v>
      </c>
      <c r="F3011" s="28" t="s">
        <v>356</v>
      </c>
      <c r="G3011" s="30" t="s">
        <v>854</v>
      </c>
      <c r="H3011" t="str">
        <f>CONCATENATE(Prequal[[#This Row],[CITY]], ", ",Prequal[[#This Row],[STATE]])</f>
        <v>Chicago, IL</v>
      </c>
    </row>
    <row r="3012" spans="2:8" x14ac:dyDescent="0.2">
      <c r="B3012" s="27" t="s">
        <v>303</v>
      </c>
      <c r="C3012" s="28" t="s">
        <v>969</v>
      </c>
      <c r="D3012" s="29" t="s">
        <v>9</v>
      </c>
      <c r="E3012" s="30" t="s">
        <v>947</v>
      </c>
      <c r="F3012" s="28" t="s">
        <v>356</v>
      </c>
      <c r="G3012" s="30" t="s">
        <v>854</v>
      </c>
      <c r="H3012" t="str">
        <f>CONCATENATE(Prequal[[#This Row],[CITY]], ", ",Prequal[[#This Row],[STATE]])</f>
        <v>Chicago, IL</v>
      </c>
    </row>
    <row r="3013" spans="2:8" x14ac:dyDescent="0.2">
      <c r="B3013" s="27" t="s">
        <v>303</v>
      </c>
      <c r="C3013" s="28" t="s">
        <v>969</v>
      </c>
      <c r="D3013" s="29" t="s">
        <v>27</v>
      </c>
      <c r="E3013" s="30" t="s">
        <v>947</v>
      </c>
      <c r="F3013" s="28" t="s">
        <v>356</v>
      </c>
      <c r="G3013" s="30" t="s">
        <v>854</v>
      </c>
      <c r="H3013" t="str">
        <f>CONCATENATE(Prequal[[#This Row],[CITY]], ", ",Prequal[[#This Row],[STATE]])</f>
        <v>Chicago, IL</v>
      </c>
    </row>
    <row r="3014" spans="2:8" x14ac:dyDescent="0.2">
      <c r="B3014" s="27" t="s">
        <v>303</v>
      </c>
      <c r="C3014" s="28" t="s">
        <v>969</v>
      </c>
      <c r="D3014" s="29" t="s">
        <v>10</v>
      </c>
      <c r="E3014" s="30" t="s">
        <v>947</v>
      </c>
      <c r="F3014" s="28" t="s">
        <v>356</v>
      </c>
      <c r="G3014" s="30" t="s">
        <v>854</v>
      </c>
      <c r="H3014" t="str">
        <f>CONCATENATE(Prequal[[#This Row],[CITY]], ", ",Prequal[[#This Row],[STATE]])</f>
        <v>Chicago, IL</v>
      </c>
    </row>
    <row r="3015" spans="2:8" x14ac:dyDescent="0.2">
      <c r="B3015" s="27" t="s">
        <v>303</v>
      </c>
      <c r="C3015" s="28" t="s">
        <v>969</v>
      </c>
      <c r="D3015" s="29" t="s">
        <v>21</v>
      </c>
      <c r="E3015" s="30" t="s">
        <v>947</v>
      </c>
      <c r="F3015" s="28" t="s">
        <v>356</v>
      </c>
      <c r="G3015" s="30" t="s">
        <v>854</v>
      </c>
      <c r="H3015" t="str">
        <f>CONCATENATE(Prequal[[#This Row],[CITY]], ", ",Prequal[[#This Row],[STATE]])</f>
        <v>Chicago, IL</v>
      </c>
    </row>
    <row r="3016" spans="2:8" x14ac:dyDescent="0.2">
      <c r="B3016" s="27" t="s">
        <v>303</v>
      </c>
      <c r="C3016" s="28" t="s">
        <v>969</v>
      </c>
      <c r="D3016" s="29" t="s">
        <v>11</v>
      </c>
      <c r="E3016" s="30" t="s">
        <v>947</v>
      </c>
      <c r="F3016" s="28" t="s">
        <v>356</v>
      </c>
      <c r="G3016" s="30" t="s">
        <v>854</v>
      </c>
      <c r="H3016" t="str">
        <f>CONCATENATE(Prequal[[#This Row],[CITY]], ", ",Prequal[[#This Row],[STATE]])</f>
        <v>Chicago, IL</v>
      </c>
    </row>
    <row r="3017" spans="2:8" x14ac:dyDescent="0.2">
      <c r="B3017" s="27" t="s">
        <v>303</v>
      </c>
      <c r="C3017" s="28" t="s">
        <v>969</v>
      </c>
      <c r="D3017" s="29" t="s">
        <v>22</v>
      </c>
      <c r="E3017" s="30" t="s">
        <v>947</v>
      </c>
      <c r="F3017" s="28" t="s">
        <v>356</v>
      </c>
      <c r="G3017" s="30" t="s">
        <v>854</v>
      </c>
      <c r="H3017" t="str">
        <f>CONCATENATE(Prequal[[#This Row],[CITY]], ", ",Prequal[[#This Row],[STATE]])</f>
        <v>Chicago, IL</v>
      </c>
    </row>
    <row r="3018" spans="2:8" x14ac:dyDescent="0.2">
      <c r="B3018" s="27" t="s">
        <v>303</v>
      </c>
      <c r="C3018" s="28" t="s">
        <v>969</v>
      </c>
      <c r="D3018" s="29" t="s">
        <v>51</v>
      </c>
      <c r="E3018" s="30" t="s">
        <v>947</v>
      </c>
      <c r="F3018" s="28" t="s">
        <v>356</v>
      </c>
      <c r="G3018" s="30" t="s">
        <v>854</v>
      </c>
      <c r="H3018" t="str">
        <f>CONCATENATE(Prequal[[#This Row],[CITY]], ", ",Prequal[[#This Row],[STATE]])</f>
        <v>Chicago, IL</v>
      </c>
    </row>
    <row r="3019" spans="2:8" x14ac:dyDescent="0.2">
      <c r="B3019" s="27" t="s">
        <v>303</v>
      </c>
      <c r="C3019" s="28" t="s">
        <v>969</v>
      </c>
      <c r="D3019" s="29" t="s">
        <v>37</v>
      </c>
      <c r="E3019" s="30" t="s">
        <v>947</v>
      </c>
      <c r="F3019" s="28" t="s">
        <v>356</v>
      </c>
      <c r="G3019" s="30" t="s">
        <v>854</v>
      </c>
      <c r="H3019" t="str">
        <f>CONCATENATE(Prequal[[#This Row],[CITY]], ", ",Prequal[[#This Row],[STATE]])</f>
        <v>Chicago, IL</v>
      </c>
    </row>
    <row r="3020" spans="2:8" x14ac:dyDescent="0.2">
      <c r="B3020" s="27" t="s">
        <v>303</v>
      </c>
      <c r="C3020" s="28" t="s">
        <v>969</v>
      </c>
      <c r="D3020" s="29" t="s">
        <v>13</v>
      </c>
      <c r="E3020" s="30" t="s">
        <v>947</v>
      </c>
      <c r="F3020" s="28" t="s">
        <v>356</v>
      </c>
      <c r="G3020" s="30" t="s">
        <v>854</v>
      </c>
      <c r="H3020" t="str">
        <f>CONCATENATE(Prequal[[#This Row],[CITY]], ", ",Prequal[[#This Row],[STATE]])</f>
        <v>Chicago, IL</v>
      </c>
    </row>
    <row r="3021" spans="2:8" x14ac:dyDescent="0.2">
      <c r="B3021" s="27" t="s">
        <v>303</v>
      </c>
      <c r="C3021" s="28" t="s">
        <v>969</v>
      </c>
      <c r="D3021" s="29" t="s">
        <v>14</v>
      </c>
      <c r="E3021" s="30" t="s">
        <v>947</v>
      </c>
      <c r="F3021" s="28" t="s">
        <v>356</v>
      </c>
      <c r="G3021" s="30" t="s">
        <v>854</v>
      </c>
      <c r="H3021" t="str">
        <f>CONCATENATE(Prequal[[#This Row],[CITY]], ", ",Prequal[[#This Row],[STATE]])</f>
        <v>Chicago, IL</v>
      </c>
    </row>
    <row r="3022" spans="2:8" x14ac:dyDescent="0.2">
      <c r="B3022" s="27" t="s">
        <v>303</v>
      </c>
      <c r="C3022" s="28" t="s">
        <v>969</v>
      </c>
      <c r="D3022" s="29" t="s">
        <v>15</v>
      </c>
      <c r="E3022" s="30" t="s">
        <v>947</v>
      </c>
      <c r="F3022" s="28" t="s">
        <v>356</v>
      </c>
      <c r="G3022" s="30" t="s">
        <v>854</v>
      </c>
      <c r="H3022" t="str">
        <f>CONCATENATE(Prequal[[#This Row],[CITY]], ", ",Prequal[[#This Row],[STATE]])</f>
        <v>Chicago, IL</v>
      </c>
    </row>
    <row r="3023" spans="2:8" x14ac:dyDescent="0.2">
      <c r="B3023" s="27" t="s">
        <v>303</v>
      </c>
      <c r="C3023" s="28" t="s">
        <v>969</v>
      </c>
      <c r="D3023" s="29" t="s">
        <v>30</v>
      </c>
      <c r="E3023" s="30" t="s">
        <v>947</v>
      </c>
      <c r="F3023" s="28" t="s">
        <v>356</v>
      </c>
      <c r="G3023" s="30" t="s">
        <v>854</v>
      </c>
      <c r="H3023" t="str">
        <f>CONCATENATE(Prequal[[#This Row],[CITY]], ", ",Prequal[[#This Row],[STATE]])</f>
        <v>Chicago, IL</v>
      </c>
    </row>
    <row r="3024" spans="2:8" x14ac:dyDescent="0.2">
      <c r="B3024" s="27" t="s">
        <v>303</v>
      </c>
      <c r="C3024" s="28" t="s">
        <v>969</v>
      </c>
      <c r="D3024" s="29" t="s">
        <v>53</v>
      </c>
      <c r="E3024" s="30" t="s">
        <v>947</v>
      </c>
      <c r="F3024" s="28" t="s">
        <v>356</v>
      </c>
      <c r="G3024" s="30" t="s">
        <v>854</v>
      </c>
      <c r="H3024" t="str">
        <f>CONCATENATE(Prequal[[#This Row],[CITY]], ", ",Prequal[[#This Row],[STATE]])</f>
        <v>Chicago, IL</v>
      </c>
    </row>
    <row r="3025" spans="2:8" x14ac:dyDescent="0.2">
      <c r="B3025" s="27" t="s">
        <v>303</v>
      </c>
      <c r="C3025" s="28" t="s">
        <v>969</v>
      </c>
      <c r="D3025" s="29" t="s">
        <v>31</v>
      </c>
      <c r="E3025" s="30" t="s">
        <v>947</v>
      </c>
      <c r="F3025" s="28" t="s">
        <v>356</v>
      </c>
      <c r="G3025" s="30" t="s">
        <v>854</v>
      </c>
      <c r="H3025" t="str">
        <f>CONCATENATE(Prequal[[#This Row],[CITY]], ", ",Prequal[[#This Row],[STATE]])</f>
        <v>Chicago, IL</v>
      </c>
    </row>
    <row r="3026" spans="2:8" x14ac:dyDescent="0.2">
      <c r="B3026" s="27" t="s">
        <v>303</v>
      </c>
      <c r="C3026" s="28" t="s">
        <v>969</v>
      </c>
      <c r="D3026" s="29" t="s">
        <v>32</v>
      </c>
      <c r="E3026" s="30" t="s">
        <v>947</v>
      </c>
      <c r="F3026" s="28" t="s">
        <v>356</v>
      </c>
      <c r="G3026" s="30" t="s">
        <v>854</v>
      </c>
      <c r="H3026" t="str">
        <f>CONCATENATE(Prequal[[#This Row],[CITY]], ", ",Prequal[[#This Row],[STATE]])</f>
        <v>Chicago, IL</v>
      </c>
    </row>
    <row r="3027" spans="2:8" x14ac:dyDescent="0.2">
      <c r="B3027" s="27" t="s">
        <v>303</v>
      </c>
      <c r="C3027" s="28" t="s">
        <v>969</v>
      </c>
      <c r="D3027" s="29" t="s">
        <v>54</v>
      </c>
      <c r="E3027" s="30" t="s">
        <v>947</v>
      </c>
      <c r="F3027" s="28" t="s">
        <v>356</v>
      </c>
      <c r="G3027" s="30" t="s">
        <v>854</v>
      </c>
      <c r="H3027" t="str">
        <f>CONCATENATE(Prequal[[#This Row],[CITY]], ", ",Prequal[[#This Row],[STATE]])</f>
        <v>Chicago, IL</v>
      </c>
    </row>
    <row r="3028" spans="2:8" x14ac:dyDescent="0.2">
      <c r="B3028" s="27" t="s">
        <v>303</v>
      </c>
      <c r="C3028" s="28" t="s">
        <v>969</v>
      </c>
      <c r="D3028" s="29" t="s">
        <v>38</v>
      </c>
      <c r="E3028" s="30" t="s">
        <v>947</v>
      </c>
      <c r="F3028" s="28" t="s">
        <v>356</v>
      </c>
      <c r="G3028" s="30" t="s">
        <v>854</v>
      </c>
      <c r="H3028" t="str">
        <f>CONCATENATE(Prequal[[#This Row],[CITY]], ", ",Prequal[[#This Row],[STATE]])</f>
        <v>Chicago, IL</v>
      </c>
    </row>
    <row r="3029" spans="2:8" x14ac:dyDescent="0.2">
      <c r="B3029" s="27" t="s">
        <v>303</v>
      </c>
      <c r="C3029" s="28" t="s">
        <v>969</v>
      </c>
      <c r="D3029" s="29" t="s">
        <v>55</v>
      </c>
      <c r="E3029" s="30" t="s">
        <v>947</v>
      </c>
      <c r="F3029" s="28" t="s">
        <v>356</v>
      </c>
      <c r="G3029" s="30" t="s">
        <v>854</v>
      </c>
      <c r="H3029" t="str">
        <f>CONCATENATE(Prequal[[#This Row],[CITY]], ", ",Prequal[[#This Row],[STATE]])</f>
        <v>Chicago, IL</v>
      </c>
    </row>
    <row r="3030" spans="2:8" x14ac:dyDescent="0.2">
      <c r="B3030" s="27" t="s">
        <v>303</v>
      </c>
      <c r="C3030" s="28" t="s">
        <v>969</v>
      </c>
      <c r="D3030" s="29" t="s">
        <v>56</v>
      </c>
      <c r="E3030" s="30" t="s">
        <v>947</v>
      </c>
      <c r="F3030" s="28" t="s">
        <v>356</v>
      </c>
      <c r="G3030" s="30" t="s">
        <v>854</v>
      </c>
      <c r="H3030" t="str">
        <f>CONCATENATE(Prequal[[#This Row],[CITY]], ", ",Prequal[[#This Row],[STATE]])</f>
        <v>Chicago, IL</v>
      </c>
    </row>
    <row r="3031" spans="2:8" x14ac:dyDescent="0.2">
      <c r="B3031" s="27" t="s">
        <v>303</v>
      </c>
      <c r="C3031" s="28" t="s">
        <v>969</v>
      </c>
      <c r="D3031" s="29" t="s">
        <v>33</v>
      </c>
      <c r="E3031" s="30" t="s">
        <v>947</v>
      </c>
      <c r="F3031" s="28" t="s">
        <v>356</v>
      </c>
      <c r="G3031" s="30" t="s">
        <v>854</v>
      </c>
      <c r="H3031" t="str">
        <f>CONCATENATE(Prequal[[#This Row],[CITY]], ", ",Prequal[[#This Row],[STATE]])</f>
        <v>Chicago, IL</v>
      </c>
    </row>
    <row r="3032" spans="2:8" x14ac:dyDescent="0.2">
      <c r="B3032" s="27" t="s">
        <v>303</v>
      </c>
      <c r="C3032" s="28" t="s">
        <v>969</v>
      </c>
      <c r="D3032" s="29" t="s">
        <v>57</v>
      </c>
      <c r="E3032" s="30" t="s">
        <v>947</v>
      </c>
      <c r="F3032" s="28" t="s">
        <v>356</v>
      </c>
      <c r="G3032" s="30" t="s">
        <v>854</v>
      </c>
      <c r="H3032" t="str">
        <f>CONCATENATE(Prequal[[#This Row],[CITY]], ", ",Prequal[[#This Row],[STATE]])</f>
        <v>Chicago, IL</v>
      </c>
    </row>
    <row r="3033" spans="2:8" x14ac:dyDescent="0.2">
      <c r="B3033" s="27" t="s">
        <v>304</v>
      </c>
      <c r="C3033" s="28" t="s">
        <v>969</v>
      </c>
      <c r="D3033" s="29" t="s">
        <v>81</v>
      </c>
      <c r="E3033" s="30" t="s">
        <v>394</v>
      </c>
      <c r="F3033" s="28" t="s">
        <v>361</v>
      </c>
      <c r="G3033" s="30" t="s">
        <v>770</v>
      </c>
      <c r="H3033" t="str">
        <f>CONCATENATE(Prequal[[#This Row],[CITY]], ", ",Prequal[[#This Row],[STATE]])</f>
        <v>St. Louis, MO</v>
      </c>
    </row>
    <row r="3034" spans="2:8" x14ac:dyDescent="0.2">
      <c r="B3034" s="27" t="s">
        <v>304</v>
      </c>
      <c r="C3034" s="28" t="s">
        <v>969</v>
      </c>
      <c r="D3034" s="29" t="s">
        <v>63</v>
      </c>
      <c r="E3034" s="30" t="s">
        <v>394</v>
      </c>
      <c r="F3034" s="28" t="s">
        <v>361</v>
      </c>
      <c r="G3034" s="30" t="s">
        <v>770</v>
      </c>
      <c r="H3034" t="str">
        <f>CONCATENATE(Prequal[[#This Row],[CITY]], ", ",Prequal[[#This Row],[STATE]])</f>
        <v>St. Louis, MO</v>
      </c>
    </row>
    <row r="3035" spans="2:8" x14ac:dyDescent="0.2">
      <c r="B3035" s="27" t="s">
        <v>304</v>
      </c>
      <c r="C3035" s="28" t="s">
        <v>969</v>
      </c>
      <c r="D3035" s="29" t="s">
        <v>28</v>
      </c>
      <c r="E3035" s="30" t="s">
        <v>394</v>
      </c>
      <c r="F3035" s="28" t="s">
        <v>361</v>
      </c>
      <c r="G3035" s="30" t="s">
        <v>770</v>
      </c>
      <c r="H3035" t="str">
        <f>CONCATENATE(Prequal[[#This Row],[CITY]], ", ",Prequal[[#This Row],[STATE]])</f>
        <v>St. Louis, MO</v>
      </c>
    </row>
    <row r="3036" spans="2:8" x14ac:dyDescent="0.2">
      <c r="B3036" s="27" t="s">
        <v>304</v>
      </c>
      <c r="C3036" s="28" t="s">
        <v>969</v>
      </c>
      <c r="D3036" s="29" t="s">
        <v>29</v>
      </c>
      <c r="E3036" s="30" t="s">
        <v>394</v>
      </c>
      <c r="F3036" s="28" t="s">
        <v>361</v>
      </c>
      <c r="G3036" s="30" t="s">
        <v>770</v>
      </c>
      <c r="H3036" t="str">
        <f>CONCATENATE(Prequal[[#This Row],[CITY]], ", ",Prequal[[#This Row],[STATE]])</f>
        <v>St. Louis, MO</v>
      </c>
    </row>
    <row r="3037" spans="2:8" x14ac:dyDescent="0.2">
      <c r="B3037" s="27" t="s">
        <v>305</v>
      </c>
      <c r="C3037" s="28" t="s">
        <v>970</v>
      </c>
      <c r="D3037" s="29" t="s">
        <v>5</v>
      </c>
      <c r="E3037" s="30" t="s">
        <v>402</v>
      </c>
      <c r="F3037" s="28" t="s">
        <v>356</v>
      </c>
      <c r="G3037" s="30" t="s">
        <v>771</v>
      </c>
      <c r="H3037" t="str">
        <f>CONCATENATE(Prequal[[#This Row],[CITY]], ", ",Prequal[[#This Row],[STATE]])</f>
        <v>Naperville, IL</v>
      </c>
    </row>
    <row r="3038" spans="2:8" x14ac:dyDescent="0.2">
      <c r="B3038" s="27" t="s">
        <v>305</v>
      </c>
      <c r="C3038" s="28" t="s">
        <v>970</v>
      </c>
      <c r="D3038" s="29" t="s">
        <v>10</v>
      </c>
      <c r="E3038" s="30" t="s">
        <v>402</v>
      </c>
      <c r="F3038" s="28" t="s">
        <v>356</v>
      </c>
      <c r="G3038" s="30" t="s">
        <v>771</v>
      </c>
      <c r="H3038" t="str">
        <f>CONCATENATE(Prequal[[#This Row],[CITY]], ", ",Prequal[[#This Row],[STATE]])</f>
        <v>Naperville, IL</v>
      </c>
    </row>
    <row r="3039" spans="2:8" x14ac:dyDescent="0.2">
      <c r="B3039" s="27" t="s">
        <v>305</v>
      </c>
      <c r="C3039" s="28" t="s">
        <v>970</v>
      </c>
      <c r="D3039" s="29" t="s">
        <v>51</v>
      </c>
      <c r="E3039" s="30" t="s">
        <v>402</v>
      </c>
      <c r="F3039" s="28" t="s">
        <v>356</v>
      </c>
      <c r="G3039" s="30" t="s">
        <v>771</v>
      </c>
      <c r="H3039" t="str">
        <f>CONCATENATE(Prequal[[#This Row],[CITY]], ", ",Prequal[[#This Row],[STATE]])</f>
        <v>Naperville, IL</v>
      </c>
    </row>
    <row r="3040" spans="2:8" x14ac:dyDescent="0.2">
      <c r="B3040" s="27" t="s">
        <v>305</v>
      </c>
      <c r="C3040" s="28" t="s">
        <v>970</v>
      </c>
      <c r="D3040" s="29" t="s">
        <v>15</v>
      </c>
      <c r="E3040" s="30" t="s">
        <v>402</v>
      </c>
      <c r="F3040" s="28" t="s">
        <v>356</v>
      </c>
      <c r="G3040" s="30" t="s">
        <v>771</v>
      </c>
      <c r="H3040" t="str">
        <f>CONCATENATE(Prequal[[#This Row],[CITY]], ", ",Prequal[[#This Row],[STATE]])</f>
        <v>Naperville, IL</v>
      </c>
    </row>
    <row r="3041" spans="2:8" x14ac:dyDescent="0.2">
      <c r="B3041" s="27" t="s">
        <v>1003</v>
      </c>
      <c r="C3041" s="28" t="s">
        <v>970</v>
      </c>
      <c r="D3041" s="29" t="s">
        <v>1004</v>
      </c>
      <c r="E3041" s="30" t="s">
        <v>1005</v>
      </c>
      <c r="F3041" s="28" t="s">
        <v>356</v>
      </c>
      <c r="G3041" s="30" t="s">
        <v>1006</v>
      </c>
      <c r="H3041" t="str">
        <f>CONCATENATE(Prequal[[#This Row],[CITY]], ", ",Prequal[[#This Row],[STATE]])</f>
        <v>PALOS HEIGHTS, IL</v>
      </c>
    </row>
    <row r="3042" spans="2:8" x14ac:dyDescent="0.2">
      <c r="B3042" s="27" t="s">
        <v>820</v>
      </c>
      <c r="C3042" s="28" t="s">
        <v>970</v>
      </c>
      <c r="D3042" s="29" t="s">
        <v>10</v>
      </c>
      <c r="E3042" s="30" t="s">
        <v>947</v>
      </c>
      <c r="F3042" s="28" t="s">
        <v>356</v>
      </c>
      <c r="G3042" s="30" t="s">
        <v>821</v>
      </c>
      <c r="H3042" t="str">
        <f>CONCATENATE(Prequal[[#This Row],[CITY]], ", ",Prequal[[#This Row],[STATE]])</f>
        <v>Chicago, IL</v>
      </c>
    </row>
    <row r="3043" spans="2:8" x14ac:dyDescent="0.2">
      <c r="B3043" s="27" t="s">
        <v>820</v>
      </c>
      <c r="C3043" s="28" t="s">
        <v>970</v>
      </c>
      <c r="D3043" s="29" t="s">
        <v>51</v>
      </c>
      <c r="E3043" s="30" t="s">
        <v>947</v>
      </c>
      <c r="F3043" s="28" t="s">
        <v>356</v>
      </c>
      <c r="G3043" s="30" t="s">
        <v>821</v>
      </c>
      <c r="H3043" t="str">
        <f>CONCATENATE(Prequal[[#This Row],[CITY]], ", ",Prequal[[#This Row],[STATE]])</f>
        <v>Chicago, IL</v>
      </c>
    </row>
    <row r="3044" spans="2:8" x14ac:dyDescent="0.2">
      <c r="B3044" s="27" t="s">
        <v>306</v>
      </c>
      <c r="C3044" s="28" t="s">
        <v>970</v>
      </c>
      <c r="D3044" s="29" t="s">
        <v>5</v>
      </c>
      <c r="E3044" s="30" t="s">
        <v>485</v>
      </c>
      <c r="F3044" s="28" t="s">
        <v>356</v>
      </c>
      <c r="G3044" s="30" t="s">
        <v>772</v>
      </c>
      <c r="H3044" t="str">
        <f>CONCATENATE(Prequal[[#This Row],[CITY]], ", ",Prequal[[#This Row],[STATE]])</f>
        <v>Hoffman Estates, IL</v>
      </c>
    </row>
    <row r="3045" spans="2:8" x14ac:dyDescent="0.2">
      <c r="B3045" s="27" t="s">
        <v>307</v>
      </c>
      <c r="C3045" s="28" t="s">
        <v>969</v>
      </c>
      <c r="D3045" s="29" t="s">
        <v>28</v>
      </c>
      <c r="E3045" s="30" t="s">
        <v>486</v>
      </c>
      <c r="F3045" s="28" t="s">
        <v>386</v>
      </c>
      <c r="G3045" s="30" t="s">
        <v>773</v>
      </c>
      <c r="H3045" t="str">
        <f>CONCATENATE(Prequal[[#This Row],[CITY]], ", ",Prequal[[#This Row],[STATE]])</f>
        <v>Ashland, VA</v>
      </c>
    </row>
    <row r="3046" spans="2:8" x14ac:dyDescent="0.2">
      <c r="B3046" s="27" t="s">
        <v>308</v>
      </c>
      <c r="C3046" s="28" t="s">
        <v>970</v>
      </c>
      <c r="D3046" s="29" t="s">
        <v>28</v>
      </c>
      <c r="E3046" s="30" t="s">
        <v>947</v>
      </c>
      <c r="F3046" s="28" t="s">
        <v>356</v>
      </c>
      <c r="G3046" s="30" t="s">
        <v>774</v>
      </c>
      <c r="H3046" t="str">
        <f>CONCATENATE(Prequal[[#This Row],[CITY]], ", ",Prequal[[#This Row],[STATE]])</f>
        <v>Chicago, IL</v>
      </c>
    </row>
    <row r="3047" spans="2:8" x14ac:dyDescent="0.2">
      <c r="B3047" s="27" t="s">
        <v>309</v>
      </c>
      <c r="C3047" s="28" t="s">
        <v>970</v>
      </c>
      <c r="D3047" s="29" t="s">
        <v>5</v>
      </c>
      <c r="E3047" s="30" t="s">
        <v>370</v>
      </c>
      <c r="F3047" s="28" t="s">
        <v>356</v>
      </c>
      <c r="G3047" s="30" t="s">
        <v>775</v>
      </c>
      <c r="H3047" t="str">
        <f>CONCATENATE(Prequal[[#This Row],[CITY]], ", ",Prequal[[#This Row],[STATE]])</f>
        <v>Schaumburg, IL</v>
      </c>
    </row>
    <row r="3048" spans="2:8" x14ac:dyDescent="0.2">
      <c r="B3048" s="27" t="s">
        <v>309</v>
      </c>
      <c r="C3048" s="28" t="s">
        <v>970</v>
      </c>
      <c r="D3048" s="29" t="s">
        <v>10</v>
      </c>
      <c r="E3048" s="30" t="s">
        <v>370</v>
      </c>
      <c r="F3048" s="28" t="s">
        <v>356</v>
      </c>
      <c r="G3048" s="30" t="s">
        <v>775</v>
      </c>
      <c r="H3048" t="str">
        <f>CONCATENATE(Prequal[[#This Row],[CITY]], ", ",Prequal[[#This Row],[STATE]])</f>
        <v>Schaumburg, IL</v>
      </c>
    </row>
    <row r="3049" spans="2:8" x14ac:dyDescent="0.2">
      <c r="B3049" s="27" t="s">
        <v>309</v>
      </c>
      <c r="C3049" s="28" t="s">
        <v>970</v>
      </c>
      <c r="D3049" s="29" t="s">
        <v>29</v>
      </c>
      <c r="E3049" s="30" t="s">
        <v>370</v>
      </c>
      <c r="F3049" s="28" t="s">
        <v>356</v>
      </c>
      <c r="G3049" s="30" t="s">
        <v>775</v>
      </c>
      <c r="H3049" t="str">
        <f>CONCATENATE(Prequal[[#This Row],[CITY]], ", ",Prequal[[#This Row],[STATE]])</f>
        <v>Schaumburg, IL</v>
      </c>
    </row>
    <row r="3050" spans="2:8" x14ac:dyDescent="0.2">
      <c r="B3050" s="27" t="s">
        <v>310</v>
      </c>
      <c r="C3050" s="28" t="s">
        <v>969</v>
      </c>
      <c r="D3050" s="29" t="s">
        <v>4</v>
      </c>
      <c r="E3050" s="30" t="s">
        <v>947</v>
      </c>
      <c r="F3050" s="28" t="s">
        <v>356</v>
      </c>
      <c r="G3050" s="30" t="s">
        <v>776</v>
      </c>
      <c r="H3050" t="str">
        <f>CONCATENATE(Prequal[[#This Row],[CITY]], ", ",Prequal[[#This Row],[STATE]])</f>
        <v>Chicago, IL</v>
      </c>
    </row>
    <row r="3051" spans="2:8" x14ac:dyDescent="0.2">
      <c r="B3051" s="27" t="s">
        <v>310</v>
      </c>
      <c r="C3051" s="28" t="s">
        <v>969</v>
      </c>
      <c r="D3051" s="29" t="s">
        <v>5</v>
      </c>
      <c r="E3051" s="30" t="s">
        <v>947</v>
      </c>
      <c r="F3051" s="28" t="s">
        <v>356</v>
      </c>
      <c r="G3051" s="30" t="s">
        <v>776</v>
      </c>
      <c r="H3051" t="str">
        <f>CONCATENATE(Prequal[[#This Row],[CITY]], ", ",Prequal[[#This Row],[STATE]])</f>
        <v>Chicago, IL</v>
      </c>
    </row>
    <row r="3052" spans="2:8" x14ac:dyDescent="0.2">
      <c r="B3052" s="27" t="s">
        <v>310</v>
      </c>
      <c r="C3052" s="28" t="s">
        <v>969</v>
      </c>
      <c r="D3052" s="29" t="s">
        <v>7</v>
      </c>
      <c r="E3052" s="30" t="s">
        <v>947</v>
      </c>
      <c r="F3052" s="28" t="s">
        <v>356</v>
      </c>
      <c r="G3052" s="30" t="s">
        <v>776</v>
      </c>
      <c r="H3052" t="str">
        <f>CONCATENATE(Prequal[[#This Row],[CITY]], ", ",Prequal[[#This Row],[STATE]])</f>
        <v>Chicago, IL</v>
      </c>
    </row>
    <row r="3053" spans="2:8" x14ac:dyDescent="0.2">
      <c r="B3053" s="27" t="s">
        <v>310</v>
      </c>
      <c r="C3053" s="28" t="s">
        <v>969</v>
      </c>
      <c r="D3053" s="29" t="s">
        <v>8</v>
      </c>
      <c r="E3053" s="30" t="s">
        <v>947</v>
      </c>
      <c r="F3053" s="28" t="s">
        <v>356</v>
      </c>
      <c r="G3053" s="30" t="s">
        <v>776</v>
      </c>
      <c r="H3053" t="str">
        <f>CONCATENATE(Prequal[[#This Row],[CITY]], ", ",Prequal[[#This Row],[STATE]])</f>
        <v>Chicago, IL</v>
      </c>
    </row>
    <row r="3054" spans="2:8" x14ac:dyDescent="0.2">
      <c r="B3054" s="27" t="s">
        <v>310</v>
      </c>
      <c r="C3054" s="28" t="s">
        <v>969</v>
      </c>
      <c r="D3054" s="29" t="s">
        <v>24</v>
      </c>
      <c r="E3054" s="30" t="s">
        <v>947</v>
      </c>
      <c r="F3054" s="28" t="s">
        <v>356</v>
      </c>
      <c r="G3054" s="30" t="s">
        <v>776</v>
      </c>
      <c r="H3054" t="str">
        <f>CONCATENATE(Prequal[[#This Row],[CITY]], ", ",Prequal[[#This Row],[STATE]])</f>
        <v>Chicago, IL</v>
      </c>
    </row>
    <row r="3055" spans="2:8" x14ac:dyDescent="0.2">
      <c r="B3055" s="27" t="s">
        <v>310</v>
      </c>
      <c r="C3055" s="28" t="s">
        <v>969</v>
      </c>
      <c r="D3055" s="29" t="s">
        <v>25</v>
      </c>
      <c r="E3055" s="30" t="s">
        <v>947</v>
      </c>
      <c r="F3055" s="28" t="s">
        <v>356</v>
      </c>
      <c r="G3055" s="30" t="s">
        <v>776</v>
      </c>
      <c r="H3055" t="str">
        <f>CONCATENATE(Prequal[[#This Row],[CITY]], ", ",Prequal[[#This Row],[STATE]])</f>
        <v>Chicago, IL</v>
      </c>
    </row>
    <row r="3056" spans="2:8" x14ac:dyDescent="0.2">
      <c r="B3056" s="27" t="s">
        <v>310</v>
      </c>
      <c r="C3056" s="28" t="s">
        <v>969</v>
      </c>
      <c r="D3056" s="29" t="s">
        <v>9</v>
      </c>
      <c r="E3056" s="30" t="s">
        <v>947</v>
      </c>
      <c r="F3056" s="28" t="s">
        <v>356</v>
      </c>
      <c r="G3056" s="30" t="s">
        <v>776</v>
      </c>
      <c r="H3056" t="str">
        <f>CONCATENATE(Prequal[[#This Row],[CITY]], ", ",Prequal[[#This Row],[STATE]])</f>
        <v>Chicago, IL</v>
      </c>
    </row>
    <row r="3057" spans="2:8" x14ac:dyDescent="0.2">
      <c r="B3057" s="27" t="s">
        <v>310</v>
      </c>
      <c r="C3057" s="28" t="s">
        <v>969</v>
      </c>
      <c r="D3057" s="29" t="s">
        <v>27</v>
      </c>
      <c r="E3057" s="30" t="s">
        <v>947</v>
      </c>
      <c r="F3057" s="28" t="s">
        <v>356</v>
      </c>
      <c r="G3057" s="30" t="s">
        <v>776</v>
      </c>
      <c r="H3057" t="str">
        <f>CONCATENATE(Prequal[[#This Row],[CITY]], ", ",Prequal[[#This Row],[STATE]])</f>
        <v>Chicago, IL</v>
      </c>
    </row>
    <row r="3058" spans="2:8" x14ac:dyDescent="0.2">
      <c r="B3058" s="27" t="s">
        <v>310</v>
      </c>
      <c r="C3058" s="28" t="s">
        <v>969</v>
      </c>
      <c r="D3058" s="29" t="s">
        <v>10</v>
      </c>
      <c r="E3058" s="30" t="s">
        <v>947</v>
      </c>
      <c r="F3058" s="28" t="s">
        <v>356</v>
      </c>
      <c r="G3058" s="30" t="s">
        <v>776</v>
      </c>
      <c r="H3058" t="str">
        <f>CONCATENATE(Prequal[[#This Row],[CITY]], ", ",Prequal[[#This Row],[STATE]])</f>
        <v>Chicago, IL</v>
      </c>
    </row>
    <row r="3059" spans="2:8" x14ac:dyDescent="0.2">
      <c r="B3059" s="27" t="s">
        <v>310</v>
      </c>
      <c r="C3059" s="28" t="s">
        <v>969</v>
      </c>
      <c r="D3059" s="29" t="s">
        <v>21</v>
      </c>
      <c r="E3059" s="30" t="s">
        <v>947</v>
      </c>
      <c r="F3059" s="28" t="s">
        <v>356</v>
      </c>
      <c r="G3059" s="30" t="s">
        <v>776</v>
      </c>
      <c r="H3059" t="str">
        <f>CONCATENATE(Prequal[[#This Row],[CITY]], ", ",Prequal[[#This Row],[STATE]])</f>
        <v>Chicago, IL</v>
      </c>
    </row>
    <row r="3060" spans="2:8" x14ac:dyDescent="0.2">
      <c r="B3060" s="27" t="s">
        <v>310</v>
      </c>
      <c r="C3060" s="28" t="s">
        <v>969</v>
      </c>
      <c r="D3060" s="29" t="s">
        <v>11</v>
      </c>
      <c r="E3060" s="30" t="s">
        <v>947</v>
      </c>
      <c r="F3060" s="28" t="s">
        <v>356</v>
      </c>
      <c r="G3060" s="30" t="s">
        <v>776</v>
      </c>
      <c r="H3060" t="str">
        <f>CONCATENATE(Prequal[[#This Row],[CITY]], ", ",Prequal[[#This Row],[STATE]])</f>
        <v>Chicago, IL</v>
      </c>
    </row>
    <row r="3061" spans="2:8" x14ac:dyDescent="0.2">
      <c r="B3061" s="27" t="s">
        <v>310</v>
      </c>
      <c r="C3061" s="28" t="s">
        <v>969</v>
      </c>
      <c r="D3061" s="29" t="s">
        <v>12</v>
      </c>
      <c r="E3061" s="30" t="s">
        <v>947</v>
      </c>
      <c r="F3061" s="28" t="s">
        <v>356</v>
      </c>
      <c r="G3061" s="30" t="s">
        <v>776</v>
      </c>
      <c r="H3061" t="str">
        <f>CONCATENATE(Prequal[[#This Row],[CITY]], ", ",Prequal[[#This Row],[STATE]])</f>
        <v>Chicago, IL</v>
      </c>
    </row>
    <row r="3062" spans="2:8" x14ac:dyDescent="0.2">
      <c r="B3062" s="27" t="s">
        <v>310</v>
      </c>
      <c r="C3062" s="28" t="s">
        <v>969</v>
      </c>
      <c r="D3062" s="29" t="s">
        <v>29</v>
      </c>
      <c r="E3062" s="30" t="s">
        <v>947</v>
      </c>
      <c r="F3062" s="28" t="s">
        <v>356</v>
      </c>
      <c r="G3062" s="30" t="s">
        <v>776</v>
      </c>
      <c r="H3062" t="str">
        <f>CONCATENATE(Prequal[[#This Row],[CITY]], ", ",Prequal[[#This Row],[STATE]])</f>
        <v>Chicago, IL</v>
      </c>
    </row>
    <row r="3063" spans="2:8" x14ac:dyDescent="0.2">
      <c r="B3063" s="27" t="s">
        <v>310</v>
      </c>
      <c r="C3063" s="28" t="s">
        <v>969</v>
      </c>
      <c r="D3063" s="29" t="s">
        <v>37</v>
      </c>
      <c r="E3063" s="30" t="s">
        <v>947</v>
      </c>
      <c r="F3063" s="28" t="s">
        <v>356</v>
      </c>
      <c r="G3063" s="30" t="s">
        <v>776</v>
      </c>
      <c r="H3063" t="str">
        <f>CONCATENATE(Prequal[[#This Row],[CITY]], ", ",Prequal[[#This Row],[STATE]])</f>
        <v>Chicago, IL</v>
      </c>
    </row>
    <row r="3064" spans="2:8" x14ac:dyDescent="0.2">
      <c r="B3064" s="27" t="s">
        <v>310</v>
      </c>
      <c r="C3064" s="28" t="s">
        <v>969</v>
      </c>
      <c r="D3064" s="29" t="s">
        <v>13</v>
      </c>
      <c r="E3064" s="30" t="s">
        <v>947</v>
      </c>
      <c r="F3064" s="28" t="s">
        <v>356</v>
      </c>
      <c r="G3064" s="30" t="s">
        <v>776</v>
      </c>
      <c r="H3064" t="str">
        <f>CONCATENATE(Prequal[[#This Row],[CITY]], ", ",Prequal[[#This Row],[STATE]])</f>
        <v>Chicago, IL</v>
      </c>
    </row>
    <row r="3065" spans="2:8" x14ac:dyDescent="0.2">
      <c r="B3065" s="27" t="s">
        <v>310</v>
      </c>
      <c r="C3065" s="28" t="s">
        <v>969</v>
      </c>
      <c r="D3065" s="29" t="s">
        <v>52</v>
      </c>
      <c r="E3065" s="30" t="s">
        <v>947</v>
      </c>
      <c r="F3065" s="28" t="s">
        <v>356</v>
      </c>
      <c r="G3065" s="30" t="s">
        <v>776</v>
      </c>
      <c r="H3065" t="str">
        <f>CONCATENATE(Prequal[[#This Row],[CITY]], ", ",Prequal[[#This Row],[STATE]])</f>
        <v>Chicago, IL</v>
      </c>
    </row>
    <row r="3066" spans="2:8" x14ac:dyDescent="0.2">
      <c r="B3066" s="27" t="s">
        <v>310</v>
      </c>
      <c r="C3066" s="28" t="s">
        <v>969</v>
      </c>
      <c r="D3066" s="29" t="s">
        <v>14</v>
      </c>
      <c r="E3066" s="30" t="s">
        <v>947</v>
      </c>
      <c r="F3066" s="28" t="s">
        <v>356</v>
      </c>
      <c r="G3066" s="30" t="s">
        <v>776</v>
      </c>
      <c r="H3066" t="str">
        <f>CONCATENATE(Prequal[[#This Row],[CITY]], ", ",Prequal[[#This Row],[STATE]])</f>
        <v>Chicago, IL</v>
      </c>
    </row>
    <row r="3067" spans="2:8" x14ac:dyDescent="0.2">
      <c r="B3067" s="27" t="s">
        <v>310</v>
      </c>
      <c r="C3067" s="28" t="s">
        <v>969</v>
      </c>
      <c r="D3067" s="29" t="s">
        <v>15</v>
      </c>
      <c r="E3067" s="30" t="s">
        <v>947</v>
      </c>
      <c r="F3067" s="28" t="s">
        <v>356</v>
      </c>
      <c r="G3067" s="30" t="s">
        <v>776</v>
      </c>
      <c r="H3067" t="str">
        <f>CONCATENATE(Prequal[[#This Row],[CITY]], ", ",Prequal[[#This Row],[STATE]])</f>
        <v>Chicago, IL</v>
      </c>
    </row>
    <row r="3068" spans="2:8" x14ac:dyDescent="0.2">
      <c r="B3068" s="27" t="s">
        <v>310</v>
      </c>
      <c r="C3068" s="28" t="s">
        <v>969</v>
      </c>
      <c r="D3068" s="29" t="s">
        <v>30</v>
      </c>
      <c r="E3068" s="30" t="s">
        <v>947</v>
      </c>
      <c r="F3068" s="28" t="s">
        <v>356</v>
      </c>
      <c r="G3068" s="30" t="s">
        <v>776</v>
      </c>
      <c r="H3068" t="str">
        <f>CONCATENATE(Prequal[[#This Row],[CITY]], ", ",Prequal[[#This Row],[STATE]])</f>
        <v>Chicago, IL</v>
      </c>
    </row>
    <row r="3069" spans="2:8" x14ac:dyDescent="0.2">
      <c r="B3069" s="27" t="s">
        <v>310</v>
      </c>
      <c r="C3069" s="28" t="s">
        <v>969</v>
      </c>
      <c r="D3069" s="29" t="s">
        <v>31</v>
      </c>
      <c r="E3069" s="30" t="s">
        <v>947</v>
      </c>
      <c r="F3069" s="28" t="s">
        <v>356</v>
      </c>
      <c r="G3069" s="30" t="s">
        <v>776</v>
      </c>
      <c r="H3069" t="str">
        <f>CONCATENATE(Prequal[[#This Row],[CITY]], ", ",Prequal[[#This Row],[STATE]])</f>
        <v>Chicago, IL</v>
      </c>
    </row>
    <row r="3070" spans="2:8" x14ac:dyDescent="0.2">
      <c r="B3070" s="27" t="s">
        <v>310</v>
      </c>
      <c r="C3070" s="28" t="s">
        <v>969</v>
      </c>
      <c r="D3070" s="29" t="s">
        <v>32</v>
      </c>
      <c r="E3070" s="30" t="s">
        <v>947</v>
      </c>
      <c r="F3070" s="28" t="s">
        <v>356</v>
      </c>
      <c r="G3070" s="30" t="s">
        <v>776</v>
      </c>
      <c r="H3070" t="str">
        <f>CONCATENATE(Prequal[[#This Row],[CITY]], ", ",Prequal[[#This Row],[STATE]])</f>
        <v>Chicago, IL</v>
      </c>
    </row>
    <row r="3071" spans="2:8" x14ac:dyDescent="0.2">
      <c r="B3071" s="27" t="s">
        <v>311</v>
      </c>
      <c r="C3071" s="28" t="s">
        <v>969</v>
      </c>
      <c r="D3071" s="29" t="s">
        <v>43</v>
      </c>
      <c r="E3071" s="30" t="s">
        <v>487</v>
      </c>
      <c r="F3071" s="28" t="s">
        <v>356</v>
      </c>
      <c r="G3071" s="30" t="s">
        <v>777</v>
      </c>
      <c r="H3071" t="str">
        <f>CONCATENATE(Prequal[[#This Row],[CITY]], ", ",Prequal[[#This Row],[STATE]])</f>
        <v>Glendale Heights, IL</v>
      </c>
    </row>
    <row r="3072" spans="2:8" x14ac:dyDescent="0.2">
      <c r="B3072" s="27" t="s">
        <v>311</v>
      </c>
      <c r="C3072" s="28" t="s">
        <v>969</v>
      </c>
      <c r="D3072" s="29" t="s">
        <v>45</v>
      </c>
      <c r="E3072" s="30" t="s">
        <v>487</v>
      </c>
      <c r="F3072" s="28" t="s">
        <v>356</v>
      </c>
      <c r="G3072" s="30" t="s">
        <v>777</v>
      </c>
      <c r="H3072" t="str">
        <f>CONCATENATE(Prequal[[#This Row],[CITY]], ", ",Prequal[[#This Row],[STATE]])</f>
        <v>Glendale Heights, IL</v>
      </c>
    </row>
    <row r="3073" spans="2:8" x14ac:dyDescent="0.2">
      <c r="B3073" s="27" t="s">
        <v>311</v>
      </c>
      <c r="C3073" s="28" t="s">
        <v>969</v>
      </c>
      <c r="D3073" s="29" t="s">
        <v>46</v>
      </c>
      <c r="E3073" s="30" t="s">
        <v>487</v>
      </c>
      <c r="F3073" s="28" t="s">
        <v>356</v>
      </c>
      <c r="G3073" s="30" t="s">
        <v>777</v>
      </c>
      <c r="H3073" t="str">
        <f>CONCATENATE(Prequal[[#This Row],[CITY]], ", ",Prequal[[#This Row],[STATE]])</f>
        <v>Glendale Heights, IL</v>
      </c>
    </row>
    <row r="3074" spans="2:8" x14ac:dyDescent="0.2">
      <c r="B3074" s="27" t="s">
        <v>311</v>
      </c>
      <c r="C3074" s="28" t="s">
        <v>969</v>
      </c>
      <c r="D3074" s="29" t="s">
        <v>47</v>
      </c>
      <c r="E3074" s="30" t="s">
        <v>487</v>
      </c>
      <c r="F3074" s="28" t="s">
        <v>356</v>
      </c>
      <c r="G3074" s="30" t="s">
        <v>777</v>
      </c>
      <c r="H3074" t="str">
        <f>CONCATENATE(Prequal[[#This Row],[CITY]], ", ",Prequal[[#This Row],[STATE]])</f>
        <v>Glendale Heights, IL</v>
      </c>
    </row>
    <row r="3075" spans="2:8" x14ac:dyDescent="0.2">
      <c r="B3075" s="27" t="s">
        <v>311</v>
      </c>
      <c r="C3075" s="28" t="s">
        <v>969</v>
      </c>
      <c r="D3075" s="29" t="s">
        <v>48</v>
      </c>
      <c r="E3075" s="30" t="s">
        <v>487</v>
      </c>
      <c r="F3075" s="28" t="s">
        <v>356</v>
      </c>
      <c r="G3075" s="30" t="s">
        <v>777</v>
      </c>
      <c r="H3075" t="str">
        <f>CONCATENATE(Prequal[[#This Row],[CITY]], ", ",Prequal[[#This Row],[STATE]])</f>
        <v>Glendale Heights, IL</v>
      </c>
    </row>
    <row r="3076" spans="2:8" x14ac:dyDescent="0.2">
      <c r="B3076" s="27" t="s">
        <v>311</v>
      </c>
      <c r="C3076" s="28" t="s">
        <v>969</v>
      </c>
      <c r="D3076" s="29" t="s">
        <v>75</v>
      </c>
      <c r="E3076" s="30" t="s">
        <v>487</v>
      </c>
      <c r="F3076" s="28" t="s">
        <v>356</v>
      </c>
      <c r="G3076" s="30" t="s">
        <v>777</v>
      </c>
      <c r="H3076" t="str">
        <f>CONCATENATE(Prequal[[#This Row],[CITY]], ", ",Prequal[[#This Row],[STATE]])</f>
        <v>Glendale Heights, IL</v>
      </c>
    </row>
    <row r="3077" spans="2:8" x14ac:dyDescent="0.2">
      <c r="B3077" s="31" t="s">
        <v>311</v>
      </c>
      <c r="C3077" s="32" t="s">
        <v>969</v>
      </c>
      <c r="D3077" s="33" t="s">
        <v>50</v>
      </c>
      <c r="E3077" s="30" t="s">
        <v>487</v>
      </c>
      <c r="F3077" s="32" t="s">
        <v>356</v>
      </c>
      <c r="G3077" s="30" t="s">
        <v>777</v>
      </c>
      <c r="H3077" t="str">
        <f>CONCATENATE(Prequal[[#This Row],[CITY]], ", ",Prequal[[#This Row],[STATE]])</f>
        <v>Glendale Heights, IL</v>
      </c>
    </row>
    <row r="3078" spans="2:8" x14ac:dyDescent="0.2">
      <c r="B3078" s="31" t="s">
        <v>311</v>
      </c>
      <c r="C3078" s="32" t="s">
        <v>969</v>
      </c>
      <c r="D3078" s="33" t="s">
        <v>18</v>
      </c>
      <c r="E3078" s="30" t="s">
        <v>487</v>
      </c>
      <c r="F3078" s="32" t="s">
        <v>356</v>
      </c>
      <c r="G3078" s="30" t="s">
        <v>777</v>
      </c>
      <c r="H3078" t="str">
        <f>CONCATENATE(Prequal[[#This Row],[CITY]], ", ",Prequal[[#This Row],[STATE]])</f>
        <v>Glendale Heights, IL</v>
      </c>
    </row>
    <row r="3079" spans="2:8" x14ac:dyDescent="0.2">
      <c r="B3079" s="31" t="s">
        <v>312</v>
      </c>
      <c r="C3079" s="32" t="s">
        <v>969</v>
      </c>
      <c r="D3079" s="33" t="s">
        <v>11</v>
      </c>
      <c r="E3079" s="30" t="s">
        <v>454</v>
      </c>
      <c r="F3079" s="32" t="s">
        <v>356</v>
      </c>
      <c r="G3079" s="30" t="s">
        <v>778</v>
      </c>
      <c r="H3079" t="str">
        <f>CONCATENATE(Prequal[[#This Row],[CITY]], ", ",Prequal[[#This Row],[STATE]])</f>
        <v>Evanston, IL</v>
      </c>
    </row>
    <row r="3080" spans="2:8" x14ac:dyDescent="0.2">
      <c r="B3080" s="31" t="s">
        <v>313</v>
      </c>
      <c r="C3080" s="32" t="s">
        <v>969</v>
      </c>
      <c r="D3080" s="33" t="s">
        <v>46</v>
      </c>
      <c r="E3080" s="30" t="s">
        <v>488</v>
      </c>
      <c r="F3080" s="32" t="s">
        <v>356</v>
      </c>
      <c r="G3080" s="30" t="s">
        <v>779</v>
      </c>
      <c r="H3080" t="str">
        <f>CONCATENATE(Prequal[[#This Row],[CITY]], ", ",Prequal[[#This Row],[STATE]])</f>
        <v>Carol Stream, IL</v>
      </c>
    </row>
    <row r="3081" spans="2:8" x14ac:dyDescent="0.2">
      <c r="B3081" s="27" t="s">
        <v>313</v>
      </c>
      <c r="C3081" s="28" t="s">
        <v>969</v>
      </c>
      <c r="D3081" s="29" t="s">
        <v>47</v>
      </c>
      <c r="E3081" s="30" t="s">
        <v>488</v>
      </c>
      <c r="F3081" s="28" t="s">
        <v>356</v>
      </c>
      <c r="G3081" s="30" t="s">
        <v>779</v>
      </c>
      <c r="H3081" t="str">
        <f>CONCATENATE(Prequal[[#This Row],[CITY]], ", ",Prequal[[#This Row],[STATE]])</f>
        <v>Carol Stream, IL</v>
      </c>
    </row>
    <row r="3082" spans="2:8" x14ac:dyDescent="0.2">
      <c r="B3082" s="27" t="s">
        <v>314</v>
      </c>
      <c r="C3082" s="28" t="s">
        <v>970</v>
      </c>
      <c r="D3082" s="29" t="s">
        <v>42</v>
      </c>
      <c r="E3082" s="30" t="s">
        <v>489</v>
      </c>
      <c r="F3082" s="28" t="s">
        <v>386</v>
      </c>
      <c r="G3082" s="30" t="s">
        <v>780</v>
      </c>
      <c r="H3082" t="str">
        <f>CONCATENATE(Prequal[[#This Row],[CITY]], ", ",Prequal[[#This Row],[STATE]])</f>
        <v>Fredericksburg, VA</v>
      </c>
    </row>
    <row r="3083" spans="2:8" x14ac:dyDescent="0.2">
      <c r="B3083" s="27" t="s">
        <v>315</v>
      </c>
      <c r="C3083" s="28" t="s">
        <v>970</v>
      </c>
      <c r="D3083" s="29" t="s">
        <v>4</v>
      </c>
      <c r="E3083" s="30" t="s">
        <v>370</v>
      </c>
      <c r="F3083" s="28" t="s">
        <v>356</v>
      </c>
      <c r="G3083" s="30" t="s">
        <v>781</v>
      </c>
      <c r="H3083" t="str">
        <f>CONCATENATE(Prequal[[#This Row],[CITY]], ", ",Prequal[[#This Row],[STATE]])</f>
        <v>Schaumburg, IL</v>
      </c>
    </row>
    <row r="3084" spans="2:8" x14ac:dyDescent="0.2">
      <c r="B3084" s="27" t="s">
        <v>315</v>
      </c>
      <c r="C3084" s="28" t="s">
        <v>970</v>
      </c>
      <c r="D3084" s="29" t="s">
        <v>5</v>
      </c>
      <c r="E3084" s="30" t="s">
        <v>370</v>
      </c>
      <c r="F3084" s="28" t="s">
        <v>356</v>
      </c>
      <c r="G3084" s="30" t="s">
        <v>781</v>
      </c>
      <c r="H3084" t="str">
        <f>CONCATENATE(Prequal[[#This Row],[CITY]], ", ",Prequal[[#This Row],[STATE]])</f>
        <v>Schaumburg, IL</v>
      </c>
    </row>
    <row r="3085" spans="2:8" x14ac:dyDescent="0.2">
      <c r="B3085" s="27" t="s">
        <v>315</v>
      </c>
      <c r="C3085" s="28" t="s">
        <v>970</v>
      </c>
      <c r="D3085" s="29" t="s">
        <v>25</v>
      </c>
      <c r="E3085" s="30" t="s">
        <v>370</v>
      </c>
      <c r="F3085" s="28" t="s">
        <v>356</v>
      </c>
      <c r="G3085" s="30" t="s">
        <v>781</v>
      </c>
      <c r="H3085" t="str">
        <f>CONCATENATE(Prequal[[#This Row],[CITY]], ", ",Prequal[[#This Row],[STATE]])</f>
        <v>Schaumburg, IL</v>
      </c>
    </row>
    <row r="3086" spans="2:8" x14ac:dyDescent="0.2">
      <c r="B3086" s="27" t="s">
        <v>315</v>
      </c>
      <c r="C3086" s="28" t="s">
        <v>970</v>
      </c>
      <c r="D3086" s="29" t="s">
        <v>9</v>
      </c>
      <c r="E3086" s="30" t="s">
        <v>370</v>
      </c>
      <c r="F3086" s="28" t="s">
        <v>356</v>
      </c>
      <c r="G3086" s="30" t="s">
        <v>781</v>
      </c>
      <c r="H3086" t="str">
        <f>CONCATENATE(Prequal[[#This Row],[CITY]], ", ",Prequal[[#This Row],[STATE]])</f>
        <v>Schaumburg, IL</v>
      </c>
    </row>
    <row r="3087" spans="2:8" x14ac:dyDescent="0.2">
      <c r="B3087" s="27" t="s">
        <v>315</v>
      </c>
      <c r="C3087" s="28" t="s">
        <v>970</v>
      </c>
      <c r="D3087" s="29" t="s">
        <v>49</v>
      </c>
      <c r="E3087" s="30" t="s">
        <v>370</v>
      </c>
      <c r="F3087" s="28" t="s">
        <v>356</v>
      </c>
      <c r="G3087" s="30" t="s">
        <v>781</v>
      </c>
      <c r="H3087" t="str">
        <f>CONCATENATE(Prequal[[#This Row],[CITY]], ", ",Prequal[[#This Row],[STATE]])</f>
        <v>Schaumburg, IL</v>
      </c>
    </row>
    <row r="3088" spans="2:8" x14ac:dyDescent="0.2">
      <c r="B3088" s="27" t="s">
        <v>315</v>
      </c>
      <c r="C3088" s="28" t="s">
        <v>970</v>
      </c>
      <c r="D3088" s="29" t="s">
        <v>59</v>
      </c>
      <c r="E3088" s="30" t="s">
        <v>370</v>
      </c>
      <c r="F3088" s="28" t="s">
        <v>356</v>
      </c>
      <c r="G3088" s="30" t="s">
        <v>781</v>
      </c>
      <c r="H3088" t="str">
        <f>CONCATENATE(Prequal[[#This Row],[CITY]], ", ",Prequal[[#This Row],[STATE]])</f>
        <v>Schaumburg, IL</v>
      </c>
    </row>
    <row r="3089" spans="2:8" x14ac:dyDescent="0.2">
      <c r="B3089" s="27" t="s">
        <v>315</v>
      </c>
      <c r="C3089" s="28" t="s">
        <v>970</v>
      </c>
      <c r="D3089" s="29" t="s">
        <v>10</v>
      </c>
      <c r="E3089" s="30" t="s">
        <v>370</v>
      </c>
      <c r="F3089" s="28" t="s">
        <v>356</v>
      </c>
      <c r="G3089" s="30" t="s">
        <v>781</v>
      </c>
      <c r="H3089" t="str">
        <f>CONCATENATE(Prequal[[#This Row],[CITY]], ", ",Prequal[[#This Row],[STATE]])</f>
        <v>Schaumburg, IL</v>
      </c>
    </row>
    <row r="3090" spans="2:8" x14ac:dyDescent="0.2">
      <c r="B3090" s="27" t="s">
        <v>315</v>
      </c>
      <c r="C3090" s="28" t="s">
        <v>970</v>
      </c>
      <c r="D3090" s="29" t="s">
        <v>21</v>
      </c>
      <c r="E3090" s="30" t="s">
        <v>370</v>
      </c>
      <c r="F3090" s="28" t="s">
        <v>356</v>
      </c>
      <c r="G3090" s="30" t="s">
        <v>781</v>
      </c>
      <c r="H3090" t="str">
        <f>CONCATENATE(Prequal[[#This Row],[CITY]], ", ",Prequal[[#This Row],[STATE]])</f>
        <v>Schaumburg, IL</v>
      </c>
    </row>
    <row r="3091" spans="2:8" x14ac:dyDescent="0.2">
      <c r="B3091" s="27" t="s">
        <v>315</v>
      </c>
      <c r="C3091" s="28" t="s">
        <v>970</v>
      </c>
      <c r="D3091" s="29" t="s">
        <v>22</v>
      </c>
      <c r="E3091" s="30" t="s">
        <v>370</v>
      </c>
      <c r="F3091" s="28" t="s">
        <v>356</v>
      </c>
      <c r="G3091" s="30" t="s">
        <v>781</v>
      </c>
      <c r="H3091" t="str">
        <f>CONCATENATE(Prequal[[#This Row],[CITY]], ", ",Prequal[[#This Row],[STATE]])</f>
        <v>Schaumburg, IL</v>
      </c>
    </row>
    <row r="3092" spans="2:8" x14ac:dyDescent="0.2">
      <c r="B3092" s="27" t="s">
        <v>315</v>
      </c>
      <c r="C3092" s="28" t="s">
        <v>970</v>
      </c>
      <c r="D3092" s="29" t="s">
        <v>12</v>
      </c>
      <c r="E3092" s="30" t="s">
        <v>370</v>
      </c>
      <c r="F3092" s="28" t="s">
        <v>356</v>
      </c>
      <c r="G3092" s="30" t="s">
        <v>781</v>
      </c>
      <c r="H3092" t="str">
        <f>CONCATENATE(Prequal[[#This Row],[CITY]], ", ",Prequal[[#This Row],[STATE]])</f>
        <v>Schaumburg, IL</v>
      </c>
    </row>
    <row r="3093" spans="2:8" x14ac:dyDescent="0.2">
      <c r="B3093" s="27" t="s">
        <v>315</v>
      </c>
      <c r="C3093" s="28" t="s">
        <v>970</v>
      </c>
      <c r="D3093" s="29" t="s">
        <v>14</v>
      </c>
      <c r="E3093" s="30" t="s">
        <v>370</v>
      </c>
      <c r="F3093" s="28" t="s">
        <v>356</v>
      </c>
      <c r="G3093" s="30" t="s">
        <v>781</v>
      </c>
      <c r="H3093" t="str">
        <f>CONCATENATE(Prequal[[#This Row],[CITY]], ", ",Prequal[[#This Row],[STATE]])</f>
        <v>Schaumburg, IL</v>
      </c>
    </row>
    <row r="3094" spans="2:8" x14ac:dyDescent="0.2">
      <c r="B3094" s="27" t="s">
        <v>315</v>
      </c>
      <c r="C3094" s="28" t="s">
        <v>970</v>
      </c>
      <c r="D3094" s="29" t="s">
        <v>15</v>
      </c>
      <c r="E3094" s="30" t="s">
        <v>370</v>
      </c>
      <c r="F3094" s="28" t="s">
        <v>356</v>
      </c>
      <c r="G3094" s="30" t="s">
        <v>781</v>
      </c>
      <c r="H3094" t="str">
        <f>CONCATENATE(Prequal[[#This Row],[CITY]], ", ",Prequal[[#This Row],[STATE]])</f>
        <v>Schaumburg, IL</v>
      </c>
    </row>
    <row r="3095" spans="2:8" x14ac:dyDescent="0.2">
      <c r="B3095" s="27" t="s">
        <v>315</v>
      </c>
      <c r="C3095" s="28" t="s">
        <v>970</v>
      </c>
      <c r="D3095" s="29" t="s">
        <v>31</v>
      </c>
      <c r="E3095" s="30" t="s">
        <v>370</v>
      </c>
      <c r="F3095" s="28" t="s">
        <v>356</v>
      </c>
      <c r="G3095" s="30" t="s">
        <v>781</v>
      </c>
      <c r="H3095" t="str">
        <f>CONCATENATE(Prequal[[#This Row],[CITY]], ", ",Prequal[[#This Row],[STATE]])</f>
        <v>Schaumburg, IL</v>
      </c>
    </row>
    <row r="3096" spans="2:8" x14ac:dyDescent="0.2">
      <c r="B3096" s="27" t="s">
        <v>315</v>
      </c>
      <c r="C3096" s="28" t="s">
        <v>970</v>
      </c>
      <c r="D3096" s="29" t="s">
        <v>33</v>
      </c>
      <c r="E3096" s="30" t="s">
        <v>370</v>
      </c>
      <c r="F3096" s="28" t="s">
        <v>356</v>
      </c>
      <c r="G3096" s="30" t="s">
        <v>781</v>
      </c>
      <c r="H3096" t="str">
        <f>CONCATENATE(Prequal[[#This Row],[CITY]], ", ",Prequal[[#This Row],[STATE]])</f>
        <v>Schaumburg, IL</v>
      </c>
    </row>
    <row r="3097" spans="2:8" x14ac:dyDescent="0.2">
      <c r="B3097" s="27" t="s">
        <v>316</v>
      </c>
      <c r="C3097" s="28" t="s">
        <v>969</v>
      </c>
      <c r="D3097" s="29" t="s">
        <v>11</v>
      </c>
      <c r="E3097" s="30" t="s">
        <v>947</v>
      </c>
      <c r="F3097" s="28" t="s">
        <v>356</v>
      </c>
      <c r="G3097" s="30" t="s">
        <v>782</v>
      </c>
      <c r="H3097" t="str">
        <f>CONCATENATE(Prequal[[#This Row],[CITY]], ", ",Prequal[[#This Row],[STATE]])</f>
        <v>Chicago, IL</v>
      </c>
    </row>
    <row r="3098" spans="2:8" x14ac:dyDescent="0.2">
      <c r="B3098" s="27" t="s">
        <v>812</v>
      </c>
      <c r="C3098" s="28" t="s">
        <v>970</v>
      </c>
      <c r="D3098" s="29" t="s">
        <v>35</v>
      </c>
      <c r="E3098" s="30" t="s">
        <v>947</v>
      </c>
      <c r="F3098" s="28" t="s">
        <v>356</v>
      </c>
      <c r="G3098" s="30" t="s">
        <v>783</v>
      </c>
      <c r="H3098" t="str">
        <f>CONCATENATE(Prequal[[#This Row],[CITY]], ", ",Prequal[[#This Row],[STATE]])</f>
        <v>Chicago, IL</v>
      </c>
    </row>
    <row r="3099" spans="2:8" x14ac:dyDescent="0.2">
      <c r="B3099" s="27" t="s">
        <v>812</v>
      </c>
      <c r="C3099" s="28" t="s">
        <v>970</v>
      </c>
      <c r="D3099" s="29" t="s">
        <v>4</v>
      </c>
      <c r="E3099" s="30" t="s">
        <v>947</v>
      </c>
      <c r="F3099" s="28" t="s">
        <v>356</v>
      </c>
      <c r="G3099" s="30" t="s">
        <v>783</v>
      </c>
      <c r="H3099" t="str">
        <f>CONCATENATE(Prequal[[#This Row],[CITY]], ", ",Prequal[[#This Row],[STATE]])</f>
        <v>Chicago, IL</v>
      </c>
    </row>
    <row r="3100" spans="2:8" x14ac:dyDescent="0.2">
      <c r="B3100" s="27" t="s">
        <v>812</v>
      </c>
      <c r="C3100" s="28" t="s">
        <v>970</v>
      </c>
      <c r="D3100" s="29" t="s">
        <v>5</v>
      </c>
      <c r="E3100" s="30" t="s">
        <v>947</v>
      </c>
      <c r="F3100" s="28" t="s">
        <v>356</v>
      </c>
      <c r="G3100" s="30" t="s">
        <v>783</v>
      </c>
      <c r="H3100" t="str">
        <f>CONCATENATE(Prequal[[#This Row],[CITY]], ", ",Prequal[[#This Row],[STATE]])</f>
        <v>Chicago, IL</v>
      </c>
    </row>
    <row r="3101" spans="2:8" x14ac:dyDescent="0.2">
      <c r="B3101" s="27" t="s">
        <v>812</v>
      </c>
      <c r="C3101" s="28" t="s">
        <v>970</v>
      </c>
      <c r="D3101" s="29" t="s">
        <v>25</v>
      </c>
      <c r="E3101" s="30" t="s">
        <v>947</v>
      </c>
      <c r="F3101" s="28" t="s">
        <v>356</v>
      </c>
      <c r="G3101" s="30" t="s">
        <v>783</v>
      </c>
      <c r="H3101" t="str">
        <f>CONCATENATE(Prequal[[#This Row],[CITY]], ", ",Prequal[[#This Row],[STATE]])</f>
        <v>Chicago, IL</v>
      </c>
    </row>
    <row r="3102" spans="2:8" x14ac:dyDescent="0.2">
      <c r="B3102" s="27" t="s">
        <v>812</v>
      </c>
      <c r="C3102" s="28" t="s">
        <v>970</v>
      </c>
      <c r="D3102" s="29" t="s">
        <v>9</v>
      </c>
      <c r="E3102" s="30" t="s">
        <v>947</v>
      </c>
      <c r="F3102" s="28" t="s">
        <v>356</v>
      </c>
      <c r="G3102" s="30" t="s">
        <v>783</v>
      </c>
      <c r="H3102" t="str">
        <f>CONCATENATE(Prequal[[#This Row],[CITY]], ", ",Prequal[[#This Row],[STATE]])</f>
        <v>Chicago, IL</v>
      </c>
    </row>
    <row r="3103" spans="2:8" x14ac:dyDescent="0.2">
      <c r="B3103" s="27" t="s">
        <v>812</v>
      </c>
      <c r="C3103" s="28" t="s">
        <v>970</v>
      </c>
      <c r="D3103" s="29" t="s">
        <v>27</v>
      </c>
      <c r="E3103" s="30" t="s">
        <v>947</v>
      </c>
      <c r="F3103" s="28" t="s">
        <v>356</v>
      </c>
      <c r="G3103" s="30" t="s">
        <v>783</v>
      </c>
      <c r="H3103" t="str">
        <f>CONCATENATE(Prequal[[#This Row],[CITY]], ", ",Prequal[[#This Row],[STATE]])</f>
        <v>Chicago, IL</v>
      </c>
    </row>
    <row r="3104" spans="2:8" x14ac:dyDescent="0.2">
      <c r="B3104" s="27" t="s">
        <v>812</v>
      </c>
      <c r="C3104" s="28" t="s">
        <v>970</v>
      </c>
      <c r="D3104" s="29" t="s">
        <v>10</v>
      </c>
      <c r="E3104" s="30" t="s">
        <v>947</v>
      </c>
      <c r="F3104" s="28" t="s">
        <v>356</v>
      </c>
      <c r="G3104" s="30" t="s">
        <v>783</v>
      </c>
      <c r="H3104" t="str">
        <f>CONCATENATE(Prequal[[#This Row],[CITY]], ", ",Prequal[[#This Row],[STATE]])</f>
        <v>Chicago, IL</v>
      </c>
    </row>
    <row r="3105" spans="2:8" x14ac:dyDescent="0.2">
      <c r="B3105" s="27" t="s">
        <v>812</v>
      </c>
      <c r="C3105" s="28" t="s">
        <v>970</v>
      </c>
      <c r="D3105" s="29" t="s">
        <v>51</v>
      </c>
      <c r="E3105" s="30" t="s">
        <v>947</v>
      </c>
      <c r="F3105" s="28" t="s">
        <v>356</v>
      </c>
      <c r="G3105" s="30" t="s">
        <v>783</v>
      </c>
      <c r="H3105" t="str">
        <f>CONCATENATE(Prequal[[#This Row],[CITY]], ", ",Prequal[[#This Row],[STATE]])</f>
        <v>Chicago, IL</v>
      </c>
    </row>
    <row r="3106" spans="2:8" x14ac:dyDescent="0.2">
      <c r="B3106" s="27" t="s">
        <v>812</v>
      </c>
      <c r="C3106" s="28" t="s">
        <v>970</v>
      </c>
      <c r="D3106" s="29" t="s">
        <v>12</v>
      </c>
      <c r="E3106" s="30" t="s">
        <v>947</v>
      </c>
      <c r="F3106" s="28" t="s">
        <v>356</v>
      </c>
      <c r="G3106" s="30" t="s">
        <v>783</v>
      </c>
      <c r="H3106" t="str">
        <f>CONCATENATE(Prequal[[#This Row],[CITY]], ", ",Prequal[[#This Row],[STATE]])</f>
        <v>Chicago, IL</v>
      </c>
    </row>
    <row r="3107" spans="2:8" x14ac:dyDescent="0.2">
      <c r="B3107" s="27" t="s">
        <v>812</v>
      </c>
      <c r="C3107" s="28" t="s">
        <v>970</v>
      </c>
      <c r="D3107" s="29" t="s">
        <v>28</v>
      </c>
      <c r="E3107" s="30" t="s">
        <v>947</v>
      </c>
      <c r="F3107" s="28" t="s">
        <v>356</v>
      </c>
      <c r="G3107" s="30" t="s">
        <v>783</v>
      </c>
      <c r="H3107" t="str">
        <f>CONCATENATE(Prequal[[#This Row],[CITY]], ", ",Prequal[[#This Row],[STATE]])</f>
        <v>Chicago, IL</v>
      </c>
    </row>
    <row r="3108" spans="2:8" x14ac:dyDescent="0.2">
      <c r="B3108" s="27" t="s">
        <v>812</v>
      </c>
      <c r="C3108" s="28" t="s">
        <v>970</v>
      </c>
      <c r="D3108" s="29" t="s">
        <v>29</v>
      </c>
      <c r="E3108" s="30" t="s">
        <v>947</v>
      </c>
      <c r="F3108" s="28" t="s">
        <v>356</v>
      </c>
      <c r="G3108" s="30" t="s">
        <v>783</v>
      </c>
      <c r="H3108" t="str">
        <f>CONCATENATE(Prequal[[#This Row],[CITY]], ", ",Prequal[[#This Row],[STATE]])</f>
        <v>Chicago, IL</v>
      </c>
    </row>
    <row r="3109" spans="2:8" x14ac:dyDescent="0.2">
      <c r="B3109" s="27" t="s">
        <v>812</v>
      </c>
      <c r="C3109" s="28" t="s">
        <v>970</v>
      </c>
      <c r="D3109" s="29" t="s">
        <v>14</v>
      </c>
      <c r="E3109" s="30" t="s">
        <v>947</v>
      </c>
      <c r="F3109" s="28" t="s">
        <v>356</v>
      </c>
      <c r="G3109" s="30" t="s">
        <v>783</v>
      </c>
      <c r="H3109" t="str">
        <f>CONCATENATE(Prequal[[#This Row],[CITY]], ", ",Prequal[[#This Row],[STATE]])</f>
        <v>Chicago, IL</v>
      </c>
    </row>
    <row r="3110" spans="2:8" x14ac:dyDescent="0.2">
      <c r="B3110" s="27" t="s">
        <v>812</v>
      </c>
      <c r="C3110" s="28" t="s">
        <v>970</v>
      </c>
      <c r="D3110" s="29" t="s">
        <v>15</v>
      </c>
      <c r="E3110" s="30" t="s">
        <v>947</v>
      </c>
      <c r="F3110" s="28" t="s">
        <v>356</v>
      </c>
      <c r="G3110" s="30" t="s">
        <v>783</v>
      </c>
      <c r="H3110" t="str">
        <f>CONCATENATE(Prequal[[#This Row],[CITY]], ", ",Prequal[[#This Row],[STATE]])</f>
        <v>Chicago, IL</v>
      </c>
    </row>
    <row r="3111" spans="2:8" x14ac:dyDescent="0.2">
      <c r="B3111" s="27" t="s">
        <v>812</v>
      </c>
      <c r="C3111" s="28" t="s">
        <v>970</v>
      </c>
      <c r="D3111" s="29" t="s">
        <v>30</v>
      </c>
      <c r="E3111" s="30" t="s">
        <v>947</v>
      </c>
      <c r="F3111" s="28" t="s">
        <v>356</v>
      </c>
      <c r="G3111" s="30" t="s">
        <v>783</v>
      </c>
      <c r="H3111" t="str">
        <f>CONCATENATE(Prequal[[#This Row],[CITY]], ", ",Prequal[[#This Row],[STATE]])</f>
        <v>Chicago, IL</v>
      </c>
    </row>
    <row r="3112" spans="2:8" x14ac:dyDescent="0.2">
      <c r="B3112" s="27" t="s">
        <v>812</v>
      </c>
      <c r="C3112" s="28" t="s">
        <v>970</v>
      </c>
      <c r="D3112" s="29" t="s">
        <v>31</v>
      </c>
      <c r="E3112" s="30" t="s">
        <v>947</v>
      </c>
      <c r="F3112" s="28" t="s">
        <v>356</v>
      </c>
      <c r="G3112" s="30" t="s">
        <v>783</v>
      </c>
      <c r="H3112" t="str">
        <f>CONCATENATE(Prequal[[#This Row],[CITY]], ", ",Prequal[[#This Row],[STATE]])</f>
        <v>Chicago, IL</v>
      </c>
    </row>
    <row r="3113" spans="2:8" x14ac:dyDescent="0.2">
      <c r="B3113" s="27" t="s">
        <v>812</v>
      </c>
      <c r="C3113" s="28" t="s">
        <v>970</v>
      </c>
      <c r="D3113" s="29" t="s">
        <v>32</v>
      </c>
      <c r="E3113" s="30" t="s">
        <v>947</v>
      </c>
      <c r="F3113" s="28" t="s">
        <v>356</v>
      </c>
      <c r="G3113" s="30" t="s">
        <v>783</v>
      </c>
      <c r="H3113" t="str">
        <f>CONCATENATE(Prequal[[#This Row],[CITY]], ", ",Prequal[[#This Row],[STATE]])</f>
        <v>Chicago, IL</v>
      </c>
    </row>
    <row r="3114" spans="2:8" x14ac:dyDescent="0.2">
      <c r="B3114" s="27" t="s">
        <v>812</v>
      </c>
      <c r="C3114" s="28" t="s">
        <v>970</v>
      </c>
      <c r="D3114" s="29" t="s">
        <v>38</v>
      </c>
      <c r="E3114" s="30" t="s">
        <v>947</v>
      </c>
      <c r="F3114" s="28" t="s">
        <v>356</v>
      </c>
      <c r="G3114" s="30" t="s">
        <v>783</v>
      </c>
      <c r="H3114" t="str">
        <f>CONCATENATE(Prequal[[#This Row],[CITY]], ", ",Prequal[[#This Row],[STATE]])</f>
        <v>Chicago, IL</v>
      </c>
    </row>
    <row r="3115" spans="2:8" x14ac:dyDescent="0.2">
      <c r="B3115" s="27" t="s">
        <v>812</v>
      </c>
      <c r="C3115" s="28" t="s">
        <v>970</v>
      </c>
      <c r="D3115" s="29" t="s">
        <v>57</v>
      </c>
      <c r="E3115" s="30" t="s">
        <v>947</v>
      </c>
      <c r="F3115" s="28" t="s">
        <v>356</v>
      </c>
      <c r="G3115" s="30" t="s">
        <v>783</v>
      </c>
      <c r="H3115" t="str">
        <f>CONCATENATE(Prequal[[#This Row],[CITY]], ", ",Prequal[[#This Row],[STATE]])</f>
        <v>Chicago, IL</v>
      </c>
    </row>
    <row r="3116" spans="2:8" x14ac:dyDescent="0.2">
      <c r="B3116" s="27" t="s">
        <v>1019</v>
      </c>
      <c r="C3116" s="28" t="s">
        <v>969</v>
      </c>
      <c r="D3116" s="29" t="s">
        <v>5</v>
      </c>
      <c r="E3116" s="30" t="s">
        <v>1020</v>
      </c>
      <c r="F3116" s="28" t="s">
        <v>356</v>
      </c>
      <c r="G3116" s="30" t="s">
        <v>1021</v>
      </c>
      <c r="H3116" t="str">
        <f>CONCATENATE(Prequal[[#This Row],[CITY]], ", ",Prequal[[#This Row],[STATE]])</f>
        <v>HOFFMAN ESTATES, IL</v>
      </c>
    </row>
    <row r="3117" spans="2:8" x14ac:dyDescent="0.2">
      <c r="B3117" s="27" t="s">
        <v>1019</v>
      </c>
      <c r="C3117" s="28" t="s">
        <v>969</v>
      </c>
      <c r="D3117" s="29" t="s">
        <v>29</v>
      </c>
      <c r="E3117" s="30" t="s">
        <v>1020</v>
      </c>
      <c r="F3117" s="28" t="s">
        <v>356</v>
      </c>
      <c r="G3117" s="30" t="s">
        <v>1021</v>
      </c>
      <c r="H3117" t="str">
        <f>CONCATENATE(Prequal[[#This Row],[CITY]], ", ",Prequal[[#This Row],[STATE]])</f>
        <v>HOFFMAN ESTATES, IL</v>
      </c>
    </row>
    <row r="3118" spans="2:8" x14ac:dyDescent="0.2">
      <c r="B3118" s="27" t="s">
        <v>1019</v>
      </c>
      <c r="C3118" s="28" t="s">
        <v>969</v>
      </c>
      <c r="D3118" s="29" t="s">
        <v>15</v>
      </c>
      <c r="E3118" s="30" t="s">
        <v>1020</v>
      </c>
      <c r="F3118" s="28" t="s">
        <v>356</v>
      </c>
      <c r="G3118" s="30" t="s">
        <v>1021</v>
      </c>
      <c r="H3118" t="str">
        <f>CONCATENATE(Prequal[[#This Row],[CITY]], ", ",Prequal[[#This Row],[STATE]])</f>
        <v>HOFFMAN ESTATES, IL</v>
      </c>
    </row>
    <row r="3119" spans="2:8" x14ac:dyDescent="0.2">
      <c r="B3119" s="27" t="s">
        <v>897</v>
      </c>
      <c r="C3119" s="28" t="s">
        <v>969</v>
      </c>
      <c r="D3119" s="29" t="s">
        <v>70</v>
      </c>
      <c r="E3119" s="30" t="s">
        <v>413</v>
      </c>
      <c r="F3119" s="28" t="s">
        <v>356</v>
      </c>
      <c r="G3119" s="30" t="s">
        <v>898</v>
      </c>
      <c r="H3119" t="str">
        <f>CONCATENATE(Prequal[[#This Row],[CITY]], ", ",Prequal[[#This Row],[STATE]])</f>
        <v>Sugar Grove, IL</v>
      </c>
    </row>
    <row r="3120" spans="2:8" x14ac:dyDescent="0.2">
      <c r="B3120" s="27" t="s">
        <v>317</v>
      </c>
      <c r="C3120" s="28" t="s">
        <v>969</v>
      </c>
      <c r="D3120" s="29" t="s">
        <v>4</v>
      </c>
      <c r="E3120" s="30" t="s">
        <v>417</v>
      </c>
      <c r="F3120" s="28" t="s">
        <v>356</v>
      </c>
      <c r="G3120" s="30" t="s">
        <v>784</v>
      </c>
      <c r="H3120" t="str">
        <f>CONCATENATE(Prequal[[#This Row],[CITY]], ", ",Prequal[[#This Row],[STATE]])</f>
        <v>Oak Park, IL</v>
      </c>
    </row>
    <row r="3121" spans="2:8" x14ac:dyDescent="0.2">
      <c r="B3121" s="27" t="s">
        <v>317</v>
      </c>
      <c r="C3121" s="28" t="s">
        <v>969</v>
      </c>
      <c r="D3121" s="29" t="s">
        <v>5</v>
      </c>
      <c r="E3121" s="30" t="s">
        <v>417</v>
      </c>
      <c r="F3121" s="28" t="s">
        <v>356</v>
      </c>
      <c r="G3121" s="30" t="s">
        <v>784</v>
      </c>
      <c r="H3121" t="str">
        <f>CONCATENATE(Prequal[[#This Row],[CITY]], ", ",Prequal[[#This Row],[STATE]])</f>
        <v>Oak Park, IL</v>
      </c>
    </row>
    <row r="3122" spans="2:8" x14ac:dyDescent="0.2">
      <c r="B3122" s="27" t="s">
        <v>317</v>
      </c>
      <c r="C3122" s="28" t="s">
        <v>969</v>
      </c>
      <c r="D3122" s="29" t="s">
        <v>7</v>
      </c>
      <c r="E3122" s="30" t="s">
        <v>417</v>
      </c>
      <c r="F3122" s="28" t="s">
        <v>356</v>
      </c>
      <c r="G3122" s="30" t="s">
        <v>784</v>
      </c>
      <c r="H3122" t="str">
        <f>CONCATENATE(Prequal[[#This Row],[CITY]], ", ",Prequal[[#This Row],[STATE]])</f>
        <v>Oak Park, IL</v>
      </c>
    </row>
    <row r="3123" spans="2:8" x14ac:dyDescent="0.2">
      <c r="B3123" s="27" t="s">
        <v>317</v>
      </c>
      <c r="C3123" s="28" t="s">
        <v>969</v>
      </c>
      <c r="D3123" s="29" t="s">
        <v>8</v>
      </c>
      <c r="E3123" s="30" t="s">
        <v>417</v>
      </c>
      <c r="F3123" s="28" t="s">
        <v>356</v>
      </c>
      <c r="G3123" s="30" t="s">
        <v>784</v>
      </c>
      <c r="H3123" t="str">
        <f>CONCATENATE(Prequal[[#This Row],[CITY]], ", ",Prequal[[#This Row],[STATE]])</f>
        <v>Oak Park, IL</v>
      </c>
    </row>
    <row r="3124" spans="2:8" x14ac:dyDescent="0.2">
      <c r="B3124" s="27" t="s">
        <v>317</v>
      </c>
      <c r="C3124" s="28" t="s">
        <v>969</v>
      </c>
      <c r="D3124" s="29" t="s">
        <v>24</v>
      </c>
      <c r="E3124" s="30" t="s">
        <v>417</v>
      </c>
      <c r="F3124" s="28" t="s">
        <v>356</v>
      </c>
      <c r="G3124" s="30" t="s">
        <v>784</v>
      </c>
      <c r="H3124" t="str">
        <f>CONCATENATE(Prequal[[#This Row],[CITY]], ", ",Prequal[[#This Row],[STATE]])</f>
        <v>Oak Park, IL</v>
      </c>
    </row>
    <row r="3125" spans="2:8" x14ac:dyDescent="0.2">
      <c r="B3125" s="27" t="s">
        <v>317</v>
      </c>
      <c r="C3125" s="28" t="s">
        <v>969</v>
      </c>
      <c r="D3125" s="29" t="s">
        <v>25</v>
      </c>
      <c r="E3125" s="30" t="s">
        <v>417</v>
      </c>
      <c r="F3125" s="28" t="s">
        <v>356</v>
      </c>
      <c r="G3125" s="30" t="s">
        <v>784</v>
      </c>
      <c r="H3125" t="str">
        <f>CONCATENATE(Prequal[[#This Row],[CITY]], ", ",Prequal[[#This Row],[STATE]])</f>
        <v>Oak Park, IL</v>
      </c>
    </row>
    <row r="3126" spans="2:8" x14ac:dyDescent="0.2">
      <c r="B3126" s="27" t="s">
        <v>317</v>
      </c>
      <c r="C3126" s="28" t="s">
        <v>969</v>
      </c>
      <c r="D3126" s="29" t="s">
        <v>9</v>
      </c>
      <c r="E3126" s="30" t="s">
        <v>417</v>
      </c>
      <c r="F3126" s="28" t="s">
        <v>356</v>
      </c>
      <c r="G3126" s="30" t="s">
        <v>784</v>
      </c>
      <c r="H3126" t="str">
        <f>CONCATENATE(Prequal[[#This Row],[CITY]], ", ",Prequal[[#This Row],[STATE]])</f>
        <v>Oak Park, IL</v>
      </c>
    </row>
    <row r="3127" spans="2:8" x14ac:dyDescent="0.2">
      <c r="B3127" s="27" t="s">
        <v>317</v>
      </c>
      <c r="C3127" s="28" t="s">
        <v>969</v>
      </c>
      <c r="D3127" s="29" t="s">
        <v>27</v>
      </c>
      <c r="E3127" s="30" t="s">
        <v>417</v>
      </c>
      <c r="F3127" s="28" t="s">
        <v>356</v>
      </c>
      <c r="G3127" s="30" t="s">
        <v>784</v>
      </c>
      <c r="H3127" t="str">
        <f>CONCATENATE(Prequal[[#This Row],[CITY]], ", ",Prequal[[#This Row],[STATE]])</f>
        <v>Oak Park, IL</v>
      </c>
    </row>
    <row r="3128" spans="2:8" x14ac:dyDescent="0.2">
      <c r="B3128" s="27" t="s">
        <v>317</v>
      </c>
      <c r="C3128" s="28" t="s">
        <v>969</v>
      </c>
      <c r="D3128" s="29" t="s">
        <v>10</v>
      </c>
      <c r="E3128" s="30" t="s">
        <v>417</v>
      </c>
      <c r="F3128" s="28" t="s">
        <v>356</v>
      </c>
      <c r="G3128" s="30" t="s">
        <v>784</v>
      </c>
      <c r="H3128" t="str">
        <f>CONCATENATE(Prequal[[#This Row],[CITY]], ", ",Prequal[[#This Row],[STATE]])</f>
        <v>Oak Park, IL</v>
      </c>
    </row>
    <row r="3129" spans="2:8" x14ac:dyDescent="0.2">
      <c r="B3129" s="27" t="s">
        <v>317</v>
      </c>
      <c r="C3129" s="28" t="s">
        <v>969</v>
      </c>
      <c r="D3129" s="29" t="s">
        <v>12</v>
      </c>
      <c r="E3129" s="30" t="s">
        <v>417</v>
      </c>
      <c r="F3129" s="28" t="s">
        <v>356</v>
      </c>
      <c r="G3129" s="30" t="s">
        <v>784</v>
      </c>
      <c r="H3129" t="str">
        <f>CONCATENATE(Prequal[[#This Row],[CITY]], ", ",Prequal[[#This Row],[STATE]])</f>
        <v>Oak Park, IL</v>
      </c>
    </row>
    <row r="3130" spans="2:8" x14ac:dyDescent="0.2">
      <c r="B3130" s="27" t="s">
        <v>317</v>
      </c>
      <c r="C3130" s="28" t="s">
        <v>969</v>
      </c>
      <c r="D3130" s="29" t="s">
        <v>29</v>
      </c>
      <c r="E3130" s="30" t="s">
        <v>417</v>
      </c>
      <c r="F3130" s="28" t="s">
        <v>356</v>
      </c>
      <c r="G3130" s="30" t="s">
        <v>784</v>
      </c>
      <c r="H3130" t="str">
        <f>CONCATENATE(Prequal[[#This Row],[CITY]], ", ",Prequal[[#This Row],[STATE]])</f>
        <v>Oak Park, IL</v>
      </c>
    </row>
    <row r="3131" spans="2:8" x14ac:dyDescent="0.2">
      <c r="B3131" s="27" t="s">
        <v>317</v>
      </c>
      <c r="C3131" s="28" t="s">
        <v>969</v>
      </c>
      <c r="D3131" s="29" t="s">
        <v>37</v>
      </c>
      <c r="E3131" s="30" t="s">
        <v>417</v>
      </c>
      <c r="F3131" s="28" t="s">
        <v>356</v>
      </c>
      <c r="G3131" s="30" t="s">
        <v>784</v>
      </c>
      <c r="H3131" t="str">
        <f>CONCATENATE(Prequal[[#This Row],[CITY]], ", ",Prequal[[#This Row],[STATE]])</f>
        <v>Oak Park, IL</v>
      </c>
    </row>
    <row r="3132" spans="2:8" x14ac:dyDescent="0.2">
      <c r="B3132" s="27" t="s">
        <v>317</v>
      </c>
      <c r="C3132" s="28" t="s">
        <v>969</v>
      </c>
      <c r="D3132" s="29" t="s">
        <v>13</v>
      </c>
      <c r="E3132" s="30" t="s">
        <v>417</v>
      </c>
      <c r="F3132" s="28" t="s">
        <v>356</v>
      </c>
      <c r="G3132" s="30" t="s">
        <v>784</v>
      </c>
      <c r="H3132" t="str">
        <f>CONCATENATE(Prequal[[#This Row],[CITY]], ", ",Prequal[[#This Row],[STATE]])</f>
        <v>Oak Park, IL</v>
      </c>
    </row>
    <row r="3133" spans="2:8" x14ac:dyDescent="0.2">
      <c r="B3133" s="27" t="s">
        <v>317</v>
      </c>
      <c r="C3133" s="28" t="s">
        <v>969</v>
      </c>
      <c r="D3133" s="29" t="s">
        <v>14</v>
      </c>
      <c r="E3133" s="30" t="s">
        <v>417</v>
      </c>
      <c r="F3133" s="28" t="s">
        <v>356</v>
      </c>
      <c r="G3133" s="30" t="s">
        <v>784</v>
      </c>
      <c r="H3133" t="str">
        <f>CONCATENATE(Prequal[[#This Row],[CITY]], ", ",Prequal[[#This Row],[STATE]])</f>
        <v>Oak Park, IL</v>
      </c>
    </row>
    <row r="3134" spans="2:8" x14ac:dyDescent="0.2">
      <c r="B3134" s="27" t="s">
        <v>317</v>
      </c>
      <c r="C3134" s="28" t="s">
        <v>969</v>
      </c>
      <c r="D3134" s="29" t="s">
        <v>15</v>
      </c>
      <c r="E3134" s="30" t="s">
        <v>417</v>
      </c>
      <c r="F3134" s="28" t="s">
        <v>356</v>
      </c>
      <c r="G3134" s="30" t="s">
        <v>784</v>
      </c>
      <c r="H3134" t="str">
        <f>CONCATENATE(Prequal[[#This Row],[CITY]], ", ",Prequal[[#This Row],[STATE]])</f>
        <v>Oak Park, IL</v>
      </c>
    </row>
    <row r="3135" spans="2:8" x14ac:dyDescent="0.2">
      <c r="B3135" s="27" t="s">
        <v>318</v>
      </c>
      <c r="C3135" s="28" t="s">
        <v>970</v>
      </c>
      <c r="D3135" s="29" t="s">
        <v>5</v>
      </c>
      <c r="E3135" s="30" t="s">
        <v>387</v>
      </c>
      <c r="F3135" s="28" t="s">
        <v>356</v>
      </c>
      <c r="G3135" s="30" t="s">
        <v>785</v>
      </c>
      <c r="H3135" t="str">
        <f>CONCATENATE(Prequal[[#This Row],[CITY]], ", ",Prequal[[#This Row],[STATE]])</f>
        <v>Belleville, IL</v>
      </c>
    </row>
    <row r="3136" spans="2:8" x14ac:dyDescent="0.2">
      <c r="B3136" s="27" t="s">
        <v>318</v>
      </c>
      <c r="C3136" s="28" t="s">
        <v>970</v>
      </c>
      <c r="D3136" s="29" t="s">
        <v>10</v>
      </c>
      <c r="E3136" s="30" t="s">
        <v>387</v>
      </c>
      <c r="F3136" s="28" t="s">
        <v>356</v>
      </c>
      <c r="G3136" s="30" t="s">
        <v>785</v>
      </c>
      <c r="H3136" t="str">
        <f>CONCATENATE(Prequal[[#This Row],[CITY]], ", ",Prequal[[#This Row],[STATE]])</f>
        <v>Belleville, IL</v>
      </c>
    </row>
    <row r="3137" spans="2:8" x14ac:dyDescent="0.2">
      <c r="B3137" s="27" t="s">
        <v>319</v>
      </c>
      <c r="C3137" s="28" t="s">
        <v>969</v>
      </c>
      <c r="D3137" s="29" t="s">
        <v>29</v>
      </c>
      <c r="E3137" s="30" t="s">
        <v>391</v>
      </c>
      <c r="F3137" s="28" t="s">
        <v>356</v>
      </c>
      <c r="G3137" s="30" t="s">
        <v>786</v>
      </c>
      <c r="H3137" t="str">
        <f>CONCATENATE(Prequal[[#This Row],[CITY]], ", ",Prequal[[#This Row],[STATE]])</f>
        <v>Rosemont, IL</v>
      </c>
    </row>
    <row r="3138" spans="2:8" x14ac:dyDescent="0.2">
      <c r="B3138" s="27" t="s">
        <v>320</v>
      </c>
      <c r="C3138" s="28" t="s">
        <v>969</v>
      </c>
      <c r="D3138" s="29" t="s">
        <v>4</v>
      </c>
      <c r="E3138" s="30" t="s">
        <v>490</v>
      </c>
      <c r="F3138" s="28" t="s">
        <v>356</v>
      </c>
      <c r="G3138" s="30" t="s">
        <v>787</v>
      </c>
      <c r="H3138" t="str">
        <f>CONCATENATE(Prequal[[#This Row],[CITY]], ", ",Prequal[[#This Row],[STATE]])</f>
        <v>Swansea, IL</v>
      </c>
    </row>
    <row r="3139" spans="2:8" x14ac:dyDescent="0.2">
      <c r="B3139" s="27" t="s">
        <v>320</v>
      </c>
      <c r="C3139" s="28" t="s">
        <v>969</v>
      </c>
      <c r="D3139" s="29" t="s">
        <v>5</v>
      </c>
      <c r="E3139" s="30" t="s">
        <v>490</v>
      </c>
      <c r="F3139" s="28" t="s">
        <v>356</v>
      </c>
      <c r="G3139" s="30" t="s">
        <v>787</v>
      </c>
      <c r="H3139" t="str">
        <f>CONCATENATE(Prequal[[#This Row],[CITY]], ", ",Prequal[[#This Row],[STATE]])</f>
        <v>Swansea, IL</v>
      </c>
    </row>
    <row r="3140" spans="2:8" x14ac:dyDescent="0.2">
      <c r="B3140" s="27" t="s">
        <v>320</v>
      </c>
      <c r="C3140" s="28" t="s">
        <v>969</v>
      </c>
      <c r="D3140" s="29" t="s">
        <v>6</v>
      </c>
      <c r="E3140" s="30" t="s">
        <v>490</v>
      </c>
      <c r="F3140" s="28" t="s">
        <v>356</v>
      </c>
      <c r="G3140" s="30" t="s">
        <v>787</v>
      </c>
      <c r="H3140" t="str">
        <f>CONCATENATE(Prequal[[#This Row],[CITY]], ", ",Prequal[[#This Row],[STATE]])</f>
        <v>Swansea, IL</v>
      </c>
    </row>
    <row r="3141" spans="2:8" x14ac:dyDescent="0.2">
      <c r="B3141" s="31" t="s">
        <v>320</v>
      </c>
      <c r="C3141" s="32" t="s">
        <v>969</v>
      </c>
      <c r="D3141" s="33" t="s">
        <v>7</v>
      </c>
      <c r="E3141" s="30" t="s">
        <v>490</v>
      </c>
      <c r="F3141" s="32" t="s">
        <v>356</v>
      </c>
      <c r="G3141" s="30" t="s">
        <v>787</v>
      </c>
      <c r="H3141" t="str">
        <f>CONCATENATE(Prequal[[#This Row],[CITY]], ", ",Prequal[[#This Row],[STATE]])</f>
        <v>Swansea, IL</v>
      </c>
    </row>
    <row r="3142" spans="2:8" x14ac:dyDescent="0.2">
      <c r="B3142" s="27" t="s">
        <v>320</v>
      </c>
      <c r="C3142" s="28" t="s">
        <v>969</v>
      </c>
      <c r="D3142" s="29" t="s">
        <v>1013</v>
      </c>
      <c r="E3142" s="30" t="s">
        <v>490</v>
      </c>
      <c r="F3142" s="28" t="s">
        <v>356</v>
      </c>
      <c r="G3142" s="30" t="s">
        <v>787</v>
      </c>
      <c r="H3142" t="str">
        <f>CONCATENATE(Prequal[[#This Row],[CITY]], ", ",Prequal[[#This Row],[STATE]])</f>
        <v>Swansea, IL</v>
      </c>
    </row>
    <row r="3143" spans="2:8" x14ac:dyDescent="0.2">
      <c r="B3143" s="27" t="s">
        <v>320</v>
      </c>
      <c r="C3143" s="28" t="s">
        <v>969</v>
      </c>
      <c r="D3143" s="29" t="s">
        <v>8</v>
      </c>
      <c r="E3143" s="30" t="s">
        <v>490</v>
      </c>
      <c r="F3143" s="28" t="s">
        <v>356</v>
      </c>
      <c r="G3143" s="30" t="s">
        <v>787</v>
      </c>
      <c r="H3143" t="str">
        <f>CONCATENATE(Prequal[[#This Row],[CITY]], ", ",Prequal[[#This Row],[STATE]])</f>
        <v>Swansea, IL</v>
      </c>
    </row>
    <row r="3144" spans="2:8" x14ac:dyDescent="0.2">
      <c r="B3144" s="27" t="s">
        <v>320</v>
      </c>
      <c r="C3144" s="28" t="s">
        <v>969</v>
      </c>
      <c r="D3144" s="29" t="s">
        <v>24</v>
      </c>
      <c r="E3144" s="30" t="s">
        <v>490</v>
      </c>
      <c r="F3144" s="28" t="s">
        <v>356</v>
      </c>
      <c r="G3144" s="30" t="s">
        <v>787</v>
      </c>
      <c r="H3144" t="str">
        <f>CONCATENATE(Prequal[[#This Row],[CITY]], ", ",Prequal[[#This Row],[STATE]])</f>
        <v>Swansea, IL</v>
      </c>
    </row>
    <row r="3145" spans="2:8" x14ac:dyDescent="0.2">
      <c r="B3145" s="27" t="s">
        <v>320</v>
      </c>
      <c r="C3145" s="28" t="s">
        <v>969</v>
      </c>
      <c r="D3145" s="29" t="s">
        <v>25</v>
      </c>
      <c r="E3145" s="30" t="s">
        <v>490</v>
      </c>
      <c r="F3145" s="28" t="s">
        <v>356</v>
      </c>
      <c r="G3145" s="30" t="s">
        <v>787</v>
      </c>
      <c r="H3145" t="str">
        <f>CONCATENATE(Prequal[[#This Row],[CITY]], ", ",Prequal[[#This Row],[STATE]])</f>
        <v>Swansea, IL</v>
      </c>
    </row>
    <row r="3146" spans="2:8" x14ac:dyDescent="0.2">
      <c r="B3146" s="27" t="s">
        <v>320</v>
      </c>
      <c r="C3146" s="28" t="s">
        <v>969</v>
      </c>
      <c r="D3146" s="29" t="s">
        <v>9</v>
      </c>
      <c r="E3146" s="30" t="s">
        <v>490</v>
      </c>
      <c r="F3146" s="28" t="s">
        <v>356</v>
      </c>
      <c r="G3146" s="30" t="s">
        <v>787</v>
      </c>
      <c r="H3146" t="str">
        <f>CONCATENATE(Prequal[[#This Row],[CITY]], ", ",Prequal[[#This Row],[STATE]])</f>
        <v>Swansea, IL</v>
      </c>
    </row>
    <row r="3147" spans="2:8" x14ac:dyDescent="0.2">
      <c r="B3147" s="27" t="s">
        <v>320</v>
      </c>
      <c r="C3147" s="28" t="s">
        <v>969</v>
      </c>
      <c r="D3147" s="29" t="s">
        <v>27</v>
      </c>
      <c r="E3147" s="30" t="s">
        <v>490</v>
      </c>
      <c r="F3147" s="28" t="s">
        <v>356</v>
      </c>
      <c r="G3147" s="30" t="s">
        <v>787</v>
      </c>
      <c r="H3147" t="str">
        <f>CONCATENATE(Prequal[[#This Row],[CITY]], ", ",Prequal[[#This Row],[STATE]])</f>
        <v>Swansea, IL</v>
      </c>
    </row>
    <row r="3148" spans="2:8" x14ac:dyDescent="0.2">
      <c r="B3148" s="27" t="s">
        <v>320</v>
      </c>
      <c r="C3148" s="28" t="s">
        <v>969</v>
      </c>
      <c r="D3148" s="29" t="s">
        <v>81</v>
      </c>
      <c r="E3148" s="30" t="s">
        <v>490</v>
      </c>
      <c r="F3148" s="28" t="s">
        <v>356</v>
      </c>
      <c r="G3148" s="30" t="s">
        <v>787</v>
      </c>
      <c r="H3148" t="str">
        <f>CONCATENATE(Prequal[[#This Row],[CITY]], ", ",Prequal[[#This Row],[STATE]])</f>
        <v>Swansea, IL</v>
      </c>
    </row>
    <row r="3149" spans="2:8" x14ac:dyDescent="0.2">
      <c r="B3149" s="27" t="s">
        <v>320</v>
      </c>
      <c r="C3149" s="28" t="s">
        <v>969</v>
      </c>
      <c r="D3149" s="29" t="s">
        <v>10</v>
      </c>
      <c r="E3149" s="30" t="s">
        <v>490</v>
      </c>
      <c r="F3149" s="28" t="s">
        <v>356</v>
      </c>
      <c r="G3149" s="30" t="s">
        <v>787</v>
      </c>
      <c r="H3149" t="str">
        <f>CONCATENATE(Prequal[[#This Row],[CITY]], ", ",Prequal[[#This Row],[STATE]])</f>
        <v>Swansea, IL</v>
      </c>
    </row>
    <row r="3150" spans="2:8" x14ac:dyDescent="0.2">
      <c r="B3150" s="27" t="s">
        <v>320</v>
      </c>
      <c r="C3150" s="28" t="s">
        <v>969</v>
      </c>
      <c r="D3150" s="29" t="s">
        <v>22</v>
      </c>
      <c r="E3150" s="30" t="s">
        <v>490</v>
      </c>
      <c r="F3150" s="28" t="s">
        <v>356</v>
      </c>
      <c r="G3150" s="30" t="s">
        <v>787</v>
      </c>
      <c r="H3150" t="str">
        <f>CONCATENATE(Prequal[[#This Row],[CITY]], ", ",Prequal[[#This Row],[STATE]])</f>
        <v>Swansea, IL</v>
      </c>
    </row>
    <row r="3151" spans="2:8" x14ac:dyDescent="0.2">
      <c r="B3151" s="27" t="s">
        <v>320</v>
      </c>
      <c r="C3151" s="28" t="s">
        <v>969</v>
      </c>
      <c r="D3151" s="29" t="s">
        <v>63</v>
      </c>
      <c r="E3151" s="30" t="s">
        <v>490</v>
      </c>
      <c r="F3151" s="28" t="s">
        <v>356</v>
      </c>
      <c r="G3151" s="30" t="s">
        <v>787</v>
      </c>
      <c r="H3151" t="str">
        <f>CONCATENATE(Prequal[[#This Row],[CITY]], ", ",Prequal[[#This Row],[STATE]])</f>
        <v>Swansea, IL</v>
      </c>
    </row>
    <row r="3152" spans="2:8" x14ac:dyDescent="0.2">
      <c r="B3152" s="27" t="s">
        <v>320</v>
      </c>
      <c r="C3152" s="28" t="s">
        <v>969</v>
      </c>
      <c r="D3152" s="29" t="s">
        <v>12</v>
      </c>
      <c r="E3152" s="30" t="s">
        <v>490</v>
      </c>
      <c r="F3152" s="28" t="s">
        <v>356</v>
      </c>
      <c r="G3152" s="30" t="s">
        <v>787</v>
      </c>
      <c r="H3152" t="str">
        <f>CONCATENATE(Prequal[[#This Row],[CITY]], ", ",Prequal[[#This Row],[STATE]])</f>
        <v>Swansea, IL</v>
      </c>
    </row>
    <row r="3153" spans="2:8" x14ac:dyDescent="0.2">
      <c r="B3153" s="27" t="s">
        <v>320</v>
      </c>
      <c r="C3153" s="28" t="s">
        <v>969</v>
      </c>
      <c r="D3153" s="29" t="s">
        <v>29</v>
      </c>
      <c r="E3153" s="30" t="s">
        <v>490</v>
      </c>
      <c r="F3153" s="28" t="s">
        <v>356</v>
      </c>
      <c r="G3153" s="30" t="s">
        <v>787</v>
      </c>
      <c r="H3153" t="str">
        <f>CONCATENATE(Prequal[[#This Row],[CITY]], ", ",Prequal[[#This Row],[STATE]])</f>
        <v>Swansea, IL</v>
      </c>
    </row>
    <row r="3154" spans="2:8" x14ac:dyDescent="0.2">
      <c r="B3154" s="27" t="s">
        <v>320</v>
      </c>
      <c r="C3154" s="28" t="s">
        <v>969</v>
      </c>
      <c r="D3154" s="29" t="s">
        <v>37</v>
      </c>
      <c r="E3154" s="30" t="s">
        <v>490</v>
      </c>
      <c r="F3154" s="28" t="s">
        <v>356</v>
      </c>
      <c r="G3154" s="30" t="s">
        <v>787</v>
      </c>
      <c r="H3154" t="str">
        <f>CONCATENATE(Prequal[[#This Row],[CITY]], ", ",Prequal[[#This Row],[STATE]])</f>
        <v>Swansea, IL</v>
      </c>
    </row>
    <row r="3155" spans="2:8" x14ac:dyDescent="0.2">
      <c r="B3155" s="27" t="s">
        <v>320</v>
      </c>
      <c r="C3155" s="28" t="s">
        <v>969</v>
      </c>
      <c r="D3155" s="29" t="s">
        <v>13</v>
      </c>
      <c r="E3155" s="30" t="s">
        <v>490</v>
      </c>
      <c r="F3155" s="28" t="s">
        <v>356</v>
      </c>
      <c r="G3155" s="30" t="s">
        <v>787</v>
      </c>
      <c r="H3155" t="str">
        <f>CONCATENATE(Prequal[[#This Row],[CITY]], ", ",Prequal[[#This Row],[STATE]])</f>
        <v>Swansea, IL</v>
      </c>
    </row>
    <row r="3156" spans="2:8" x14ac:dyDescent="0.2">
      <c r="B3156" s="27" t="s">
        <v>320</v>
      </c>
      <c r="C3156" s="28" t="s">
        <v>969</v>
      </c>
      <c r="D3156" s="29" t="s">
        <v>14</v>
      </c>
      <c r="E3156" s="30" t="s">
        <v>490</v>
      </c>
      <c r="F3156" s="28" t="s">
        <v>356</v>
      </c>
      <c r="G3156" s="30" t="s">
        <v>787</v>
      </c>
      <c r="H3156" t="str">
        <f>CONCATENATE(Prequal[[#This Row],[CITY]], ", ",Prequal[[#This Row],[STATE]])</f>
        <v>Swansea, IL</v>
      </c>
    </row>
    <row r="3157" spans="2:8" x14ac:dyDescent="0.2">
      <c r="B3157" s="27" t="s">
        <v>320</v>
      </c>
      <c r="C3157" s="28" t="s">
        <v>969</v>
      </c>
      <c r="D3157" s="29" t="s">
        <v>15</v>
      </c>
      <c r="E3157" s="30" t="s">
        <v>490</v>
      </c>
      <c r="F3157" s="28" t="s">
        <v>356</v>
      </c>
      <c r="G3157" s="30" t="s">
        <v>787</v>
      </c>
      <c r="H3157" t="str">
        <f>CONCATENATE(Prequal[[#This Row],[CITY]], ", ",Prequal[[#This Row],[STATE]])</f>
        <v>Swansea, IL</v>
      </c>
    </row>
    <row r="3158" spans="2:8" x14ac:dyDescent="0.2">
      <c r="B3158" s="27" t="s">
        <v>320</v>
      </c>
      <c r="C3158" s="28" t="s">
        <v>969</v>
      </c>
      <c r="D3158" s="29" t="s">
        <v>30</v>
      </c>
      <c r="E3158" s="30" t="s">
        <v>490</v>
      </c>
      <c r="F3158" s="28" t="s">
        <v>356</v>
      </c>
      <c r="G3158" s="30" t="s">
        <v>787</v>
      </c>
      <c r="H3158" t="str">
        <f>CONCATENATE(Prequal[[#This Row],[CITY]], ", ",Prequal[[#This Row],[STATE]])</f>
        <v>Swansea, IL</v>
      </c>
    </row>
    <row r="3159" spans="2:8" x14ac:dyDescent="0.2">
      <c r="B3159" s="27" t="s">
        <v>320</v>
      </c>
      <c r="C3159" s="28" t="s">
        <v>969</v>
      </c>
      <c r="D3159" s="29" t="s">
        <v>31</v>
      </c>
      <c r="E3159" s="30" t="s">
        <v>490</v>
      </c>
      <c r="F3159" s="28" t="s">
        <v>356</v>
      </c>
      <c r="G3159" s="30" t="s">
        <v>787</v>
      </c>
      <c r="H3159" t="str">
        <f>CONCATENATE(Prequal[[#This Row],[CITY]], ", ",Prequal[[#This Row],[STATE]])</f>
        <v>Swansea, IL</v>
      </c>
    </row>
    <row r="3160" spans="2:8" x14ac:dyDescent="0.2">
      <c r="B3160" s="27" t="s">
        <v>320</v>
      </c>
      <c r="C3160" s="28" t="s">
        <v>969</v>
      </c>
      <c r="D3160" s="29" t="s">
        <v>32</v>
      </c>
      <c r="E3160" s="30" t="s">
        <v>490</v>
      </c>
      <c r="F3160" s="28" t="s">
        <v>356</v>
      </c>
      <c r="G3160" s="30" t="s">
        <v>787</v>
      </c>
      <c r="H3160" t="str">
        <f>CONCATENATE(Prequal[[#This Row],[CITY]], ", ",Prequal[[#This Row],[STATE]])</f>
        <v>Swansea, IL</v>
      </c>
    </row>
    <row r="3161" spans="2:8" x14ac:dyDescent="0.2">
      <c r="B3161" s="27" t="s">
        <v>320</v>
      </c>
      <c r="C3161" s="28" t="s">
        <v>969</v>
      </c>
      <c r="D3161" s="29" t="s">
        <v>38</v>
      </c>
      <c r="E3161" s="30" t="s">
        <v>490</v>
      </c>
      <c r="F3161" s="28" t="s">
        <v>356</v>
      </c>
      <c r="G3161" s="30" t="s">
        <v>787</v>
      </c>
      <c r="H3161" t="str">
        <f>CONCATENATE(Prequal[[#This Row],[CITY]], ", ",Prequal[[#This Row],[STATE]])</f>
        <v>Swansea, IL</v>
      </c>
    </row>
    <row r="3162" spans="2:8" x14ac:dyDescent="0.2">
      <c r="B3162" s="27" t="s">
        <v>321</v>
      </c>
      <c r="C3162" s="28" t="s">
        <v>969</v>
      </c>
      <c r="D3162" s="29" t="s">
        <v>4</v>
      </c>
      <c r="E3162" s="30" t="s">
        <v>362</v>
      </c>
      <c r="F3162" s="28" t="s">
        <v>363</v>
      </c>
      <c r="G3162" s="30" t="s">
        <v>788</v>
      </c>
      <c r="H3162" t="str">
        <f>CONCATENATE(Prequal[[#This Row],[CITY]], ", ",Prequal[[#This Row],[STATE]])</f>
        <v>Saint Paul, MN</v>
      </c>
    </row>
    <row r="3163" spans="2:8" x14ac:dyDescent="0.2">
      <c r="B3163" s="27" t="s">
        <v>321</v>
      </c>
      <c r="C3163" s="28" t="s">
        <v>969</v>
      </c>
      <c r="D3163" s="29" t="s">
        <v>5</v>
      </c>
      <c r="E3163" s="30" t="s">
        <v>362</v>
      </c>
      <c r="F3163" s="28" t="s">
        <v>363</v>
      </c>
      <c r="G3163" s="30" t="s">
        <v>788</v>
      </c>
      <c r="H3163" t="str">
        <f>CONCATENATE(Prequal[[#This Row],[CITY]], ", ",Prequal[[#This Row],[STATE]])</f>
        <v>Saint Paul, MN</v>
      </c>
    </row>
    <row r="3164" spans="2:8" x14ac:dyDescent="0.2">
      <c r="B3164" s="27" t="s">
        <v>321</v>
      </c>
      <c r="C3164" s="28" t="s">
        <v>969</v>
      </c>
      <c r="D3164" s="29" t="s">
        <v>8</v>
      </c>
      <c r="E3164" s="30" t="s">
        <v>362</v>
      </c>
      <c r="F3164" s="28" t="s">
        <v>363</v>
      </c>
      <c r="G3164" s="30" t="s">
        <v>788</v>
      </c>
      <c r="H3164" t="str">
        <f>CONCATENATE(Prequal[[#This Row],[CITY]], ", ",Prequal[[#This Row],[STATE]])</f>
        <v>Saint Paul, MN</v>
      </c>
    </row>
    <row r="3165" spans="2:8" x14ac:dyDescent="0.2">
      <c r="B3165" s="27" t="s">
        <v>321</v>
      </c>
      <c r="C3165" s="28" t="s">
        <v>969</v>
      </c>
      <c r="D3165" s="29" t="s">
        <v>15</v>
      </c>
      <c r="E3165" s="30" t="s">
        <v>362</v>
      </c>
      <c r="F3165" s="28" t="s">
        <v>363</v>
      </c>
      <c r="G3165" s="30" t="s">
        <v>788</v>
      </c>
      <c r="H3165" t="str">
        <f>CONCATENATE(Prequal[[#This Row],[CITY]], ", ",Prequal[[#This Row],[STATE]])</f>
        <v>Saint Paul, MN</v>
      </c>
    </row>
    <row r="3166" spans="2:8" x14ac:dyDescent="0.2">
      <c r="B3166" s="27" t="s">
        <v>321</v>
      </c>
      <c r="C3166" s="28" t="s">
        <v>969</v>
      </c>
      <c r="D3166" s="29" t="s">
        <v>31</v>
      </c>
      <c r="E3166" s="30" t="s">
        <v>362</v>
      </c>
      <c r="F3166" s="28" t="s">
        <v>363</v>
      </c>
      <c r="G3166" s="30" t="s">
        <v>788</v>
      </c>
      <c r="H3166" t="str">
        <f>CONCATENATE(Prequal[[#This Row],[CITY]], ", ",Prequal[[#This Row],[STATE]])</f>
        <v>Saint Paul, MN</v>
      </c>
    </row>
    <row r="3167" spans="2:8" x14ac:dyDescent="0.2">
      <c r="B3167" s="27" t="s">
        <v>321</v>
      </c>
      <c r="C3167" s="28" t="s">
        <v>969</v>
      </c>
      <c r="D3167" s="29" t="s">
        <v>32</v>
      </c>
      <c r="E3167" s="30" t="s">
        <v>362</v>
      </c>
      <c r="F3167" s="28" t="s">
        <v>363</v>
      </c>
      <c r="G3167" s="30" t="s">
        <v>788</v>
      </c>
      <c r="H3167" t="str">
        <f>CONCATENATE(Prequal[[#This Row],[CITY]], ", ",Prequal[[#This Row],[STATE]])</f>
        <v>Saint Paul, MN</v>
      </c>
    </row>
    <row r="3168" spans="2:8" x14ac:dyDescent="0.2">
      <c r="B3168" s="27" t="s">
        <v>321</v>
      </c>
      <c r="C3168" s="28" t="s">
        <v>969</v>
      </c>
      <c r="D3168" s="29" t="s">
        <v>38</v>
      </c>
      <c r="E3168" s="30" t="s">
        <v>362</v>
      </c>
      <c r="F3168" s="28" t="s">
        <v>363</v>
      </c>
      <c r="G3168" s="30" t="s">
        <v>788</v>
      </c>
      <c r="H3168" t="str">
        <f>CONCATENATE(Prequal[[#This Row],[CITY]], ", ",Prequal[[#This Row],[STATE]])</f>
        <v>Saint Paul, MN</v>
      </c>
    </row>
    <row r="3169" spans="2:8" x14ac:dyDescent="0.2">
      <c r="B3169" s="27" t="s">
        <v>321</v>
      </c>
      <c r="C3169" s="28" t="s">
        <v>969</v>
      </c>
      <c r="D3169" s="29" t="s">
        <v>33</v>
      </c>
      <c r="E3169" s="30" t="s">
        <v>362</v>
      </c>
      <c r="F3169" s="28" t="s">
        <v>363</v>
      </c>
      <c r="G3169" s="30" t="s">
        <v>788</v>
      </c>
      <c r="H3169" t="str">
        <f>CONCATENATE(Prequal[[#This Row],[CITY]], ", ",Prequal[[#This Row],[STATE]])</f>
        <v>Saint Paul, MN</v>
      </c>
    </row>
    <row r="3170" spans="2:8" x14ac:dyDescent="0.2">
      <c r="B3170" s="27" t="s">
        <v>1022</v>
      </c>
      <c r="C3170" s="28" t="s">
        <v>969</v>
      </c>
      <c r="D3170" s="29" t="s">
        <v>5</v>
      </c>
      <c r="E3170" s="30" t="s">
        <v>1023</v>
      </c>
      <c r="F3170" s="28" t="s">
        <v>393</v>
      </c>
      <c r="G3170" s="30" t="s">
        <v>1024</v>
      </c>
      <c r="H3170" t="str">
        <f>CONCATENATE(Prequal[[#This Row],[CITY]], ", ",Prequal[[#This Row],[STATE]])</f>
        <v>Silver Spring , MD</v>
      </c>
    </row>
    <row r="3171" spans="2:8" x14ac:dyDescent="0.2">
      <c r="B3171" s="27" t="s">
        <v>1022</v>
      </c>
      <c r="C3171" s="28" t="s">
        <v>969</v>
      </c>
      <c r="D3171" s="29" t="s">
        <v>37</v>
      </c>
      <c r="E3171" s="30" t="s">
        <v>1023</v>
      </c>
      <c r="F3171" s="28" t="s">
        <v>393</v>
      </c>
      <c r="G3171" s="30" t="s">
        <v>1024</v>
      </c>
      <c r="H3171" t="str">
        <f>CONCATENATE(Prequal[[#This Row],[CITY]], ", ",Prequal[[#This Row],[STATE]])</f>
        <v>Silver Spring , MD</v>
      </c>
    </row>
    <row r="3172" spans="2:8" x14ac:dyDescent="0.2">
      <c r="B3172" s="27" t="s">
        <v>1022</v>
      </c>
      <c r="C3172" s="28" t="s">
        <v>969</v>
      </c>
      <c r="D3172" s="29" t="s">
        <v>13</v>
      </c>
      <c r="E3172" s="30" t="s">
        <v>1023</v>
      </c>
      <c r="F3172" s="28" t="s">
        <v>393</v>
      </c>
      <c r="G3172" s="30" t="s">
        <v>1024</v>
      </c>
      <c r="H3172" t="str">
        <f>CONCATENATE(Prequal[[#This Row],[CITY]], ", ",Prequal[[#This Row],[STATE]])</f>
        <v>Silver Spring , MD</v>
      </c>
    </row>
    <row r="3173" spans="2:8" x14ac:dyDescent="0.2">
      <c r="B3173" s="27" t="s">
        <v>1022</v>
      </c>
      <c r="C3173" s="28" t="s">
        <v>969</v>
      </c>
      <c r="D3173" s="29" t="s">
        <v>14</v>
      </c>
      <c r="E3173" s="30" t="s">
        <v>1023</v>
      </c>
      <c r="F3173" s="28" t="s">
        <v>393</v>
      </c>
      <c r="G3173" s="30" t="s">
        <v>1024</v>
      </c>
      <c r="H3173" t="str">
        <f>CONCATENATE(Prequal[[#This Row],[CITY]], ", ",Prequal[[#This Row],[STATE]])</f>
        <v>Silver Spring , MD</v>
      </c>
    </row>
    <row r="3174" spans="2:8" x14ac:dyDescent="0.2">
      <c r="B3174" s="27" t="s">
        <v>322</v>
      </c>
      <c r="C3174" s="28" t="s">
        <v>970</v>
      </c>
      <c r="D3174" s="29" t="s">
        <v>5</v>
      </c>
      <c r="E3174" s="30" t="s">
        <v>971</v>
      </c>
      <c r="F3174" s="28" t="s">
        <v>356</v>
      </c>
      <c r="G3174" s="30" t="s">
        <v>864</v>
      </c>
      <c r="H3174" t="str">
        <f>CONCATENATE(Prequal[[#This Row],[CITY]], ", ",Prequal[[#This Row],[STATE]])</f>
        <v>CHICAGO, IL</v>
      </c>
    </row>
    <row r="3175" spans="2:8" x14ac:dyDescent="0.2">
      <c r="B3175" s="27" t="s">
        <v>322</v>
      </c>
      <c r="C3175" s="28" t="s">
        <v>970</v>
      </c>
      <c r="D3175" s="29" t="s">
        <v>10</v>
      </c>
      <c r="E3175" s="30" t="s">
        <v>971</v>
      </c>
      <c r="F3175" s="28" t="s">
        <v>356</v>
      </c>
      <c r="G3175" s="30" t="s">
        <v>864</v>
      </c>
      <c r="H3175" t="str">
        <f>CONCATENATE(Prequal[[#This Row],[CITY]], ", ",Prequal[[#This Row],[STATE]])</f>
        <v>CHICAGO, IL</v>
      </c>
    </row>
    <row r="3176" spans="2:8" x14ac:dyDescent="0.2">
      <c r="B3176" s="27" t="s">
        <v>323</v>
      </c>
      <c r="C3176" s="28" t="s">
        <v>970</v>
      </c>
      <c r="D3176" s="29" t="s">
        <v>5</v>
      </c>
      <c r="E3176" s="30" t="s">
        <v>358</v>
      </c>
      <c r="F3176" s="28" t="s">
        <v>356</v>
      </c>
      <c r="G3176" s="30" t="s">
        <v>789</v>
      </c>
      <c r="H3176" t="str">
        <f>CONCATENATE(Prequal[[#This Row],[CITY]], ", ",Prequal[[#This Row],[STATE]])</f>
        <v>Lisle, IL</v>
      </c>
    </row>
    <row r="3177" spans="2:8" x14ac:dyDescent="0.2">
      <c r="B3177" s="27" t="s">
        <v>323</v>
      </c>
      <c r="C3177" s="28" t="s">
        <v>970</v>
      </c>
      <c r="D3177" s="29" t="s">
        <v>9</v>
      </c>
      <c r="E3177" s="30" t="s">
        <v>358</v>
      </c>
      <c r="F3177" s="28" t="s">
        <v>356</v>
      </c>
      <c r="G3177" s="30" t="s">
        <v>789</v>
      </c>
      <c r="H3177" t="str">
        <f>CONCATENATE(Prequal[[#This Row],[CITY]], ", ",Prequal[[#This Row],[STATE]])</f>
        <v>Lisle, IL</v>
      </c>
    </row>
    <row r="3178" spans="2:8" x14ac:dyDescent="0.2">
      <c r="B3178" s="27" t="s">
        <v>323</v>
      </c>
      <c r="C3178" s="28" t="s">
        <v>970</v>
      </c>
      <c r="D3178" s="29" t="s">
        <v>10</v>
      </c>
      <c r="E3178" s="30" t="s">
        <v>358</v>
      </c>
      <c r="F3178" s="28" t="s">
        <v>356</v>
      </c>
      <c r="G3178" s="30" t="s">
        <v>789</v>
      </c>
      <c r="H3178" t="str">
        <f>CONCATENATE(Prequal[[#This Row],[CITY]], ", ",Prequal[[#This Row],[STATE]])</f>
        <v>Lisle, IL</v>
      </c>
    </row>
    <row r="3179" spans="2:8" x14ac:dyDescent="0.2">
      <c r="B3179" s="27" t="s">
        <v>836</v>
      </c>
      <c r="C3179" s="28" t="s">
        <v>969</v>
      </c>
      <c r="D3179" s="29" t="s">
        <v>4</v>
      </c>
      <c r="E3179" s="30" t="s">
        <v>947</v>
      </c>
      <c r="F3179" s="28" t="s">
        <v>356</v>
      </c>
      <c r="G3179" s="30" t="s">
        <v>790</v>
      </c>
      <c r="H3179" t="str">
        <f>CONCATENATE(Prequal[[#This Row],[CITY]], ", ",Prequal[[#This Row],[STATE]])</f>
        <v>Chicago, IL</v>
      </c>
    </row>
    <row r="3180" spans="2:8" x14ac:dyDescent="0.2">
      <c r="B3180" s="27" t="s">
        <v>836</v>
      </c>
      <c r="C3180" s="28" t="s">
        <v>969</v>
      </c>
      <c r="D3180" s="29" t="s">
        <v>5</v>
      </c>
      <c r="E3180" s="30" t="s">
        <v>947</v>
      </c>
      <c r="F3180" s="28" t="s">
        <v>356</v>
      </c>
      <c r="G3180" s="30" t="s">
        <v>790</v>
      </c>
      <c r="H3180" t="str">
        <f>CONCATENATE(Prequal[[#This Row],[CITY]], ", ",Prequal[[#This Row],[STATE]])</f>
        <v>Chicago, IL</v>
      </c>
    </row>
    <row r="3181" spans="2:8" x14ac:dyDescent="0.2">
      <c r="B3181" s="27" t="s">
        <v>836</v>
      </c>
      <c r="C3181" s="28" t="s">
        <v>969</v>
      </c>
      <c r="D3181" s="29" t="s">
        <v>8</v>
      </c>
      <c r="E3181" s="30" t="s">
        <v>947</v>
      </c>
      <c r="F3181" s="28" t="s">
        <v>356</v>
      </c>
      <c r="G3181" s="30" t="s">
        <v>790</v>
      </c>
      <c r="H3181" t="str">
        <f>CONCATENATE(Prequal[[#This Row],[CITY]], ", ",Prequal[[#This Row],[STATE]])</f>
        <v>Chicago, IL</v>
      </c>
    </row>
    <row r="3182" spans="2:8" x14ac:dyDescent="0.2">
      <c r="B3182" s="27" t="s">
        <v>836</v>
      </c>
      <c r="C3182" s="28" t="s">
        <v>969</v>
      </c>
      <c r="D3182" s="29" t="s">
        <v>25</v>
      </c>
      <c r="E3182" s="30" t="s">
        <v>947</v>
      </c>
      <c r="F3182" s="28" t="s">
        <v>356</v>
      </c>
      <c r="G3182" s="30" t="s">
        <v>790</v>
      </c>
      <c r="H3182" t="str">
        <f>CONCATENATE(Prequal[[#This Row],[CITY]], ", ",Prequal[[#This Row],[STATE]])</f>
        <v>Chicago, IL</v>
      </c>
    </row>
    <row r="3183" spans="2:8" x14ac:dyDescent="0.2">
      <c r="B3183" s="27" t="s">
        <v>836</v>
      </c>
      <c r="C3183" s="28" t="s">
        <v>969</v>
      </c>
      <c r="D3183" s="29" t="s">
        <v>9</v>
      </c>
      <c r="E3183" s="30" t="s">
        <v>947</v>
      </c>
      <c r="F3183" s="28" t="s">
        <v>356</v>
      </c>
      <c r="G3183" s="30" t="s">
        <v>790</v>
      </c>
      <c r="H3183" t="str">
        <f>CONCATENATE(Prequal[[#This Row],[CITY]], ", ",Prequal[[#This Row],[STATE]])</f>
        <v>Chicago, IL</v>
      </c>
    </row>
    <row r="3184" spans="2:8" x14ac:dyDescent="0.2">
      <c r="B3184" s="27" t="s">
        <v>836</v>
      </c>
      <c r="C3184" s="28" t="s">
        <v>969</v>
      </c>
      <c r="D3184" s="29" t="s">
        <v>26</v>
      </c>
      <c r="E3184" s="30" t="s">
        <v>947</v>
      </c>
      <c r="F3184" s="28" t="s">
        <v>356</v>
      </c>
      <c r="G3184" s="30" t="s">
        <v>790</v>
      </c>
      <c r="H3184" t="str">
        <f>CONCATENATE(Prequal[[#This Row],[CITY]], ", ",Prequal[[#This Row],[STATE]])</f>
        <v>Chicago, IL</v>
      </c>
    </row>
    <row r="3185" spans="2:8" x14ac:dyDescent="0.2">
      <c r="B3185" s="27" t="s">
        <v>836</v>
      </c>
      <c r="C3185" s="28" t="s">
        <v>969</v>
      </c>
      <c r="D3185" s="29" t="s">
        <v>20</v>
      </c>
      <c r="E3185" s="30" t="s">
        <v>947</v>
      </c>
      <c r="F3185" s="28" t="s">
        <v>356</v>
      </c>
      <c r="G3185" s="30" t="s">
        <v>790</v>
      </c>
      <c r="H3185" t="str">
        <f>CONCATENATE(Prequal[[#This Row],[CITY]], ", ",Prequal[[#This Row],[STATE]])</f>
        <v>Chicago, IL</v>
      </c>
    </row>
    <row r="3186" spans="2:8" x14ac:dyDescent="0.2">
      <c r="B3186" s="27" t="s">
        <v>836</v>
      </c>
      <c r="C3186" s="28" t="s">
        <v>969</v>
      </c>
      <c r="D3186" s="29" t="s">
        <v>27</v>
      </c>
      <c r="E3186" s="30" t="s">
        <v>947</v>
      </c>
      <c r="F3186" s="28" t="s">
        <v>356</v>
      </c>
      <c r="G3186" s="30" t="s">
        <v>790</v>
      </c>
      <c r="H3186" t="str">
        <f>CONCATENATE(Prequal[[#This Row],[CITY]], ", ",Prequal[[#This Row],[STATE]])</f>
        <v>Chicago, IL</v>
      </c>
    </row>
    <row r="3187" spans="2:8" x14ac:dyDescent="0.2">
      <c r="B3187" s="27" t="s">
        <v>836</v>
      </c>
      <c r="C3187" s="28" t="s">
        <v>969</v>
      </c>
      <c r="D3187" s="29" t="s">
        <v>10</v>
      </c>
      <c r="E3187" s="30" t="s">
        <v>947</v>
      </c>
      <c r="F3187" s="28" t="s">
        <v>356</v>
      </c>
      <c r="G3187" s="30" t="s">
        <v>790</v>
      </c>
      <c r="H3187" t="str">
        <f>CONCATENATE(Prequal[[#This Row],[CITY]], ", ",Prequal[[#This Row],[STATE]])</f>
        <v>Chicago, IL</v>
      </c>
    </row>
    <row r="3188" spans="2:8" x14ac:dyDescent="0.2">
      <c r="B3188" s="27" t="s">
        <v>836</v>
      </c>
      <c r="C3188" s="28" t="s">
        <v>969</v>
      </c>
      <c r="D3188" s="29" t="s">
        <v>21</v>
      </c>
      <c r="E3188" s="30" t="s">
        <v>947</v>
      </c>
      <c r="F3188" s="28" t="s">
        <v>356</v>
      </c>
      <c r="G3188" s="30" t="s">
        <v>790</v>
      </c>
      <c r="H3188" t="str">
        <f>CONCATENATE(Prequal[[#This Row],[CITY]], ", ",Prequal[[#This Row],[STATE]])</f>
        <v>Chicago, IL</v>
      </c>
    </row>
    <row r="3189" spans="2:8" x14ac:dyDescent="0.2">
      <c r="B3189" s="27" t="s">
        <v>836</v>
      </c>
      <c r="C3189" s="28" t="s">
        <v>969</v>
      </c>
      <c r="D3189" s="29" t="s">
        <v>37</v>
      </c>
      <c r="E3189" s="30" t="s">
        <v>947</v>
      </c>
      <c r="F3189" s="28" t="s">
        <v>356</v>
      </c>
      <c r="G3189" s="30" t="s">
        <v>790</v>
      </c>
      <c r="H3189" t="str">
        <f>CONCATENATE(Prequal[[#This Row],[CITY]], ", ",Prequal[[#This Row],[STATE]])</f>
        <v>Chicago, IL</v>
      </c>
    </row>
    <row r="3190" spans="2:8" x14ac:dyDescent="0.2">
      <c r="B3190" s="27" t="s">
        <v>836</v>
      </c>
      <c r="C3190" s="28" t="s">
        <v>969</v>
      </c>
      <c r="D3190" s="29" t="s">
        <v>13</v>
      </c>
      <c r="E3190" s="30" t="s">
        <v>947</v>
      </c>
      <c r="F3190" s="28" t="s">
        <v>356</v>
      </c>
      <c r="G3190" s="30" t="s">
        <v>790</v>
      </c>
      <c r="H3190" t="str">
        <f>CONCATENATE(Prequal[[#This Row],[CITY]], ", ",Prequal[[#This Row],[STATE]])</f>
        <v>Chicago, IL</v>
      </c>
    </row>
    <row r="3191" spans="2:8" x14ac:dyDescent="0.2">
      <c r="B3191" s="27" t="s">
        <v>836</v>
      </c>
      <c r="C3191" s="28" t="s">
        <v>969</v>
      </c>
      <c r="D3191" s="29" t="s">
        <v>52</v>
      </c>
      <c r="E3191" s="30" t="s">
        <v>947</v>
      </c>
      <c r="F3191" s="28" t="s">
        <v>356</v>
      </c>
      <c r="G3191" s="30" t="s">
        <v>790</v>
      </c>
      <c r="H3191" t="str">
        <f>CONCATENATE(Prequal[[#This Row],[CITY]], ", ",Prequal[[#This Row],[STATE]])</f>
        <v>Chicago, IL</v>
      </c>
    </row>
    <row r="3192" spans="2:8" x14ac:dyDescent="0.2">
      <c r="B3192" s="27" t="s">
        <v>836</v>
      </c>
      <c r="C3192" s="28" t="s">
        <v>969</v>
      </c>
      <c r="D3192" s="29" t="s">
        <v>14</v>
      </c>
      <c r="E3192" s="30" t="s">
        <v>947</v>
      </c>
      <c r="F3192" s="28" t="s">
        <v>356</v>
      </c>
      <c r="G3192" s="30" t="s">
        <v>790</v>
      </c>
      <c r="H3192" t="str">
        <f>CONCATENATE(Prequal[[#This Row],[CITY]], ", ",Prequal[[#This Row],[STATE]])</f>
        <v>Chicago, IL</v>
      </c>
    </row>
    <row r="3193" spans="2:8" x14ac:dyDescent="0.2">
      <c r="B3193" s="27" t="s">
        <v>836</v>
      </c>
      <c r="C3193" s="28" t="s">
        <v>969</v>
      </c>
      <c r="D3193" s="29" t="s">
        <v>15</v>
      </c>
      <c r="E3193" s="30" t="s">
        <v>947</v>
      </c>
      <c r="F3193" s="28" t="s">
        <v>356</v>
      </c>
      <c r="G3193" s="30" t="s">
        <v>790</v>
      </c>
      <c r="H3193" t="str">
        <f>CONCATENATE(Prequal[[#This Row],[CITY]], ", ",Prequal[[#This Row],[STATE]])</f>
        <v>Chicago, IL</v>
      </c>
    </row>
    <row r="3194" spans="2:8" x14ac:dyDescent="0.2">
      <c r="B3194" s="27" t="s">
        <v>836</v>
      </c>
      <c r="C3194" s="28" t="s">
        <v>969</v>
      </c>
      <c r="D3194" s="29" t="s">
        <v>31</v>
      </c>
      <c r="E3194" s="30" t="s">
        <v>947</v>
      </c>
      <c r="F3194" s="28" t="s">
        <v>356</v>
      </c>
      <c r="G3194" s="30" t="s">
        <v>790</v>
      </c>
      <c r="H3194" t="str">
        <f>CONCATENATE(Prequal[[#This Row],[CITY]], ", ",Prequal[[#This Row],[STATE]])</f>
        <v>Chicago, IL</v>
      </c>
    </row>
    <row r="3195" spans="2:8" x14ac:dyDescent="0.2">
      <c r="B3195" s="27" t="s">
        <v>836</v>
      </c>
      <c r="C3195" s="28" t="s">
        <v>969</v>
      </c>
      <c r="D3195" s="29" t="s">
        <v>32</v>
      </c>
      <c r="E3195" s="30" t="s">
        <v>947</v>
      </c>
      <c r="F3195" s="28" t="s">
        <v>356</v>
      </c>
      <c r="G3195" s="30" t="s">
        <v>790</v>
      </c>
      <c r="H3195" t="str">
        <f>CONCATENATE(Prequal[[#This Row],[CITY]], ", ",Prequal[[#This Row],[STATE]])</f>
        <v>Chicago, IL</v>
      </c>
    </row>
    <row r="3196" spans="2:8" x14ac:dyDescent="0.2">
      <c r="B3196" s="27" t="s">
        <v>836</v>
      </c>
      <c r="C3196" s="28" t="s">
        <v>969</v>
      </c>
      <c r="D3196" s="29" t="s">
        <v>38</v>
      </c>
      <c r="E3196" s="30" t="s">
        <v>947</v>
      </c>
      <c r="F3196" s="28" t="s">
        <v>356</v>
      </c>
      <c r="G3196" s="30" t="s">
        <v>790</v>
      </c>
      <c r="H3196" t="str">
        <f>CONCATENATE(Prequal[[#This Row],[CITY]], ", ",Prequal[[#This Row],[STATE]])</f>
        <v>Chicago, IL</v>
      </c>
    </row>
    <row r="3197" spans="2:8" x14ac:dyDescent="0.2">
      <c r="B3197" s="27" t="s">
        <v>836</v>
      </c>
      <c r="C3197" s="28" t="s">
        <v>969</v>
      </c>
      <c r="D3197" s="29" t="s">
        <v>56</v>
      </c>
      <c r="E3197" s="30" t="s">
        <v>947</v>
      </c>
      <c r="F3197" s="28" t="s">
        <v>356</v>
      </c>
      <c r="G3197" s="30" t="s">
        <v>790</v>
      </c>
      <c r="H3197" t="str">
        <f>CONCATENATE(Prequal[[#This Row],[CITY]], ", ",Prequal[[#This Row],[STATE]])</f>
        <v>Chicago, IL</v>
      </c>
    </row>
    <row r="3198" spans="2:8" x14ac:dyDescent="0.2">
      <c r="B3198" s="27" t="s">
        <v>324</v>
      </c>
      <c r="C3198" s="28" t="s">
        <v>969</v>
      </c>
      <c r="D3198" s="29" t="s">
        <v>43</v>
      </c>
      <c r="E3198" s="30" t="s">
        <v>370</v>
      </c>
      <c r="F3198" s="28" t="s">
        <v>356</v>
      </c>
      <c r="G3198" s="30" t="s">
        <v>937</v>
      </c>
      <c r="H3198" t="str">
        <f>CONCATENATE(Prequal[[#This Row],[CITY]], ", ",Prequal[[#This Row],[STATE]])</f>
        <v>Schaumburg, IL</v>
      </c>
    </row>
    <row r="3199" spans="2:8" x14ac:dyDescent="0.2">
      <c r="B3199" s="27" t="s">
        <v>324</v>
      </c>
      <c r="C3199" s="28" t="s">
        <v>969</v>
      </c>
      <c r="D3199" s="29" t="s">
        <v>44</v>
      </c>
      <c r="E3199" s="30" t="s">
        <v>370</v>
      </c>
      <c r="F3199" s="28" t="s">
        <v>356</v>
      </c>
      <c r="G3199" s="30" t="s">
        <v>937</v>
      </c>
      <c r="H3199" t="str">
        <f>CONCATENATE(Prequal[[#This Row],[CITY]], ", ",Prequal[[#This Row],[STATE]])</f>
        <v>Schaumburg, IL</v>
      </c>
    </row>
    <row r="3200" spans="2:8" x14ac:dyDescent="0.2">
      <c r="B3200" s="27" t="s">
        <v>324</v>
      </c>
      <c r="C3200" s="28" t="s">
        <v>969</v>
      </c>
      <c r="D3200" s="29" t="s">
        <v>4</v>
      </c>
      <c r="E3200" s="30" t="s">
        <v>370</v>
      </c>
      <c r="F3200" s="28" t="s">
        <v>356</v>
      </c>
      <c r="G3200" s="30" t="s">
        <v>937</v>
      </c>
      <c r="H3200" t="str">
        <f>CONCATENATE(Prequal[[#This Row],[CITY]], ", ",Prequal[[#This Row],[STATE]])</f>
        <v>Schaumburg, IL</v>
      </c>
    </row>
    <row r="3201" spans="2:8" x14ac:dyDescent="0.2">
      <c r="B3201" s="27" t="s">
        <v>324</v>
      </c>
      <c r="C3201" s="28" t="s">
        <v>969</v>
      </c>
      <c r="D3201" s="29" t="s">
        <v>5</v>
      </c>
      <c r="E3201" s="30" t="s">
        <v>370</v>
      </c>
      <c r="F3201" s="28" t="s">
        <v>356</v>
      </c>
      <c r="G3201" s="30" t="s">
        <v>937</v>
      </c>
      <c r="H3201" t="str">
        <f>CONCATENATE(Prequal[[#This Row],[CITY]], ", ",Prequal[[#This Row],[STATE]])</f>
        <v>Schaumburg, IL</v>
      </c>
    </row>
    <row r="3202" spans="2:8" x14ac:dyDescent="0.2">
      <c r="B3202" s="27" t="s">
        <v>324</v>
      </c>
      <c r="C3202" s="28" t="s">
        <v>969</v>
      </c>
      <c r="D3202" s="29" t="s">
        <v>6</v>
      </c>
      <c r="E3202" s="30" t="s">
        <v>370</v>
      </c>
      <c r="F3202" s="28" t="s">
        <v>356</v>
      </c>
      <c r="G3202" s="30" t="s">
        <v>937</v>
      </c>
      <c r="H3202" t="str">
        <f>CONCATENATE(Prequal[[#This Row],[CITY]], ", ",Prequal[[#This Row],[STATE]])</f>
        <v>Schaumburg, IL</v>
      </c>
    </row>
    <row r="3203" spans="2:8" x14ac:dyDescent="0.2">
      <c r="B3203" s="27" t="s">
        <v>324</v>
      </c>
      <c r="C3203" s="28" t="s">
        <v>969</v>
      </c>
      <c r="D3203" s="29" t="s">
        <v>7</v>
      </c>
      <c r="E3203" s="30" t="s">
        <v>370</v>
      </c>
      <c r="F3203" s="28" t="s">
        <v>356</v>
      </c>
      <c r="G3203" s="30" t="s">
        <v>937</v>
      </c>
      <c r="H3203" t="str">
        <f>CONCATENATE(Prequal[[#This Row],[CITY]], ", ",Prequal[[#This Row],[STATE]])</f>
        <v>Schaumburg, IL</v>
      </c>
    </row>
    <row r="3204" spans="2:8" x14ac:dyDescent="0.2">
      <c r="B3204" s="27" t="s">
        <v>324</v>
      </c>
      <c r="C3204" s="28" t="s">
        <v>969</v>
      </c>
      <c r="D3204" s="29" t="s">
        <v>8</v>
      </c>
      <c r="E3204" s="30" t="s">
        <v>370</v>
      </c>
      <c r="F3204" s="28" t="s">
        <v>356</v>
      </c>
      <c r="G3204" s="30" t="s">
        <v>937</v>
      </c>
      <c r="H3204" t="str">
        <f>CONCATENATE(Prequal[[#This Row],[CITY]], ", ",Prequal[[#This Row],[STATE]])</f>
        <v>Schaumburg, IL</v>
      </c>
    </row>
    <row r="3205" spans="2:8" x14ac:dyDescent="0.2">
      <c r="B3205" s="27" t="s">
        <v>324</v>
      </c>
      <c r="C3205" s="28" t="s">
        <v>969</v>
      </c>
      <c r="D3205" s="29" t="s">
        <v>24</v>
      </c>
      <c r="E3205" s="30" t="s">
        <v>370</v>
      </c>
      <c r="F3205" s="28" t="s">
        <v>356</v>
      </c>
      <c r="G3205" s="30" t="s">
        <v>937</v>
      </c>
      <c r="H3205" t="str">
        <f>CONCATENATE(Prequal[[#This Row],[CITY]], ", ",Prequal[[#This Row],[STATE]])</f>
        <v>Schaumburg, IL</v>
      </c>
    </row>
    <row r="3206" spans="2:8" x14ac:dyDescent="0.2">
      <c r="B3206" s="27" t="s">
        <v>324</v>
      </c>
      <c r="C3206" s="28" t="s">
        <v>969</v>
      </c>
      <c r="D3206" s="29" t="s">
        <v>25</v>
      </c>
      <c r="E3206" s="30" t="s">
        <v>370</v>
      </c>
      <c r="F3206" s="28" t="s">
        <v>356</v>
      </c>
      <c r="G3206" s="30" t="s">
        <v>937</v>
      </c>
      <c r="H3206" t="str">
        <f>CONCATENATE(Prequal[[#This Row],[CITY]], ", ",Prequal[[#This Row],[STATE]])</f>
        <v>Schaumburg, IL</v>
      </c>
    </row>
    <row r="3207" spans="2:8" x14ac:dyDescent="0.2">
      <c r="B3207" s="27" t="s">
        <v>324</v>
      </c>
      <c r="C3207" s="28" t="s">
        <v>969</v>
      </c>
      <c r="D3207" s="29" t="s">
        <v>9</v>
      </c>
      <c r="E3207" s="30" t="s">
        <v>370</v>
      </c>
      <c r="F3207" s="28" t="s">
        <v>356</v>
      </c>
      <c r="G3207" s="30" t="s">
        <v>937</v>
      </c>
      <c r="H3207" t="str">
        <f>CONCATENATE(Prequal[[#This Row],[CITY]], ", ",Prequal[[#This Row],[STATE]])</f>
        <v>Schaumburg, IL</v>
      </c>
    </row>
    <row r="3208" spans="2:8" x14ac:dyDescent="0.2">
      <c r="B3208" s="27" t="s">
        <v>324</v>
      </c>
      <c r="C3208" s="28" t="s">
        <v>969</v>
      </c>
      <c r="D3208" s="29" t="s">
        <v>20</v>
      </c>
      <c r="E3208" s="30" t="s">
        <v>370</v>
      </c>
      <c r="F3208" s="28" t="s">
        <v>356</v>
      </c>
      <c r="G3208" s="30" t="s">
        <v>937</v>
      </c>
      <c r="H3208" t="str">
        <f>CONCATENATE(Prequal[[#This Row],[CITY]], ", ",Prequal[[#This Row],[STATE]])</f>
        <v>Schaumburg, IL</v>
      </c>
    </row>
    <row r="3209" spans="2:8" x14ac:dyDescent="0.2">
      <c r="B3209" s="27" t="s">
        <v>324</v>
      </c>
      <c r="C3209" s="28" t="s">
        <v>969</v>
      </c>
      <c r="D3209" s="29" t="s">
        <v>27</v>
      </c>
      <c r="E3209" s="30" t="s">
        <v>370</v>
      </c>
      <c r="F3209" s="28" t="s">
        <v>356</v>
      </c>
      <c r="G3209" s="30" t="s">
        <v>937</v>
      </c>
      <c r="H3209" t="str">
        <f>CONCATENATE(Prequal[[#This Row],[CITY]], ", ",Prequal[[#This Row],[STATE]])</f>
        <v>Schaumburg, IL</v>
      </c>
    </row>
    <row r="3210" spans="2:8" x14ac:dyDescent="0.2">
      <c r="B3210" s="27" t="s">
        <v>324</v>
      </c>
      <c r="C3210" s="28" t="s">
        <v>969</v>
      </c>
      <c r="D3210" s="29" t="s">
        <v>59</v>
      </c>
      <c r="E3210" s="30" t="s">
        <v>370</v>
      </c>
      <c r="F3210" s="28" t="s">
        <v>356</v>
      </c>
      <c r="G3210" s="30" t="s">
        <v>937</v>
      </c>
      <c r="H3210" t="str">
        <f>CONCATENATE(Prequal[[#This Row],[CITY]], ", ",Prequal[[#This Row],[STATE]])</f>
        <v>Schaumburg, IL</v>
      </c>
    </row>
    <row r="3211" spans="2:8" x14ac:dyDescent="0.2">
      <c r="B3211" s="27" t="s">
        <v>324</v>
      </c>
      <c r="C3211" s="28" t="s">
        <v>969</v>
      </c>
      <c r="D3211" s="29" t="s">
        <v>10</v>
      </c>
      <c r="E3211" s="30" t="s">
        <v>370</v>
      </c>
      <c r="F3211" s="28" t="s">
        <v>356</v>
      </c>
      <c r="G3211" s="30" t="s">
        <v>937</v>
      </c>
      <c r="H3211" t="str">
        <f>CONCATENATE(Prequal[[#This Row],[CITY]], ", ",Prequal[[#This Row],[STATE]])</f>
        <v>Schaumburg, IL</v>
      </c>
    </row>
    <row r="3212" spans="2:8" x14ac:dyDescent="0.2">
      <c r="B3212" s="27" t="s">
        <v>324</v>
      </c>
      <c r="C3212" s="28" t="s">
        <v>969</v>
      </c>
      <c r="D3212" s="29" t="s">
        <v>21</v>
      </c>
      <c r="E3212" s="30" t="s">
        <v>370</v>
      </c>
      <c r="F3212" s="28" t="s">
        <v>356</v>
      </c>
      <c r="G3212" s="30" t="s">
        <v>937</v>
      </c>
      <c r="H3212" t="str">
        <f>CONCATENATE(Prequal[[#This Row],[CITY]], ", ",Prequal[[#This Row],[STATE]])</f>
        <v>Schaumburg, IL</v>
      </c>
    </row>
    <row r="3213" spans="2:8" x14ac:dyDescent="0.2">
      <c r="B3213" s="27" t="s">
        <v>324</v>
      </c>
      <c r="C3213" s="28" t="s">
        <v>969</v>
      </c>
      <c r="D3213" s="29" t="s">
        <v>11</v>
      </c>
      <c r="E3213" s="30" t="s">
        <v>370</v>
      </c>
      <c r="F3213" s="28" t="s">
        <v>356</v>
      </c>
      <c r="G3213" s="30" t="s">
        <v>937</v>
      </c>
      <c r="H3213" t="str">
        <f>CONCATENATE(Prequal[[#This Row],[CITY]], ", ",Prequal[[#This Row],[STATE]])</f>
        <v>Schaumburg, IL</v>
      </c>
    </row>
    <row r="3214" spans="2:8" x14ac:dyDescent="0.2">
      <c r="B3214" s="27" t="s">
        <v>324</v>
      </c>
      <c r="C3214" s="28" t="s">
        <v>969</v>
      </c>
      <c r="D3214" s="29" t="s">
        <v>22</v>
      </c>
      <c r="E3214" s="30" t="s">
        <v>370</v>
      </c>
      <c r="F3214" s="28" t="s">
        <v>356</v>
      </c>
      <c r="G3214" s="30" t="s">
        <v>937</v>
      </c>
      <c r="H3214" t="str">
        <f>CONCATENATE(Prequal[[#This Row],[CITY]], ", ",Prequal[[#This Row],[STATE]])</f>
        <v>Schaumburg, IL</v>
      </c>
    </row>
    <row r="3215" spans="2:8" x14ac:dyDescent="0.2">
      <c r="B3215" s="27" t="s">
        <v>324</v>
      </c>
      <c r="C3215" s="28" t="s">
        <v>969</v>
      </c>
      <c r="D3215" s="29" t="s">
        <v>51</v>
      </c>
      <c r="E3215" s="30" t="s">
        <v>370</v>
      </c>
      <c r="F3215" s="28" t="s">
        <v>356</v>
      </c>
      <c r="G3215" s="30" t="s">
        <v>937</v>
      </c>
      <c r="H3215" t="str">
        <f>CONCATENATE(Prequal[[#This Row],[CITY]], ", ",Prequal[[#This Row],[STATE]])</f>
        <v>Schaumburg, IL</v>
      </c>
    </row>
    <row r="3216" spans="2:8" x14ac:dyDescent="0.2">
      <c r="B3216" s="27" t="s">
        <v>324</v>
      </c>
      <c r="C3216" s="28" t="s">
        <v>969</v>
      </c>
      <c r="D3216" s="29" t="s">
        <v>39</v>
      </c>
      <c r="E3216" s="30" t="s">
        <v>370</v>
      </c>
      <c r="F3216" s="28" t="s">
        <v>356</v>
      </c>
      <c r="G3216" s="30" t="s">
        <v>937</v>
      </c>
      <c r="H3216" t="str">
        <f>CONCATENATE(Prequal[[#This Row],[CITY]], ", ",Prequal[[#This Row],[STATE]])</f>
        <v>Schaumburg, IL</v>
      </c>
    </row>
    <row r="3217" spans="2:8" x14ac:dyDescent="0.2">
      <c r="B3217" s="27" t="s">
        <v>324</v>
      </c>
      <c r="C3217" s="28" t="s">
        <v>969</v>
      </c>
      <c r="D3217" s="29" t="s">
        <v>29</v>
      </c>
      <c r="E3217" s="30" t="s">
        <v>370</v>
      </c>
      <c r="F3217" s="28" t="s">
        <v>356</v>
      </c>
      <c r="G3217" s="30" t="s">
        <v>937</v>
      </c>
      <c r="H3217" t="str">
        <f>CONCATENATE(Prequal[[#This Row],[CITY]], ", ",Prequal[[#This Row],[STATE]])</f>
        <v>Schaumburg, IL</v>
      </c>
    </row>
    <row r="3218" spans="2:8" x14ac:dyDescent="0.2">
      <c r="B3218" s="27" t="s">
        <v>324</v>
      </c>
      <c r="C3218" s="28" t="s">
        <v>969</v>
      </c>
      <c r="D3218" s="29" t="s">
        <v>37</v>
      </c>
      <c r="E3218" s="30" t="s">
        <v>370</v>
      </c>
      <c r="F3218" s="28" t="s">
        <v>356</v>
      </c>
      <c r="G3218" s="30" t="s">
        <v>937</v>
      </c>
      <c r="H3218" t="str">
        <f>CONCATENATE(Prequal[[#This Row],[CITY]], ", ",Prequal[[#This Row],[STATE]])</f>
        <v>Schaumburg, IL</v>
      </c>
    </row>
    <row r="3219" spans="2:8" x14ac:dyDescent="0.2">
      <c r="B3219" s="27" t="s">
        <v>324</v>
      </c>
      <c r="C3219" s="28" t="s">
        <v>969</v>
      </c>
      <c r="D3219" s="29" t="s">
        <v>13</v>
      </c>
      <c r="E3219" s="30" t="s">
        <v>370</v>
      </c>
      <c r="F3219" s="28" t="s">
        <v>356</v>
      </c>
      <c r="G3219" s="30" t="s">
        <v>937</v>
      </c>
      <c r="H3219" t="str">
        <f>CONCATENATE(Prequal[[#This Row],[CITY]], ", ",Prequal[[#This Row],[STATE]])</f>
        <v>Schaumburg, IL</v>
      </c>
    </row>
    <row r="3220" spans="2:8" x14ac:dyDescent="0.2">
      <c r="B3220" s="27" t="s">
        <v>324</v>
      </c>
      <c r="C3220" s="28" t="s">
        <v>969</v>
      </c>
      <c r="D3220" s="29" t="s">
        <v>52</v>
      </c>
      <c r="E3220" s="30" t="s">
        <v>370</v>
      </c>
      <c r="F3220" s="28" t="s">
        <v>356</v>
      </c>
      <c r="G3220" s="30" t="s">
        <v>937</v>
      </c>
      <c r="H3220" t="str">
        <f>CONCATENATE(Prequal[[#This Row],[CITY]], ", ",Prequal[[#This Row],[STATE]])</f>
        <v>Schaumburg, IL</v>
      </c>
    </row>
    <row r="3221" spans="2:8" x14ac:dyDescent="0.2">
      <c r="B3221" s="27" t="s">
        <v>324</v>
      </c>
      <c r="C3221" s="28" t="s">
        <v>969</v>
      </c>
      <c r="D3221" s="29" t="s">
        <v>14</v>
      </c>
      <c r="E3221" s="30" t="s">
        <v>370</v>
      </c>
      <c r="F3221" s="28" t="s">
        <v>356</v>
      </c>
      <c r="G3221" s="30" t="s">
        <v>937</v>
      </c>
      <c r="H3221" t="str">
        <f>CONCATENATE(Prequal[[#This Row],[CITY]], ", ",Prequal[[#This Row],[STATE]])</f>
        <v>Schaumburg, IL</v>
      </c>
    </row>
    <row r="3222" spans="2:8" x14ac:dyDescent="0.2">
      <c r="B3222" s="27" t="s">
        <v>324</v>
      </c>
      <c r="C3222" s="28" t="s">
        <v>969</v>
      </c>
      <c r="D3222" s="29" t="s">
        <v>15</v>
      </c>
      <c r="E3222" s="30" t="s">
        <v>370</v>
      </c>
      <c r="F3222" s="28" t="s">
        <v>356</v>
      </c>
      <c r="G3222" s="30" t="s">
        <v>937</v>
      </c>
      <c r="H3222" t="str">
        <f>CONCATENATE(Prequal[[#This Row],[CITY]], ", ",Prequal[[#This Row],[STATE]])</f>
        <v>Schaumburg, IL</v>
      </c>
    </row>
    <row r="3223" spans="2:8" x14ac:dyDescent="0.2">
      <c r="B3223" s="27" t="s">
        <v>324</v>
      </c>
      <c r="C3223" s="28" t="s">
        <v>969</v>
      </c>
      <c r="D3223" s="29" t="s">
        <v>30</v>
      </c>
      <c r="E3223" s="30" t="s">
        <v>370</v>
      </c>
      <c r="F3223" s="28" t="s">
        <v>356</v>
      </c>
      <c r="G3223" s="30" t="s">
        <v>937</v>
      </c>
      <c r="H3223" t="str">
        <f>CONCATENATE(Prequal[[#This Row],[CITY]], ", ",Prequal[[#This Row],[STATE]])</f>
        <v>Schaumburg, IL</v>
      </c>
    </row>
    <row r="3224" spans="2:8" x14ac:dyDescent="0.2">
      <c r="B3224" s="27" t="s">
        <v>324</v>
      </c>
      <c r="C3224" s="28" t="s">
        <v>969</v>
      </c>
      <c r="D3224" s="29" t="s">
        <v>53</v>
      </c>
      <c r="E3224" s="30" t="s">
        <v>370</v>
      </c>
      <c r="F3224" s="28" t="s">
        <v>356</v>
      </c>
      <c r="G3224" s="30" t="s">
        <v>937</v>
      </c>
      <c r="H3224" t="str">
        <f>CONCATENATE(Prequal[[#This Row],[CITY]], ", ",Prequal[[#This Row],[STATE]])</f>
        <v>Schaumburg, IL</v>
      </c>
    </row>
    <row r="3225" spans="2:8" x14ac:dyDescent="0.2">
      <c r="B3225" s="27" t="s">
        <v>324</v>
      </c>
      <c r="C3225" s="28" t="s">
        <v>969</v>
      </c>
      <c r="D3225" s="29" t="s">
        <v>31</v>
      </c>
      <c r="E3225" s="30" t="s">
        <v>370</v>
      </c>
      <c r="F3225" s="28" t="s">
        <v>356</v>
      </c>
      <c r="G3225" s="30" t="s">
        <v>937</v>
      </c>
      <c r="H3225" t="str">
        <f>CONCATENATE(Prequal[[#This Row],[CITY]], ", ",Prequal[[#This Row],[STATE]])</f>
        <v>Schaumburg, IL</v>
      </c>
    </row>
    <row r="3226" spans="2:8" x14ac:dyDescent="0.2">
      <c r="B3226" s="27" t="s">
        <v>324</v>
      </c>
      <c r="C3226" s="28" t="s">
        <v>969</v>
      </c>
      <c r="D3226" s="29" t="s">
        <v>32</v>
      </c>
      <c r="E3226" s="30" t="s">
        <v>370</v>
      </c>
      <c r="F3226" s="28" t="s">
        <v>356</v>
      </c>
      <c r="G3226" s="30" t="s">
        <v>937</v>
      </c>
      <c r="H3226" t="str">
        <f>CONCATENATE(Prequal[[#This Row],[CITY]], ", ",Prequal[[#This Row],[STATE]])</f>
        <v>Schaumburg, IL</v>
      </c>
    </row>
    <row r="3227" spans="2:8" x14ac:dyDescent="0.2">
      <c r="B3227" s="27" t="s">
        <v>324</v>
      </c>
      <c r="C3227" s="28" t="s">
        <v>969</v>
      </c>
      <c r="D3227" s="29" t="s">
        <v>54</v>
      </c>
      <c r="E3227" s="30" t="s">
        <v>370</v>
      </c>
      <c r="F3227" s="28" t="s">
        <v>356</v>
      </c>
      <c r="G3227" s="30" t="s">
        <v>937</v>
      </c>
      <c r="H3227" t="str">
        <f>CONCATENATE(Prequal[[#This Row],[CITY]], ", ",Prequal[[#This Row],[STATE]])</f>
        <v>Schaumburg, IL</v>
      </c>
    </row>
    <row r="3228" spans="2:8" x14ac:dyDescent="0.2">
      <c r="B3228" s="27" t="s">
        <v>324</v>
      </c>
      <c r="C3228" s="28" t="s">
        <v>969</v>
      </c>
      <c r="D3228" s="29" t="s">
        <v>38</v>
      </c>
      <c r="E3228" s="30" t="s">
        <v>370</v>
      </c>
      <c r="F3228" s="28" t="s">
        <v>356</v>
      </c>
      <c r="G3228" s="30" t="s">
        <v>937</v>
      </c>
      <c r="H3228" t="str">
        <f>CONCATENATE(Prequal[[#This Row],[CITY]], ", ",Prequal[[#This Row],[STATE]])</f>
        <v>Schaumburg, IL</v>
      </c>
    </row>
    <row r="3229" spans="2:8" x14ac:dyDescent="0.2">
      <c r="B3229" s="27" t="s">
        <v>324</v>
      </c>
      <c r="C3229" s="28" t="s">
        <v>969</v>
      </c>
      <c r="D3229" s="29" t="s">
        <v>55</v>
      </c>
      <c r="E3229" s="30" t="s">
        <v>370</v>
      </c>
      <c r="F3229" s="28" t="s">
        <v>356</v>
      </c>
      <c r="G3229" s="30" t="s">
        <v>937</v>
      </c>
      <c r="H3229" t="str">
        <f>CONCATENATE(Prequal[[#This Row],[CITY]], ", ",Prequal[[#This Row],[STATE]])</f>
        <v>Schaumburg, IL</v>
      </c>
    </row>
    <row r="3230" spans="2:8" x14ac:dyDescent="0.2">
      <c r="B3230" s="27" t="s">
        <v>324</v>
      </c>
      <c r="C3230" s="28" t="s">
        <v>969</v>
      </c>
      <c r="D3230" s="29" t="s">
        <v>56</v>
      </c>
      <c r="E3230" s="30" t="s">
        <v>370</v>
      </c>
      <c r="F3230" s="28" t="s">
        <v>356</v>
      </c>
      <c r="G3230" s="30" t="s">
        <v>937</v>
      </c>
      <c r="H3230" t="str">
        <f>CONCATENATE(Prequal[[#This Row],[CITY]], ", ",Prequal[[#This Row],[STATE]])</f>
        <v>Schaumburg, IL</v>
      </c>
    </row>
    <row r="3231" spans="2:8" x14ac:dyDescent="0.2">
      <c r="B3231" s="27" t="s">
        <v>324</v>
      </c>
      <c r="C3231" s="28" t="s">
        <v>969</v>
      </c>
      <c r="D3231" s="29" t="s">
        <v>33</v>
      </c>
      <c r="E3231" s="30" t="s">
        <v>370</v>
      </c>
      <c r="F3231" s="28" t="s">
        <v>356</v>
      </c>
      <c r="G3231" s="30" t="s">
        <v>937</v>
      </c>
      <c r="H3231" t="str">
        <f>CONCATENATE(Prequal[[#This Row],[CITY]], ", ",Prequal[[#This Row],[STATE]])</f>
        <v>Schaumburg, IL</v>
      </c>
    </row>
    <row r="3232" spans="2:8" x14ac:dyDescent="0.2">
      <c r="B3232" s="27" t="s">
        <v>324</v>
      </c>
      <c r="C3232" s="28" t="s">
        <v>969</v>
      </c>
      <c r="D3232" s="29" t="s">
        <v>57</v>
      </c>
      <c r="E3232" s="30" t="s">
        <v>370</v>
      </c>
      <c r="F3232" s="28" t="s">
        <v>356</v>
      </c>
      <c r="G3232" s="30" t="s">
        <v>937</v>
      </c>
      <c r="H3232" t="str">
        <f>CONCATENATE(Prequal[[#This Row],[CITY]], ", ",Prequal[[#This Row],[STATE]])</f>
        <v>Schaumburg, IL</v>
      </c>
    </row>
    <row r="3233" spans="2:8" x14ac:dyDescent="0.2">
      <c r="B3233" s="27" t="s">
        <v>325</v>
      </c>
      <c r="C3233" s="28" t="s">
        <v>970</v>
      </c>
      <c r="D3233" s="29" t="s">
        <v>4</v>
      </c>
      <c r="E3233" s="30" t="s">
        <v>436</v>
      </c>
      <c r="F3233" s="28" t="s">
        <v>361</v>
      </c>
      <c r="G3233" s="30" t="s">
        <v>791</v>
      </c>
      <c r="H3233" t="str">
        <f>CONCATENATE(Prequal[[#This Row],[CITY]], ", ",Prequal[[#This Row],[STATE]])</f>
        <v>Kansas City, MO</v>
      </c>
    </row>
    <row r="3234" spans="2:8" x14ac:dyDescent="0.2">
      <c r="B3234" s="27" t="s">
        <v>325</v>
      </c>
      <c r="C3234" s="28" t="s">
        <v>970</v>
      </c>
      <c r="D3234" s="29" t="s">
        <v>5</v>
      </c>
      <c r="E3234" s="30" t="s">
        <v>436</v>
      </c>
      <c r="F3234" s="28" t="s">
        <v>361</v>
      </c>
      <c r="G3234" s="30" t="s">
        <v>791</v>
      </c>
      <c r="H3234" t="str">
        <f>CONCATENATE(Prequal[[#This Row],[CITY]], ", ",Prequal[[#This Row],[STATE]])</f>
        <v>Kansas City, MO</v>
      </c>
    </row>
    <row r="3235" spans="2:8" x14ac:dyDescent="0.2">
      <c r="B3235" s="27" t="s">
        <v>325</v>
      </c>
      <c r="C3235" s="28" t="s">
        <v>970</v>
      </c>
      <c r="D3235" s="29" t="s">
        <v>7</v>
      </c>
      <c r="E3235" s="30" t="s">
        <v>436</v>
      </c>
      <c r="F3235" s="28" t="s">
        <v>361</v>
      </c>
      <c r="G3235" s="30" t="s">
        <v>791</v>
      </c>
      <c r="H3235" t="str">
        <f>CONCATENATE(Prequal[[#This Row],[CITY]], ", ",Prequal[[#This Row],[STATE]])</f>
        <v>Kansas City, MO</v>
      </c>
    </row>
    <row r="3236" spans="2:8" x14ac:dyDescent="0.2">
      <c r="B3236" s="27" t="s">
        <v>325</v>
      </c>
      <c r="C3236" s="28" t="s">
        <v>970</v>
      </c>
      <c r="D3236" s="29" t="s">
        <v>8</v>
      </c>
      <c r="E3236" s="30" t="s">
        <v>436</v>
      </c>
      <c r="F3236" s="28" t="s">
        <v>361</v>
      </c>
      <c r="G3236" s="30" t="s">
        <v>791</v>
      </c>
      <c r="H3236" t="str">
        <f>CONCATENATE(Prequal[[#This Row],[CITY]], ", ",Prequal[[#This Row],[STATE]])</f>
        <v>Kansas City, MO</v>
      </c>
    </row>
    <row r="3237" spans="2:8" x14ac:dyDescent="0.2">
      <c r="B3237" s="27" t="s">
        <v>325</v>
      </c>
      <c r="C3237" s="28" t="s">
        <v>970</v>
      </c>
      <c r="D3237" s="29" t="s">
        <v>25</v>
      </c>
      <c r="E3237" s="30" t="s">
        <v>436</v>
      </c>
      <c r="F3237" s="28" t="s">
        <v>361</v>
      </c>
      <c r="G3237" s="30" t="s">
        <v>791</v>
      </c>
      <c r="H3237" t="str">
        <f>CONCATENATE(Prequal[[#This Row],[CITY]], ", ",Prequal[[#This Row],[STATE]])</f>
        <v>Kansas City, MO</v>
      </c>
    </row>
    <row r="3238" spans="2:8" x14ac:dyDescent="0.2">
      <c r="B3238" s="27" t="s">
        <v>325</v>
      </c>
      <c r="C3238" s="28" t="s">
        <v>970</v>
      </c>
      <c r="D3238" s="29" t="s">
        <v>9</v>
      </c>
      <c r="E3238" s="30" t="s">
        <v>436</v>
      </c>
      <c r="F3238" s="28" t="s">
        <v>361</v>
      </c>
      <c r="G3238" s="30" t="s">
        <v>791</v>
      </c>
      <c r="H3238" t="str">
        <f>CONCATENATE(Prequal[[#This Row],[CITY]], ", ",Prequal[[#This Row],[STATE]])</f>
        <v>Kansas City, MO</v>
      </c>
    </row>
    <row r="3239" spans="2:8" x14ac:dyDescent="0.2">
      <c r="B3239" s="27" t="s">
        <v>325</v>
      </c>
      <c r="C3239" s="28" t="s">
        <v>970</v>
      </c>
      <c r="D3239" s="29" t="s">
        <v>27</v>
      </c>
      <c r="E3239" s="30" t="s">
        <v>436</v>
      </c>
      <c r="F3239" s="28" t="s">
        <v>361</v>
      </c>
      <c r="G3239" s="30" t="s">
        <v>791</v>
      </c>
      <c r="H3239" t="str">
        <f>CONCATENATE(Prequal[[#This Row],[CITY]], ", ",Prequal[[#This Row],[STATE]])</f>
        <v>Kansas City, MO</v>
      </c>
    </row>
    <row r="3240" spans="2:8" x14ac:dyDescent="0.2">
      <c r="B3240" s="27" t="s">
        <v>325</v>
      </c>
      <c r="C3240" s="28" t="s">
        <v>970</v>
      </c>
      <c r="D3240" s="29" t="s">
        <v>12</v>
      </c>
      <c r="E3240" s="30" t="s">
        <v>436</v>
      </c>
      <c r="F3240" s="28" t="s">
        <v>361</v>
      </c>
      <c r="G3240" s="30" t="s">
        <v>791</v>
      </c>
      <c r="H3240" t="str">
        <f>CONCATENATE(Prequal[[#This Row],[CITY]], ", ",Prequal[[#This Row],[STATE]])</f>
        <v>Kansas City, MO</v>
      </c>
    </row>
    <row r="3241" spans="2:8" x14ac:dyDescent="0.2">
      <c r="B3241" s="27" t="s">
        <v>325</v>
      </c>
      <c r="C3241" s="28" t="s">
        <v>970</v>
      </c>
      <c r="D3241" s="29" t="s">
        <v>13</v>
      </c>
      <c r="E3241" s="30" t="s">
        <v>436</v>
      </c>
      <c r="F3241" s="28" t="s">
        <v>361</v>
      </c>
      <c r="G3241" s="30" t="s">
        <v>791</v>
      </c>
      <c r="H3241" t="str">
        <f>CONCATENATE(Prequal[[#This Row],[CITY]], ", ",Prequal[[#This Row],[STATE]])</f>
        <v>Kansas City, MO</v>
      </c>
    </row>
    <row r="3242" spans="2:8" x14ac:dyDescent="0.2">
      <c r="B3242" s="27" t="s">
        <v>325</v>
      </c>
      <c r="C3242" s="28" t="s">
        <v>970</v>
      </c>
      <c r="D3242" s="29" t="s">
        <v>14</v>
      </c>
      <c r="E3242" s="30" t="s">
        <v>436</v>
      </c>
      <c r="F3242" s="28" t="s">
        <v>361</v>
      </c>
      <c r="G3242" s="30" t="s">
        <v>791</v>
      </c>
      <c r="H3242" t="str">
        <f>CONCATENATE(Prequal[[#This Row],[CITY]], ", ",Prequal[[#This Row],[STATE]])</f>
        <v>Kansas City, MO</v>
      </c>
    </row>
    <row r="3243" spans="2:8" x14ac:dyDescent="0.2">
      <c r="B3243" s="27" t="s">
        <v>325</v>
      </c>
      <c r="C3243" s="28" t="s">
        <v>970</v>
      </c>
      <c r="D3243" s="29" t="s">
        <v>15</v>
      </c>
      <c r="E3243" s="30" t="s">
        <v>436</v>
      </c>
      <c r="F3243" s="28" t="s">
        <v>361</v>
      </c>
      <c r="G3243" s="30" t="s">
        <v>791</v>
      </c>
      <c r="H3243" t="str">
        <f>CONCATENATE(Prequal[[#This Row],[CITY]], ", ",Prequal[[#This Row],[STATE]])</f>
        <v>Kansas City, MO</v>
      </c>
    </row>
    <row r="3244" spans="2:8" x14ac:dyDescent="0.2">
      <c r="B3244" s="27" t="s">
        <v>1094</v>
      </c>
      <c r="C3244" s="28" t="s">
        <v>970</v>
      </c>
      <c r="D3244" s="29" t="s">
        <v>10</v>
      </c>
      <c r="E3244" s="30" t="s">
        <v>998</v>
      </c>
      <c r="F3244" s="28" t="s">
        <v>356</v>
      </c>
      <c r="G3244" s="30" t="s">
        <v>1095</v>
      </c>
      <c r="H3244" t="str">
        <f>CONCATENATE(Prequal[[#This Row],[CITY]], ", ",Prequal[[#This Row],[STATE]])</f>
        <v>LANSING, IL</v>
      </c>
    </row>
    <row r="3245" spans="2:8" x14ac:dyDescent="0.2">
      <c r="B3245" s="27" t="s">
        <v>943</v>
      </c>
      <c r="C3245" s="28" t="s">
        <v>970</v>
      </c>
      <c r="D3245" s="29" t="s">
        <v>70</v>
      </c>
      <c r="E3245" s="30" t="s">
        <v>418</v>
      </c>
      <c r="F3245" s="28" t="s">
        <v>356</v>
      </c>
      <c r="G3245" s="30" t="s">
        <v>944</v>
      </c>
      <c r="H3245" t="str">
        <f>CONCATENATE(Prequal[[#This Row],[CITY]], ", ",Prequal[[#This Row],[STATE]])</f>
        <v>Downers Grove, IL</v>
      </c>
    </row>
    <row r="3246" spans="2:8" x14ac:dyDescent="0.2">
      <c r="B3246" s="27" t="s">
        <v>326</v>
      </c>
      <c r="C3246" s="28" t="s">
        <v>969</v>
      </c>
      <c r="D3246" s="29" t="s">
        <v>5</v>
      </c>
      <c r="E3246" s="30" t="s">
        <v>491</v>
      </c>
      <c r="F3246" s="28" t="s">
        <v>356</v>
      </c>
      <c r="G3246" s="30" t="s">
        <v>792</v>
      </c>
      <c r="H3246" t="str">
        <f>CONCATENATE(Prequal[[#This Row],[CITY]], ", ",Prequal[[#This Row],[STATE]])</f>
        <v>Saint Charles, IL</v>
      </c>
    </row>
    <row r="3247" spans="2:8" x14ac:dyDescent="0.2">
      <c r="B3247" s="27" t="s">
        <v>326</v>
      </c>
      <c r="C3247" s="28" t="s">
        <v>969</v>
      </c>
      <c r="D3247" s="29" t="s">
        <v>8</v>
      </c>
      <c r="E3247" s="30" t="s">
        <v>491</v>
      </c>
      <c r="F3247" s="28" t="s">
        <v>356</v>
      </c>
      <c r="G3247" s="30" t="s">
        <v>792</v>
      </c>
      <c r="H3247" t="str">
        <f>CONCATENATE(Prequal[[#This Row],[CITY]], ", ",Prequal[[#This Row],[STATE]])</f>
        <v>Saint Charles, IL</v>
      </c>
    </row>
    <row r="3248" spans="2:8" x14ac:dyDescent="0.2">
      <c r="B3248" s="27" t="s">
        <v>326</v>
      </c>
      <c r="C3248" s="28" t="s">
        <v>969</v>
      </c>
      <c r="D3248" s="29" t="s">
        <v>9</v>
      </c>
      <c r="E3248" s="30" t="s">
        <v>491</v>
      </c>
      <c r="F3248" s="28" t="s">
        <v>356</v>
      </c>
      <c r="G3248" s="30" t="s">
        <v>792</v>
      </c>
      <c r="H3248" t="str">
        <f>CONCATENATE(Prequal[[#This Row],[CITY]], ", ",Prequal[[#This Row],[STATE]])</f>
        <v>Saint Charles, IL</v>
      </c>
    </row>
    <row r="3249" spans="2:8" x14ac:dyDescent="0.2">
      <c r="B3249" s="27" t="s">
        <v>326</v>
      </c>
      <c r="C3249" s="28" t="s">
        <v>969</v>
      </c>
      <c r="D3249" s="29" t="s">
        <v>10</v>
      </c>
      <c r="E3249" s="30" t="s">
        <v>491</v>
      </c>
      <c r="F3249" s="28" t="s">
        <v>356</v>
      </c>
      <c r="G3249" s="30" t="s">
        <v>792</v>
      </c>
      <c r="H3249" t="str">
        <f>CONCATENATE(Prequal[[#This Row],[CITY]], ", ",Prequal[[#This Row],[STATE]])</f>
        <v>Saint Charles, IL</v>
      </c>
    </row>
    <row r="3250" spans="2:8" x14ac:dyDescent="0.2">
      <c r="B3250" s="27" t="s">
        <v>326</v>
      </c>
      <c r="C3250" s="28" t="s">
        <v>969</v>
      </c>
      <c r="D3250" s="29" t="s">
        <v>14</v>
      </c>
      <c r="E3250" s="30" t="s">
        <v>491</v>
      </c>
      <c r="F3250" s="28" t="s">
        <v>356</v>
      </c>
      <c r="G3250" s="30" t="s">
        <v>792</v>
      </c>
      <c r="H3250" t="str">
        <f>CONCATENATE(Prequal[[#This Row],[CITY]], ", ",Prequal[[#This Row],[STATE]])</f>
        <v>Saint Charles, IL</v>
      </c>
    </row>
    <row r="3251" spans="2:8" x14ac:dyDescent="0.2">
      <c r="B3251" s="27" t="s">
        <v>326</v>
      </c>
      <c r="C3251" s="28" t="s">
        <v>969</v>
      </c>
      <c r="D3251" s="29" t="s">
        <v>15</v>
      </c>
      <c r="E3251" s="30" t="s">
        <v>491</v>
      </c>
      <c r="F3251" s="28" t="s">
        <v>356</v>
      </c>
      <c r="G3251" s="30" t="s">
        <v>792</v>
      </c>
      <c r="H3251" t="str">
        <f>CONCATENATE(Prequal[[#This Row],[CITY]], ", ",Prequal[[#This Row],[STATE]])</f>
        <v>Saint Charles, IL</v>
      </c>
    </row>
    <row r="3252" spans="2:8" x14ac:dyDescent="0.2">
      <c r="B3252" s="27" t="s">
        <v>327</v>
      </c>
      <c r="C3252" s="28" t="s">
        <v>969</v>
      </c>
      <c r="D3252" s="29" t="s">
        <v>18</v>
      </c>
      <c r="E3252" s="30" t="s">
        <v>402</v>
      </c>
      <c r="F3252" s="28" t="s">
        <v>356</v>
      </c>
      <c r="G3252" s="30" t="s">
        <v>793</v>
      </c>
      <c r="H3252" t="str">
        <f>CONCATENATE(Prequal[[#This Row],[CITY]], ", ",Prequal[[#This Row],[STATE]])</f>
        <v>Naperville, IL</v>
      </c>
    </row>
    <row r="3253" spans="2:8" x14ac:dyDescent="0.2">
      <c r="B3253" s="27" t="s">
        <v>1109</v>
      </c>
      <c r="C3253" s="28" t="s">
        <v>969</v>
      </c>
      <c r="D3253" s="29" t="s">
        <v>29</v>
      </c>
      <c r="E3253" s="30" t="s">
        <v>1110</v>
      </c>
      <c r="F3253" s="28" t="s">
        <v>356</v>
      </c>
      <c r="G3253" s="30" t="s">
        <v>1111</v>
      </c>
      <c r="H3253" t="str">
        <f>CONCATENATE(Prequal[[#This Row],[CITY]], ", ",Prequal[[#This Row],[STATE]])</f>
        <v>Shorewood, IL</v>
      </c>
    </row>
    <row r="3254" spans="2:8" x14ac:dyDescent="0.2">
      <c r="B3254" s="27" t="s">
        <v>999</v>
      </c>
      <c r="C3254" s="28" t="s">
        <v>969</v>
      </c>
      <c r="D3254" s="29" t="s">
        <v>45</v>
      </c>
      <c r="E3254" s="30" t="s">
        <v>424</v>
      </c>
      <c r="F3254" s="28" t="s">
        <v>389</v>
      </c>
      <c r="G3254" s="30" t="s">
        <v>648</v>
      </c>
      <c r="H3254" t="str">
        <f>CONCATENATE(Prequal[[#This Row],[CITY]], ", ",Prequal[[#This Row],[STATE]])</f>
        <v>Memphis, TN</v>
      </c>
    </row>
    <row r="3255" spans="2:8" x14ac:dyDescent="0.2">
      <c r="B3255" s="27" t="s">
        <v>999</v>
      </c>
      <c r="C3255" s="28" t="s">
        <v>969</v>
      </c>
      <c r="D3255" s="29" t="s">
        <v>46</v>
      </c>
      <c r="E3255" s="30" t="s">
        <v>424</v>
      </c>
      <c r="F3255" s="28" t="s">
        <v>389</v>
      </c>
      <c r="G3255" s="30" t="s">
        <v>648</v>
      </c>
      <c r="H3255" t="str">
        <f>CONCATENATE(Prequal[[#This Row],[CITY]], ", ",Prequal[[#This Row],[STATE]])</f>
        <v>Memphis, TN</v>
      </c>
    </row>
    <row r="3256" spans="2:8" x14ac:dyDescent="0.2">
      <c r="B3256" s="27" t="s">
        <v>999</v>
      </c>
      <c r="C3256" s="28" t="s">
        <v>969</v>
      </c>
      <c r="D3256" s="29" t="s">
        <v>47</v>
      </c>
      <c r="E3256" s="30" t="s">
        <v>424</v>
      </c>
      <c r="F3256" s="28" t="s">
        <v>389</v>
      </c>
      <c r="G3256" s="30" t="s">
        <v>648</v>
      </c>
      <c r="H3256" t="str">
        <f>CONCATENATE(Prequal[[#This Row],[CITY]], ", ",Prequal[[#This Row],[STATE]])</f>
        <v>Memphis, TN</v>
      </c>
    </row>
    <row r="3257" spans="2:8" x14ac:dyDescent="0.2">
      <c r="B3257" s="27" t="s">
        <v>999</v>
      </c>
      <c r="C3257" s="28" t="s">
        <v>969</v>
      </c>
      <c r="D3257" s="29" t="s">
        <v>48</v>
      </c>
      <c r="E3257" s="30" t="s">
        <v>424</v>
      </c>
      <c r="F3257" s="28" t="s">
        <v>389</v>
      </c>
      <c r="G3257" s="30" t="s">
        <v>648</v>
      </c>
      <c r="H3257" t="str">
        <f>CONCATENATE(Prequal[[#This Row],[CITY]], ", ",Prequal[[#This Row],[STATE]])</f>
        <v>Memphis, TN</v>
      </c>
    </row>
    <row r="3258" spans="2:8" x14ac:dyDescent="0.2">
      <c r="B3258" s="27" t="s">
        <v>999</v>
      </c>
      <c r="C3258" s="28" t="s">
        <v>969</v>
      </c>
      <c r="D3258" s="29" t="s">
        <v>75</v>
      </c>
      <c r="E3258" s="30" t="s">
        <v>424</v>
      </c>
      <c r="F3258" s="28" t="s">
        <v>389</v>
      </c>
      <c r="G3258" s="30" t="s">
        <v>648</v>
      </c>
      <c r="H3258" t="str">
        <f>CONCATENATE(Prequal[[#This Row],[CITY]], ", ",Prequal[[#This Row],[STATE]])</f>
        <v>Memphis, TN</v>
      </c>
    </row>
    <row r="3259" spans="2:8" x14ac:dyDescent="0.2">
      <c r="B3259" s="27" t="s">
        <v>999</v>
      </c>
      <c r="C3259" s="28" t="s">
        <v>969</v>
      </c>
      <c r="D3259" s="29" t="s">
        <v>10</v>
      </c>
      <c r="E3259" s="30" t="s">
        <v>424</v>
      </c>
      <c r="F3259" s="28" t="s">
        <v>389</v>
      </c>
      <c r="G3259" s="30" t="s">
        <v>648</v>
      </c>
      <c r="H3259" t="str">
        <f>CONCATENATE(Prequal[[#This Row],[CITY]], ", ",Prequal[[#This Row],[STATE]])</f>
        <v>Memphis, TN</v>
      </c>
    </row>
    <row r="3260" spans="2:8" x14ac:dyDescent="0.2">
      <c r="B3260" s="27" t="s">
        <v>999</v>
      </c>
      <c r="C3260" s="28" t="s">
        <v>969</v>
      </c>
      <c r="D3260" s="29" t="s">
        <v>28</v>
      </c>
      <c r="E3260" s="30" t="s">
        <v>424</v>
      </c>
      <c r="F3260" s="28" t="s">
        <v>389</v>
      </c>
      <c r="G3260" s="30" t="s">
        <v>648</v>
      </c>
      <c r="H3260" t="str">
        <f>CONCATENATE(Prequal[[#This Row],[CITY]], ", ",Prequal[[#This Row],[STATE]])</f>
        <v>Memphis, TN</v>
      </c>
    </row>
    <row r="3261" spans="2:8" x14ac:dyDescent="0.2">
      <c r="B3261" s="27" t="s">
        <v>328</v>
      </c>
      <c r="C3261" s="28" t="s">
        <v>969</v>
      </c>
      <c r="D3261" s="29" t="s">
        <v>4</v>
      </c>
      <c r="E3261" s="30" t="s">
        <v>492</v>
      </c>
      <c r="F3261" s="28" t="s">
        <v>356</v>
      </c>
      <c r="G3261" s="30" t="s">
        <v>794</v>
      </c>
      <c r="H3261" t="str">
        <f>CONCATENATE(Prequal[[#This Row],[CITY]], ", ",Prequal[[#This Row],[STATE]])</f>
        <v>Mattoon, IL</v>
      </c>
    </row>
    <row r="3262" spans="2:8" x14ac:dyDescent="0.2">
      <c r="B3262" s="27" t="s">
        <v>328</v>
      </c>
      <c r="C3262" s="28" t="s">
        <v>969</v>
      </c>
      <c r="D3262" s="29" t="s">
        <v>5</v>
      </c>
      <c r="E3262" s="30" t="s">
        <v>492</v>
      </c>
      <c r="F3262" s="28" t="s">
        <v>356</v>
      </c>
      <c r="G3262" s="30" t="s">
        <v>794</v>
      </c>
      <c r="H3262" t="str">
        <f>CONCATENATE(Prequal[[#This Row],[CITY]], ", ",Prequal[[#This Row],[STATE]])</f>
        <v>Mattoon, IL</v>
      </c>
    </row>
    <row r="3263" spans="2:8" x14ac:dyDescent="0.2">
      <c r="B3263" s="27" t="s">
        <v>328</v>
      </c>
      <c r="C3263" s="28" t="s">
        <v>969</v>
      </c>
      <c r="D3263" s="29" t="s">
        <v>8</v>
      </c>
      <c r="E3263" s="30" t="s">
        <v>492</v>
      </c>
      <c r="F3263" s="28" t="s">
        <v>356</v>
      </c>
      <c r="G3263" s="30" t="s">
        <v>794</v>
      </c>
      <c r="H3263" t="str">
        <f>CONCATENATE(Prequal[[#This Row],[CITY]], ", ",Prequal[[#This Row],[STATE]])</f>
        <v>Mattoon, IL</v>
      </c>
    </row>
    <row r="3264" spans="2:8" x14ac:dyDescent="0.2">
      <c r="B3264" s="27" t="s">
        <v>328</v>
      </c>
      <c r="C3264" s="28" t="s">
        <v>969</v>
      </c>
      <c r="D3264" s="29" t="s">
        <v>24</v>
      </c>
      <c r="E3264" s="30" t="s">
        <v>492</v>
      </c>
      <c r="F3264" s="28" t="s">
        <v>356</v>
      </c>
      <c r="G3264" s="30" t="s">
        <v>794</v>
      </c>
      <c r="H3264" t="str">
        <f>CONCATENATE(Prequal[[#This Row],[CITY]], ", ",Prequal[[#This Row],[STATE]])</f>
        <v>Mattoon, IL</v>
      </c>
    </row>
    <row r="3265" spans="2:8" x14ac:dyDescent="0.2">
      <c r="B3265" s="27" t="s">
        <v>328</v>
      </c>
      <c r="C3265" s="28" t="s">
        <v>969</v>
      </c>
      <c r="D3265" s="29" t="s">
        <v>25</v>
      </c>
      <c r="E3265" s="30" t="s">
        <v>492</v>
      </c>
      <c r="F3265" s="28" t="s">
        <v>356</v>
      </c>
      <c r="G3265" s="30" t="s">
        <v>794</v>
      </c>
      <c r="H3265" t="str">
        <f>CONCATENATE(Prequal[[#This Row],[CITY]], ", ",Prequal[[#This Row],[STATE]])</f>
        <v>Mattoon, IL</v>
      </c>
    </row>
    <row r="3266" spans="2:8" x14ac:dyDescent="0.2">
      <c r="B3266" s="27" t="s">
        <v>328</v>
      </c>
      <c r="C3266" s="28" t="s">
        <v>969</v>
      </c>
      <c r="D3266" s="29" t="s">
        <v>9</v>
      </c>
      <c r="E3266" s="30" t="s">
        <v>492</v>
      </c>
      <c r="F3266" s="28" t="s">
        <v>356</v>
      </c>
      <c r="G3266" s="30" t="s">
        <v>794</v>
      </c>
      <c r="H3266" t="str">
        <f>CONCATENATE(Prequal[[#This Row],[CITY]], ", ",Prequal[[#This Row],[STATE]])</f>
        <v>Mattoon, IL</v>
      </c>
    </row>
    <row r="3267" spans="2:8" x14ac:dyDescent="0.2">
      <c r="B3267" s="27" t="s">
        <v>328</v>
      </c>
      <c r="C3267" s="28" t="s">
        <v>969</v>
      </c>
      <c r="D3267" s="29" t="s">
        <v>27</v>
      </c>
      <c r="E3267" s="30" t="s">
        <v>492</v>
      </c>
      <c r="F3267" s="28" t="s">
        <v>356</v>
      </c>
      <c r="G3267" s="30" t="s">
        <v>794</v>
      </c>
      <c r="H3267" t="str">
        <f>CONCATENATE(Prequal[[#This Row],[CITY]], ", ",Prequal[[#This Row],[STATE]])</f>
        <v>Mattoon, IL</v>
      </c>
    </row>
    <row r="3268" spans="2:8" x14ac:dyDescent="0.2">
      <c r="B3268" s="27" t="s">
        <v>328</v>
      </c>
      <c r="C3268" s="28" t="s">
        <v>969</v>
      </c>
      <c r="D3268" s="29" t="s">
        <v>10</v>
      </c>
      <c r="E3268" s="30" t="s">
        <v>492</v>
      </c>
      <c r="F3268" s="28" t="s">
        <v>356</v>
      </c>
      <c r="G3268" s="30" t="s">
        <v>794</v>
      </c>
      <c r="H3268" t="str">
        <f>CONCATENATE(Prequal[[#This Row],[CITY]], ", ",Prequal[[#This Row],[STATE]])</f>
        <v>Mattoon, IL</v>
      </c>
    </row>
    <row r="3269" spans="2:8" x14ac:dyDescent="0.2">
      <c r="B3269" s="27" t="s">
        <v>328</v>
      </c>
      <c r="C3269" s="28" t="s">
        <v>969</v>
      </c>
      <c r="D3269" s="29" t="s">
        <v>12</v>
      </c>
      <c r="E3269" s="30" t="s">
        <v>492</v>
      </c>
      <c r="F3269" s="28" t="s">
        <v>356</v>
      </c>
      <c r="G3269" s="30" t="s">
        <v>794</v>
      </c>
      <c r="H3269" t="str">
        <f>CONCATENATE(Prequal[[#This Row],[CITY]], ", ",Prequal[[#This Row],[STATE]])</f>
        <v>Mattoon, IL</v>
      </c>
    </row>
    <row r="3270" spans="2:8" x14ac:dyDescent="0.2">
      <c r="B3270" s="27" t="s">
        <v>328</v>
      </c>
      <c r="C3270" s="28" t="s">
        <v>969</v>
      </c>
      <c r="D3270" s="29" t="s">
        <v>29</v>
      </c>
      <c r="E3270" s="30" t="s">
        <v>492</v>
      </c>
      <c r="F3270" s="28" t="s">
        <v>356</v>
      </c>
      <c r="G3270" s="30" t="s">
        <v>794</v>
      </c>
      <c r="H3270" t="str">
        <f>CONCATENATE(Prequal[[#This Row],[CITY]], ", ",Prequal[[#This Row],[STATE]])</f>
        <v>Mattoon, IL</v>
      </c>
    </row>
    <row r="3271" spans="2:8" x14ac:dyDescent="0.2">
      <c r="B3271" s="27" t="s">
        <v>328</v>
      </c>
      <c r="C3271" s="28" t="s">
        <v>969</v>
      </c>
      <c r="D3271" s="29" t="s">
        <v>37</v>
      </c>
      <c r="E3271" s="30" t="s">
        <v>492</v>
      </c>
      <c r="F3271" s="28" t="s">
        <v>356</v>
      </c>
      <c r="G3271" s="30" t="s">
        <v>794</v>
      </c>
      <c r="H3271" t="str">
        <f>CONCATENATE(Prequal[[#This Row],[CITY]], ", ",Prequal[[#This Row],[STATE]])</f>
        <v>Mattoon, IL</v>
      </c>
    </row>
    <row r="3272" spans="2:8" x14ac:dyDescent="0.2">
      <c r="B3272" s="27" t="s">
        <v>328</v>
      </c>
      <c r="C3272" s="28" t="s">
        <v>969</v>
      </c>
      <c r="D3272" s="29" t="s">
        <v>13</v>
      </c>
      <c r="E3272" s="30" t="s">
        <v>492</v>
      </c>
      <c r="F3272" s="28" t="s">
        <v>356</v>
      </c>
      <c r="G3272" s="30" t="s">
        <v>794</v>
      </c>
      <c r="H3272" t="str">
        <f>CONCATENATE(Prequal[[#This Row],[CITY]], ", ",Prequal[[#This Row],[STATE]])</f>
        <v>Mattoon, IL</v>
      </c>
    </row>
    <row r="3273" spans="2:8" x14ac:dyDescent="0.2">
      <c r="B3273" s="27" t="s">
        <v>328</v>
      </c>
      <c r="C3273" s="28" t="s">
        <v>969</v>
      </c>
      <c r="D3273" s="29" t="s">
        <v>14</v>
      </c>
      <c r="E3273" s="30" t="s">
        <v>492</v>
      </c>
      <c r="F3273" s="28" t="s">
        <v>356</v>
      </c>
      <c r="G3273" s="30" t="s">
        <v>794</v>
      </c>
      <c r="H3273" t="str">
        <f>CONCATENATE(Prequal[[#This Row],[CITY]], ", ",Prequal[[#This Row],[STATE]])</f>
        <v>Mattoon, IL</v>
      </c>
    </row>
    <row r="3274" spans="2:8" x14ac:dyDescent="0.2">
      <c r="B3274" s="27" t="s">
        <v>328</v>
      </c>
      <c r="C3274" s="28" t="s">
        <v>969</v>
      </c>
      <c r="D3274" s="29" t="s">
        <v>31</v>
      </c>
      <c r="E3274" s="30" t="s">
        <v>492</v>
      </c>
      <c r="F3274" s="28" t="s">
        <v>356</v>
      </c>
      <c r="G3274" s="30" t="s">
        <v>794</v>
      </c>
      <c r="H3274" t="str">
        <f>CONCATENATE(Prequal[[#This Row],[CITY]], ", ",Prequal[[#This Row],[STATE]])</f>
        <v>Mattoon, IL</v>
      </c>
    </row>
    <row r="3275" spans="2:8" x14ac:dyDescent="0.2">
      <c r="B3275" s="27" t="s">
        <v>328</v>
      </c>
      <c r="C3275" s="28" t="s">
        <v>969</v>
      </c>
      <c r="D3275" s="29" t="s">
        <v>32</v>
      </c>
      <c r="E3275" s="30" t="s">
        <v>492</v>
      </c>
      <c r="F3275" s="28" t="s">
        <v>356</v>
      </c>
      <c r="G3275" s="30" t="s">
        <v>794</v>
      </c>
      <c r="H3275" t="str">
        <f>CONCATENATE(Prequal[[#This Row],[CITY]], ", ",Prequal[[#This Row],[STATE]])</f>
        <v>Mattoon, IL</v>
      </c>
    </row>
    <row r="3276" spans="2:8" x14ac:dyDescent="0.2">
      <c r="B3276" s="27" t="s">
        <v>329</v>
      </c>
      <c r="C3276" s="28" t="s">
        <v>969</v>
      </c>
      <c r="D3276" s="29" t="s">
        <v>11</v>
      </c>
      <c r="E3276" s="30" t="s">
        <v>469</v>
      </c>
      <c r="F3276" s="28" t="s">
        <v>356</v>
      </c>
      <c r="G3276" s="30" t="s">
        <v>795</v>
      </c>
      <c r="H3276" t="str">
        <f>CONCATENATE(Prequal[[#This Row],[CITY]], ", ",Prequal[[#This Row],[STATE]])</f>
        <v>Plainfield, IL</v>
      </c>
    </row>
    <row r="3277" spans="2:8" x14ac:dyDescent="0.2">
      <c r="B3277" s="27" t="s">
        <v>963</v>
      </c>
      <c r="C3277" s="28" t="s">
        <v>970</v>
      </c>
      <c r="D3277" s="29" t="s">
        <v>70</v>
      </c>
      <c r="E3277" s="30" t="s">
        <v>394</v>
      </c>
      <c r="F3277" s="28" t="s">
        <v>361</v>
      </c>
      <c r="G3277" s="30" t="s">
        <v>964</v>
      </c>
      <c r="H3277" t="str">
        <f>CONCATENATE(Prequal[[#This Row],[CITY]], ", ",Prequal[[#This Row],[STATE]])</f>
        <v>St. Louis, MO</v>
      </c>
    </row>
    <row r="3278" spans="2:8" x14ac:dyDescent="0.2">
      <c r="B3278" s="27" t="s">
        <v>963</v>
      </c>
      <c r="C3278" s="28" t="s">
        <v>970</v>
      </c>
      <c r="D3278" s="29" t="s">
        <v>1004</v>
      </c>
      <c r="E3278" s="30" t="s">
        <v>394</v>
      </c>
      <c r="F3278" s="28" t="s">
        <v>361</v>
      </c>
      <c r="G3278" s="30" t="s">
        <v>964</v>
      </c>
      <c r="H3278" t="str">
        <f>CONCATENATE(Prequal[[#This Row],[CITY]], ", ",Prequal[[#This Row],[STATE]])</f>
        <v>St. Louis, MO</v>
      </c>
    </row>
    <row r="3279" spans="2:8" x14ac:dyDescent="0.2">
      <c r="B3279" s="27" t="s">
        <v>330</v>
      </c>
      <c r="C3279" s="28" t="s">
        <v>969</v>
      </c>
      <c r="D3279" s="29" t="s">
        <v>4</v>
      </c>
      <c r="E3279" s="30" t="s">
        <v>493</v>
      </c>
      <c r="F3279" s="28" t="s">
        <v>356</v>
      </c>
      <c r="G3279" s="30" t="s">
        <v>796</v>
      </c>
      <c r="H3279" t="str">
        <f>CONCATENATE(Prequal[[#This Row],[CITY]], ", ",Prequal[[#This Row],[STATE]])</f>
        <v>Woodridge, IL</v>
      </c>
    </row>
    <row r="3280" spans="2:8" x14ac:dyDescent="0.2">
      <c r="B3280" s="27" t="s">
        <v>330</v>
      </c>
      <c r="C3280" s="28" t="s">
        <v>969</v>
      </c>
      <c r="D3280" s="29" t="s">
        <v>5</v>
      </c>
      <c r="E3280" s="30" t="s">
        <v>493</v>
      </c>
      <c r="F3280" s="28" t="s">
        <v>356</v>
      </c>
      <c r="G3280" s="30" t="s">
        <v>796</v>
      </c>
      <c r="H3280" t="str">
        <f>CONCATENATE(Prequal[[#This Row],[CITY]], ", ",Prequal[[#This Row],[STATE]])</f>
        <v>Woodridge, IL</v>
      </c>
    </row>
    <row r="3281" spans="2:8" x14ac:dyDescent="0.2">
      <c r="B3281" s="27" t="s">
        <v>330</v>
      </c>
      <c r="C3281" s="28" t="s">
        <v>969</v>
      </c>
      <c r="D3281" s="29" t="s">
        <v>6</v>
      </c>
      <c r="E3281" s="30" t="s">
        <v>493</v>
      </c>
      <c r="F3281" s="28" t="s">
        <v>356</v>
      </c>
      <c r="G3281" s="30" t="s">
        <v>796</v>
      </c>
      <c r="H3281" t="str">
        <f>CONCATENATE(Prequal[[#This Row],[CITY]], ", ",Prequal[[#This Row],[STATE]])</f>
        <v>Woodridge, IL</v>
      </c>
    </row>
    <row r="3282" spans="2:8" x14ac:dyDescent="0.2">
      <c r="B3282" s="27" t="s">
        <v>330</v>
      </c>
      <c r="C3282" s="28" t="s">
        <v>969</v>
      </c>
      <c r="D3282" s="29" t="s">
        <v>7</v>
      </c>
      <c r="E3282" s="30" t="s">
        <v>493</v>
      </c>
      <c r="F3282" s="28" t="s">
        <v>356</v>
      </c>
      <c r="G3282" s="30" t="s">
        <v>796</v>
      </c>
      <c r="H3282" t="str">
        <f>CONCATENATE(Prequal[[#This Row],[CITY]], ", ",Prequal[[#This Row],[STATE]])</f>
        <v>Woodridge, IL</v>
      </c>
    </row>
    <row r="3283" spans="2:8" x14ac:dyDescent="0.2">
      <c r="B3283" s="27" t="s">
        <v>330</v>
      </c>
      <c r="C3283" s="28" t="s">
        <v>969</v>
      </c>
      <c r="D3283" s="29" t="s">
        <v>8</v>
      </c>
      <c r="E3283" s="30" t="s">
        <v>493</v>
      </c>
      <c r="F3283" s="28" t="s">
        <v>356</v>
      </c>
      <c r="G3283" s="30" t="s">
        <v>796</v>
      </c>
      <c r="H3283" t="str">
        <f>CONCATENATE(Prequal[[#This Row],[CITY]], ", ",Prequal[[#This Row],[STATE]])</f>
        <v>Woodridge, IL</v>
      </c>
    </row>
    <row r="3284" spans="2:8" x14ac:dyDescent="0.2">
      <c r="B3284" s="31" t="s">
        <v>330</v>
      </c>
      <c r="C3284" s="32" t="s">
        <v>969</v>
      </c>
      <c r="D3284" s="33" t="s">
        <v>24</v>
      </c>
      <c r="E3284" s="30" t="s">
        <v>493</v>
      </c>
      <c r="F3284" s="32" t="s">
        <v>356</v>
      </c>
      <c r="G3284" s="30" t="s">
        <v>796</v>
      </c>
      <c r="H3284" t="str">
        <f>CONCATENATE(Prequal[[#This Row],[CITY]], ", ",Prequal[[#This Row],[STATE]])</f>
        <v>Woodridge, IL</v>
      </c>
    </row>
    <row r="3285" spans="2:8" x14ac:dyDescent="0.2">
      <c r="B3285" s="27" t="s">
        <v>330</v>
      </c>
      <c r="C3285" s="28" t="s">
        <v>969</v>
      </c>
      <c r="D3285" s="29" t="s">
        <v>25</v>
      </c>
      <c r="E3285" s="30" t="s">
        <v>493</v>
      </c>
      <c r="F3285" s="28" t="s">
        <v>356</v>
      </c>
      <c r="G3285" s="30" t="s">
        <v>796</v>
      </c>
      <c r="H3285" t="str">
        <f>CONCATENATE(Prequal[[#This Row],[CITY]], ", ",Prequal[[#This Row],[STATE]])</f>
        <v>Woodridge, IL</v>
      </c>
    </row>
    <row r="3286" spans="2:8" x14ac:dyDescent="0.2">
      <c r="B3286" s="27" t="s">
        <v>330</v>
      </c>
      <c r="C3286" s="28" t="s">
        <v>969</v>
      </c>
      <c r="D3286" s="29" t="s">
        <v>9</v>
      </c>
      <c r="E3286" s="30" t="s">
        <v>493</v>
      </c>
      <c r="F3286" s="28" t="s">
        <v>356</v>
      </c>
      <c r="G3286" s="30" t="s">
        <v>796</v>
      </c>
      <c r="H3286" t="str">
        <f>CONCATENATE(Prequal[[#This Row],[CITY]], ", ",Prequal[[#This Row],[STATE]])</f>
        <v>Woodridge, IL</v>
      </c>
    </row>
    <row r="3287" spans="2:8" x14ac:dyDescent="0.2">
      <c r="B3287" s="27" t="s">
        <v>330</v>
      </c>
      <c r="C3287" s="28" t="s">
        <v>969</v>
      </c>
      <c r="D3287" s="29" t="s">
        <v>20</v>
      </c>
      <c r="E3287" s="30" t="s">
        <v>493</v>
      </c>
      <c r="F3287" s="28" t="s">
        <v>356</v>
      </c>
      <c r="G3287" s="30" t="s">
        <v>796</v>
      </c>
      <c r="H3287" t="str">
        <f>CONCATENATE(Prequal[[#This Row],[CITY]], ", ",Prequal[[#This Row],[STATE]])</f>
        <v>Woodridge, IL</v>
      </c>
    </row>
    <row r="3288" spans="2:8" x14ac:dyDescent="0.2">
      <c r="B3288" s="27" t="s">
        <v>330</v>
      </c>
      <c r="C3288" s="28" t="s">
        <v>969</v>
      </c>
      <c r="D3288" s="29" t="s">
        <v>27</v>
      </c>
      <c r="E3288" s="30" t="s">
        <v>493</v>
      </c>
      <c r="F3288" s="28" t="s">
        <v>356</v>
      </c>
      <c r="G3288" s="30" t="s">
        <v>796</v>
      </c>
      <c r="H3288" t="str">
        <f>CONCATENATE(Prequal[[#This Row],[CITY]], ", ",Prequal[[#This Row],[STATE]])</f>
        <v>Woodridge, IL</v>
      </c>
    </row>
    <row r="3289" spans="2:8" x14ac:dyDescent="0.2">
      <c r="B3289" s="27" t="s">
        <v>330</v>
      </c>
      <c r="C3289" s="28" t="s">
        <v>969</v>
      </c>
      <c r="D3289" s="29" t="s">
        <v>81</v>
      </c>
      <c r="E3289" s="30" t="s">
        <v>493</v>
      </c>
      <c r="F3289" s="28" t="s">
        <v>356</v>
      </c>
      <c r="G3289" s="30" t="s">
        <v>796</v>
      </c>
      <c r="H3289" t="str">
        <f>CONCATENATE(Prequal[[#This Row],[CITY]], ", ",Prequal[[#This Row],[STATE]])</f>
        <v>Woodridge, IL</v>
      </c>
    </row>
    <row r="3290" spans="2:8" x14ac:dyDescent="0.2">
      <c r="B3290" s="27" t="s">
        <v>330</v>
      </c>
      <c r="C3290" s="28" t="s">
        <v>969</v>
      </c>
      <c r="D3290" s="29" t="s">
        <v>10</v>
      </c>
      <c r="E3290" s="30" t="s">
        <v>493</v>
      </c>
      <c r="F3290" s="28" t="s">
        <v>356</v>
      </c>
      <c r="G3290" s="30" t="s">
        <v>796</v>
      </c>
      <c r="H3290" t="str">
        <f>CONCATENATE(Prequal[[#This Row],[CITY]], ", ",Prequal[[#This Row],[STATE]])</f>
        <v>Woodridge, IL</v>
      </c>
    </row>
    <row r="3291" spans="2:8" x14ac:dyDescent="0.2">
      <c r="B3291" s="27" t="s">
        <v>330</v>
      </c>
      <c r="C3291" s="28" t="s">
        <v>969</v>
      </c>
      <c r="D3291" s="29" t="s">
        <v>18</v>
      </c>
      <c r="E3291" s="30" t="s">
        <v>493</v>
      </c>
      <c r="F3291" s="28" t="s">
        <v>356</v>
      </c>
      <c r="G3291" s="30" t="s">
        <v>796</v>
      </c>
      <c r="H3291" t="str">
        <f>CONCATENATE(Prequal[[#This Row],[CITY]], ", ",Prequal[[#This Row],[STATE]])</f>
        <v>Woodridge, IL</v>
      </c>
    </row>
    <row r="3292" spans="2:8" x14ac:dyDescent="0.2">
      <c r="B3292" s="27" t="s">
        <v>330</v>
      </c>
      <c r="C3292" s="28" t="s">
        <v>969</v>
      </c>
      <c r="D3292" s="29" t="s">
        <v>11</v>
      </c>
      <c r="E3292" s="30" t="s">
        <v>493</v>
      </c>
      <c r="F3292" s="28" t="s">
        <v>356</v>
      </c>
      <c r="G3292" s="30" t="s">
        <v>796</v>
      </c>
      <c r="H3292" t="str">
        <f>CONCATENATE(Prequal[[#This Row],[CITY]], ", ",Prequal[[#This Row],[STATE]])</f>
        <v>Woodridge, IL</v>
      </c>
    </row>
    <row r="3293" spans="2:8" x14ac:dyDescent="0.2">
      <c r="B3293" s="27" t="s">
        <v>330</v>
      </c>
      <c r="C3293" s="28" t="s">
        <v>969</v>
      </c>
      <c r="D3293" s="29" t="s">
        <v>39</v>
      </c>
      <c r="E3293" s="30" t="s">
        <v>493</v>
      </c>
      <c r="F3293" s="28" t="s">
        <v>356</v>
      </c>
      <c r="G3293" s="30" t="s">
        <v>796</v>
      </c>
      <c r="H3293" t="str">
        <f>CONCATENATE(Prequal[[#This Row],[CITY]], ", ",Prequal[[#This Row],[STATE]])</f>
        <v>Woodridge, IL</v>
      </c>
    </row>
    <row r="3294" spans="2:8" x14ac:dyDescent="0.2">
      <c r="B3294" s="27" t="s">
        <v>330</v>
      </c>
      <c r="C3294" s="28" t="s">
        <v>969</v>
      </c>
      <c r="D3294" s="29" t="s">
        <v>12</v>
      </c>
      <c r="E3294" s="30" t="s">
        <v>493</v>
      </c>
      <c r="F3294" s="28" t="s">
        <v>356</v>
      </c>
      <c r="G3294" s="30" t="s">
        <v>796</v>
      </c>
      <c r="H3294" t="str">
        <f>CONCATENATE(Prequal[[#This Row],[CITY]], ", ",Prequal[[#This Row],[STATE]])</f>
        <v>Woodridge, IL</v>
      </c>
    </row>
    <row r="3295" spans="2:8" x14ac:dyDescent="0.2">
      <c r="B3295" s="27" t="s">
        <v>330</v>
      </c>
      <c r="C3295" s="28" t="s">
        <v>969</v>
      </c>
      <c r="D3295" s="29" t="s">
        <v>29</v>
      </c>
      <c r="E3295" s="30" t="s">
        <v>493</v>
      </c>
      <c r="F3295" s="28" t="s">
        <v>356</v>
      </c>
      <c r="G3295" s="30" t="s">
        <v>796</v>
      </c>
      <c r="H3295" t="str">
        <f>CONCATENATE(Prequal[[#This Row],[CITY]], ", ",Prequal[[#This Row],[STATE]])</f>
        <v>Woodridge, IL</v>
      </c>
    </row>
    <row r="3296" spans="2:8" x14ac:dyDescent="0.2">
      <c r="B3296" s="27" t="s">
        <v>330</v>
      </c>
      <c r="C3296" s="28" t="s">
        <v>969</v>
      </c>
      <c r="D3296" s="29" t="s">
        <v>37</v>
      </c>
      <c r="E3296" s="30" t="s">
        <v>493</v>
      </c>
      <c r="F3296" s="28" t="s">
        <v>356</v>
      </c>
      <c r="G3296" s="30" t="s">
        <v>796</v>
      </c>
      <c r="H3296" t="str">
        <f>CONCATENATE(Prequal[[#This Row],[CITY]], ", ",Prequal[[#This Row],[STATE]])</f>
        <v>Woodridge, IL</v>
      </c>
    </row>
    <row r="3297" spans="2:8" x14ac:dyDescent="0.2">
      <c r="B3297" s="27" t="s">
        <v>330</v>
      </c>
      <c r="C3297" s="28" t="s">
        <v>969</v>
      </c>
      <c r="D3297" s="29" t="s">
        <v>13</v>
      </c>
      <c r="E3297" s="30" t="s">
        <v>493</v>
      </c>
      <c r="F3297" s="28" t="s">
        <v>356</v>
      </c>
      <c r="G3297" s="30" t="s">
        <v>796</v>
      </c>
      <c r="H3297" t="str">
        <f>CONCATENATE(Prequal[[#This Row],[CITY]], ", ",Prequal[[#This Row],[STATE]])</f>
        <v>Woodridge, IL</v>
      </c>
    </row>
    <row r="3298" spans="2:8" x14ac:dyDescent="0.2">
      <c r="B3298" s="27" t="s">
        <v>330</v>
      </c>
      <c r="C3298" s="28" t="s">
        <v>969</v>
      </c>
      <c r="D3298" s="29" t="s">
        <v>14</v>
      </c>
      <c r="E3298" s="30" t="s">
        <v>493</v>
      </c>
      <c r="F3298" s="28" t="s">
        <v>356</v>
      </c>
      <c r="G3298" s="30" t="s">
        <v>796</v>
      </c>
      <c r="H3298" t="str">
        <f>CONCATENATE(Prequal[[#This Row],[CITY]], ", ",Prequal[[#This Row],[STATE]])</f>
        <v>Woodridge, IL</v>
      </c>
    </row>
    <row r="3299" spans="2:8" x14ac:dyDescent="0.2">
      <c r="B3299" s="27" t="s">
        <v>330</v>
      </c>
      <c r="C3299" s="28" t="s">
        <v>969</v>
      </c>
      <c r="D3299" s="29" t="s">
        <v>15</v>
      </c>
      <c r="E3299" s="30" t="s">
        <v>493</v>
      </c>
      <c r="F3299" s="28" t="s">
        <v>356</v>
      </c>
      <c r="G3299" s="30" t="s">
        <v>796</v>
      </c>
      <c r="H3299" t="str">
        <f>CONCATENATE(Prequal[[#This Row],[CITY]], ", ",Prequal[[#This Row],[STATE]])</f>
        <v>Woodridge, IL</v>
      </c>
    </row>
    <row r="3300" spans="2:8" x14ac:dyDescent="0.2">
      <c r="B3300" s="27" t="s">
        <v>330</v>
      </c>
      <c r="C3300" s="28" t="s">
        <v>969</v>
      </c>
      <c r="D3300" s="29" t="s">
        <v>30</v>
      </c>
      <c r="E3300" s="30" t="s">
        <v>493</v>
      </c>
      <c r="F3300" s="28" t="s">
        <v>356</v>
      </c>
      <c r="G3300" s="30" t="s">
        <v>796</v>
      </c>
      <c r="H3300" t="str">
        <f>CONCATENATE(Prequal[[#This Row],[CITY]], ", ",Prequal[[#This Row],[STATE]])</f>
        <v>Woodridge, IL</v>
      </c>
    </row>
    <row r="3301" spans="2:8" x14ac:dyDescent="0.2">
      <c r="B3301" s="27" t="s">
        <v>330</v>
      </c>
      <c r="C3301" s="28" t="s">
        <v>969</v>
      </c>
      <c r="D3301" s="29" t="s">
        <v>53</v>
      </c>
      <c r="E3301" s="30" t="s">
        <v>493</v>
      </c>
      <c r="F3301" s="28" t="s">
        <v>356</v>
      </c>
      <c r="G3301" s="30" t="s">
        <v>796</v>
      </c>
      <c r="H3301" t="str">
        <f>CONCATENATE(Prequal[[#This Row],[CITY]], ", ",Prequal[[#This Row],[STATE]])</f>
        <v>Woodridge, IL</v>
      </c>
    </row>
    <row r="3302" spans="2:8" x14ac:dyDescent="0.2">
      <c r="B3302" s="27" t="s">
        <v>330</v>
      </c>
      <c r="C3302" s="28" t="s">
        <v>969</v>
      </c>
      <c r="D3302" s="29" t="s">
        <v>31</v>
      </c>
      <c r="E3302" s="30" t="s">
        <v>493</v>
      </c>
      <c r="F3302" s="28" t="s">
        <v>356</v>
      </c>
      <c r="G3302" s="30" t="s">
        <v>796</v>
      </c>
      <c r="H3302" t="str">
        <f>CONCATENATE(Prequal[[#This Row],[CITY]], ", ",Prequal[[#This Row],[STATE]])</f>
        <v>Woodridge, IL</v>
      </c>
    </row>
    <row r="3303" spans="2:8" x14ac:dyDescent="0.2">
      <c r="B3303" s="27" t="s">
        <v>330</v>
      </c>
      <c r="C3303" s="28" t="s">
        <v>969</v>
      </c>
      <c r="D3303" s="29" t="s">
        <v>32</v>
      </c>
      <c r="E3303" s="30" t="s">
        <v>493</v>
      </c>
      <c r="F3303" s="28" t="s">
        <v>356</v>
      </c>
      <c r="G3303" s="30" t="s">
        <v>796</v>
      </c>
      <c r="H3303" t="str">
        <f>CONCATENATE(Prequal[[#This Row],[CITY]], ", ",Prequal[[#This Row],[STATE]])</f>
        <v>Woodridge, IL</v>
      </c>
    </row>
    <row r="3304" spans="2:8" x14ac:dyDescent="0.2">
      <c r="B3304" s="27" t="s">
        <v>330</v>
      </c>
      <c r="C3304" s="28" t="s">
        <v>969</v>
      </c>
      <c r="D3304" s="29" t="s">
        <v>54</v>
      </c>
      <c r="E3304" s="30" t="s">
        <v>493</v>
      </c>
      <c r="F3304" s="28" t="s">
        <v>356</v>
      </c>
      <c r="G3304" s="30" t="s">
        <v>796</v>
      </c>
      <c r="H3304" t="str">
        <f>CONCATENATE(Prequal[[#This Row],[CITY]], ", ",Prequal[[#This Row],[STATE]])</f>
        <v>Woodridge, IL</v>
      </c>
    </row>
    <row r="3305" spans="2:8" x14ac:dyDescent="0.2">
      <c r="B3305" s="27" t="s">
        <v>330</v>
      </c>
      <c r="C3305" s="28" t="s">
        <v>969</v>
      </c>
      <c r="D3305" s="29" t="s">
        <v>38</v>
      </c>
      <c r="E3305" s="30" t="s">
        <v>493</v>
      </c>
      <c r="F3305" s="28" t="s">
        <v>356</v>
      </c>
      <c r="G3305" s="30" t="s">
        <v>796</v>
      </c>
      <c r="H3305" t="str">
        <f>CONCATENATE(Prequal[[#This Row],[CITY]], ", ",Prequal[[#This Row],[STATE]])</f>
        <v>Woodridge, IL</v>
      </c>
    </row>
    <row r="3306" spans="2:8" x14ac:dyDescent="0.2">
      <c r="B3306" s="27" t="s">
        <v>330</v>
      </c>
      <c r="C3306" s="28" t="s">
        <v>969</v>
      </c>
      <c r="D3306" s="29" t="s">
        <v>33</v>
      </c>
      <c r="E3306" s="30" t="s">
        <v>493</v>
      </c>
      <c r="F3306" s="28" t="s">
        <v>356</v>
      </c>
      <c r="G3306" s="30" t="s">
        <v>796</v>
      </c>
      <c r="H3306" t="str">
        <f>CONCATENATE(Prequal[[#This Row],[CITY]], ", ",Prequal[[#This Row],[STATE]])</f>
        <v>Woodridge, IL</v>
      </c>
    </row>
    <row r="3307" spans="2:8" x14ac:dyDescent="0.2">
      <c r="B3307" s="27" t="s">
        <v>543</v>
      </c>
      <c r="C3307" s="28" t="s">
        <v>969</v>
      </c>
      <c r="D3307" s="29" t="s">
        <v>5</v>
      </c>
      <c r="E3307" s="30" t="s">
        <v>357</v>
      </c>
      <c r="F3307" s="28" t="s">
        <v>356</v>
      </c>
      <c r="G3307" s="30" t="s">
        <v>797</v>
      </c>
      <c r="H3307" t="str">
        <f>CONCATENATE(Prequal[[#This Row],[CITY]], ", ",Prequal[[#This Row],[STATE]])</f>
        <v>Lombard, IL</v>
      </c>
    </row>
    <row r="3308" spans="2:8" x14ac:dyDescent="0.2">
      <c r="B3308" s="27" t="s">
        <v>543</v>
      </c>
      <c r="C3308" s="28" t="s">
        <v>969</v>
      </c>
      <c r="D3308" s="29" t="s">
        <v>10</v>
      </c>
      <c r="E3308" s="30" t="s">
        <v>357</v>
      </c>
      <c r="F3308" s="28" t="s">
        <v>356</v>
      </c>
      <c r="G3308" s="30" t="s">
        <v>797</v>
      </c>
      <c r="H3308" t="str">
        <f>CONCATENATE(Prequal[[#This Row],[CITY]], ", ",Prequal[[#This Row],[STATE]])</f>
        <v>Lombard, IL</v>
      </c>
    </row>
    <row r="3309" spans="2:8" x14ac:dyDescent="0.2">
      <c r="B3309" s="27" t="s">
        <v>543</v>
      </c>
      <c r="C3309" s="28" t="s">
        <v>969</v>
      </c>
      <c r="D3309" s="29" t="s">
        <v>21</v>
      </c>
      <c r="E3309" s="30" t="s">
        <v>357</v>
      </c>
      <c r="F3309" s="28" t="s">
        <v>356</v>
      </c>
      <c r="G3309" s="30" t="s">
        <v>797</v>
      </c>
      <c r="H3309" t="str">
        <f>CONCATENATE(Prequal[[#This Row],[CITY]], ", ",Prequal[[#This Row],[STATE]])</f>
        <v>Lombard, IL</v>
      </c>
    </row>
    <row r="3310" spans="2:8" x14ac:dyDescent="0.2">
      <c r="B3310" s="27" t="s">
        <v>543</v>
      </c>
      <c r="C3310" s="28" t="s">
        <v>969</v>
      </c>
      <c r="D3310" s="29" t="s">
        <v>51</v>
      </c>
      <c r="E3310" s="30" t="s">
        <v>357</v>
      </c>
      <c r="F3310" s="28" t="s">
        <v>356</v>
      </c>
      <c r="G3310" s="30" t="s">
        <v>797</v>
      </c>
      <c r="H3310" t="str">
        <f>CONCATENATE(Prequal[[#This Row],[CITY]], ", ",Prequal[[#This Row],[STATE]])</f>
        <v>Lombard, IL</v>
      </c>
    </row>
    <row r="3311" spans="2:8" x14ac:dyDescent="0.2">
      <c r="B3311" s="27" t="s">
        <v>543</v>
      </c>
      <c r="C3311" s="28" t="s">
        <v>969</v>
      </c>
      <c r="D3311" s="29" t="s">
        <v>29</v>
      </c>
      <c r="E3311" s="30" t="s">
        <v>357</v>
      </c>
      <c r="F3311" s="28" t="s">
        <v>356</v>
      </c>
      <c r="G3311" s="30" t="s">
        <v>797</v>
      </c>
      <c r="H3311" t="str">
        <f>CONCATENATE(Prequal[[#This Row],[CITY]], ", ",Prequal[[#This Row],[STATE]])</f>
        <v>Lombard, IL</v>
      </c>
    </row>
    <row r="3312" spans="2:8" x14ac:dyDescent="0.2">
      <c r="B3312" s="27" t="s">
        <v>982</v>
      </c>
      <c r="C3312" s="28" t="s">
        <v>969</v>
      </c>
      <c r="D3312" s="29" t="s">
        <v>976</v>
      </c>
      <c r="E3312" s="30" t="s">
        <v>983</v>
      </c>
      <c r="F3312" s="28" t="s">
        <v>356</v>
      </c>
      <c r="G3312" s="30" t="s">
        <v>984</v>
      </c>
      <c r="H3312" t="str">
        <f>CONCATENATE(Prequal[[#This Row],[CITY]], ", ",Prequal[[#This Row],[STATE]])</f>
        <v>Byron, IL</v>
      </c>
    </row>
    <row r="3313" spans="2:8" x14ac:dyDescent="0.2">
      <c r="B3313" s="27" t="s">
        <v>331</v>
      </c>
      <c r="C3313" s="28" t="s">
        <v>969</v>
      </c>
      <c r="D3313" s="29" t="s">
        <v>29</v>
      </c>
      <c r="E3313" s="30" t="s">
        <v>494</v>
      </c>
      <c r="F3313" s="28" t="s">
        <v>356</v>
      </c>
      <c r="G3313" s="30" t="s">
        <v>874</v>
      </c>
      <c r="H3313" t="str">
        <f>CONCATENATE(Prequal[[#This Row],[CITY]], ", ",Prequal[[#This Row],[STATE]])</f>
        <v>Woodstock, IL</v>
      </c>
    </row>
    <row r="3314" spans="2:8" x14ac:dyDescent="0.2">
      <c r="B3314" s="27" t="s">
        <v>332</v>
      </c>
      <c r="C3314" s="28" t="s">
        <v>969</v>
      </c>
      <c r="D3314" s="29" t="s">
        <v>4</v>
      </c>
      <c r="E3314" s="30" t="s">
        <v>367</v>
      </c>
      <c r="F3314" s="28" t="s">
        <v>356</v>
      </c>
      <c r="G3314" s="30" t="s">
        <v>798</v>
      </c>
      <c r="H3314" t="str">
        <f>CONCATENATE(Prequal[[#This Row],[CITY]], ", ",Prequal[[#This Row],[STATE]])</f>
        <v>Springfield, IL</v>
      </c>
    </row>
    <row r="3315" spans="2:8" x14ac:dyDescent="0.2">
      <c r="B3315" s="27" t="s">
        <v>332</v>
      </c>
      <c r="C3315" s="28" t="s">
        <v>969</v>
      </c>
      <c r="D3315" s="29" t="s">
        <v>5</v>
      </c>
      <c r="E3315" s="30" t="s">
        <v>367</v>
      </c>
      <c r="F3315" s="28" t="s">
        <v>356</v>
      </c>
      <c r="G3315" s="30" t="s">
        <v>798</v>
      </c>
      <c r="H3315" t="str">
        <f>CONCATENATE(Prequal[[#This Row],[CITY]], ", ",Prequal[[#This Row],[STATE]])</f>
        <v>Springfield, IL</v>
      </c>
    </row>
    <row r="3316" spans="2:8" x14ac:dyDescent="0.2">
      <c r="B3316" s="27" t="s">
        <v>332</v>
      </c>
      <c r="C3316" s="28" t="s">
        <v>969</v>
      </c>
      <c r="D3316" s="29" t="s">
        <v>7</v>
      </c>
      <c r="E3316" s="30" t="s">
        <v>367</v>
      </c>
      <c r="F3316" s="28" t="s">
        <v>356</v>
      </c>
      <c r="G3316" s="30" t="s">
        <v>798</v>
      </c>
      <c r="H3316" t="str">
        <f>CONCATENATE(Prequal[[#This Row],[CITY]], ", ",Prequal[[#This Row],[STATE]])</f>
        <v>Springfield, IL</v>
      </c>
    </row>
    <row r="3317" spans="2:8" x14ac:dyDescent="0.2">
      <c r="B3317" s="27" t="s">
        <v>332</v>
      </c>
      <c r="C3317" s="28" t="s">
        <v>969</v>
      </c>
      <c r="D3317" s="29" t="s">
        <v>8</v>
      </c>
      <c r="E3317" s="30" t="s">
        <v>367</v>
      </c>
      <c r="F3317" s="28" t="s">
        <v>356</v>
      </c>
      <c r="G3317" s="30" t="s">
        <v>798</v>
      </c>
      <c r="H3317" t="str">
        <f>CONCATENATE(Prequal[[#This Row],[CITY]], ", ",Prequal[[#This Row],[STATE]])</f>
        <v>Springfield, IL</v>
      </c>
    </row>
    <row r="3318" spans="2:8" x14ac:dyDescent="0.2">
      <c r="B3318" s="27" t="s">
        <v>332</v>
      </c>
      <c r="C3318" s="28" t="s">
        <v>969</v>
      </c>
      <c r="D3318" s="29" t="s">
        <v>25</v>
      </c>
      <c r="E3318" s="30" t="s">
        <v>367</v>
      </c>
      <c r="F3318" s="28" t="s">
        <v>356</v>
      </c>
      <c r="G3318" s="30" t="s">
        <v>798</v>
      </c>
      <c r="H3318" t="str">
        <f>CONCATENATE(Prequal[[#This Row],[CITY]], ", ",Prequal[[#This Row],[STATE]])</f>
        <v>Springfield, IL</v>
      </c>
    </row>
    <row r="3319" spans="2:8" x14ac:dyDescent="0.2">
      <c r="B3319" s="27" t="s">
        <v>332</v>
      </c>
      <c r="C3319" s="28" t="s">
        <v>969</v>
      </c>
      <c r="D3319" s="29" t="s">
        <v>9</v>
      </c>
      <c r="E3319" s="30" t="s">
        <v>367</v>
      </c>
      <c r="F3319" s="28" t="s">
        <v>356</v>
      </c>
      <c r="G3319" s="30" t="s">
        <v>798</v>
      </c>
      <c r="H3319" t="str">
        <f>CONCATENATE(Prequal[[#This Row],[CITY]], ", ",Prequal[[#This Row],[STATE]])</f>
        <v>Springfield, IL</v>
      </c>
    </row>
    <row r="3320" spans="2:8" x14ac:dyDescent="0.2">
      <c r="B3320" s="31" t="s">
        <v>332</v>
      </c>
      <c r="C3320" s="32" t="s">
        <v>969</v>
      </c>
      <c r="D3320" s="33" t="s">
        <v>27</v>
      </c>
      <c r="E3320" s="30" t="s">
        <v>367</v>
      </c>
      <c r="F3320" s="32" t="s">
        <v>356</v>
      </c>
      <c r="G3320" s="30" t="s">
        <v>798</v>
      </c>
      <c r="H3320" t="str">
        <f>CONCATENATE(Prequal[[#This Row],[CITY]], ", ",Prequal[[#This Row],[STATE]])</f>
        <v>Springfield, IL</v>
      </c>
    </row>
    <row r="3321" spans="2:8" x14ac:dyDescent="0.2">
      <c r="B3321" s="31" t="s">
        <v>332</v>
      </c>
      <c r="C3321" s="32" t="s">
        <v>969</v>
      </c>
      <c r="D3321" s="33" t="s">
        <v>21</v>
      </c>
      <c r="E3321" s="30" t="s">
        <v>367</v>
      </c>
      <c r="F3321" s="32" t="s">
        <v>356</v>
      </c>
      <c r="G3321" s="30" t="s">
        <v>798</v>
      </c>
      <c r="H3321" t="str">
        <f>CONCATENATE(Prequal[[#This Row],[CITY]], ", ",Prequal[[#This Row],[STATE]])</f>
        <v>Springfield, IL</v>
      </c>
    </row>
    <row r="3322" spans="2:8" x14ac:dyDescent="0.2">
      <c r="B3322" s="27" t="s">
        <v>332</v>
      </c>
      <c r="C3322" s="28" t="s">
        <v>969</v>
      </c>
      <c r="D3322" s="29" t="s">
        <v>29</v>
      </c>
      <c r="E3322" s="30" t="s">
        <v>367</v>
      </c>
      <c r="F3322" s="28" t="s">
        <v>356</v>
      </c>
      <c r="G3322" s="30" t="s">
        <v>798</v>
      </c>
      <c r="H3322" t="str">
        <f>CONCATENATE(Prequal[[#This Row],[CITY]], ", ",Prequal[[#This Row],[STATE]])</f>
        <v>Springfield, IL</v>
      </c>
    </row>
    <row r="3323" spans="2:8" x14ac:dyDescent="0.2">
      <c r="B3323" s="27" t="s">
        <v>332</v>
      </c>
      <c r="C3323" s="28" t="s">
        <v>969</v>
      </c>
      <c r="D3323" s="29" t="s">
        <v>13</v>
      </c>
      <c r="E3323" s="30" t="s">
        <v>367</v>
      </c>
      <c r="F3323" s="28" t="s">
        <v>356</v>
      </c>
      <c r="G3323" s="30" t="s">
        <v>798</v>
      </c>
      <c r="H3323" t="str">
        <f>CONCATENATE(Prequal[[#This Row],[CITY]], ", ",Prequal[[#This Row],[STATE]])</f>
        <v>Springfield, IL</v>
      </c>
    </row>
    <row r="3324" spans="2:8" x14ac:dyDescent="0.2">
      <c r="B3324" s="27" t="s">
        <v>332</v>
      </c>
      <c r="C3324" s="28" t="s">
        <v>969</v>
      </c>
      <c r="D3324" s="29" t="s">
        <v>14</v>
      </c>
      <c r="E3324" s="30" t="s">
        <v>367</v>
      </c>
      <c r="F3324" s="28" t="s">
        <v>356</v>
      </c>
      <c r="G3324" s="30" t="s">
        <v>798</v>
      </c>
      <c r="H3324" t="str">
        <f>CONCATENATE(Prequal[[#This Row],[CITY]], ", ",Prequal[[#This Row],[STATE]])</f>
        <v>Springfield, IL</v>
      </c>
    </row>
    <row r="3325" spans="2:8" x14ac:dyDescent="0.2">
      <c r="B3325" s="27" t="s">
        <v>332</v>
      </c>
      <c r="C3325" s="28" t="s">
        <v>969</v>
      </c>
      <c r="D3325" s="29" t="s">
        <v>15</v>
      </c>
      <c r="E3325" s="30" t="s">
        <v>367</v>
      </c>
      <c r="F3325" s="28" t="s">
        <v>356</v>
      </c>
      <c r="G3325" s="30" t="s">
        <v>798</v>
      </c>
      <c r="H3325" t="str">
        <f>CONCATENATE(Prequal[[#This Row],[CITY]], ", ",Prequal[[#This Row],[STATE]])</f>
        <v>Springfield, IL</v>
      </c>
    </row>
    <row r="3326" spans="2:8" x14ac:dyDescent="0.2">
      <c r="B3326" s="27" t="s">
        <v>332</v>
      </c>
      <c r="C3326" s="28" t="s">
        <v>969</v>
      </c>
      <c r="D3326" s="29" t="s">
        <v>30</v>
      </c>
      <c r="E3326" s="30" t="s">
        <v>367</v>
      </c>
      <c r="F3326" s="28" t="s">
        <v>356</v>
      </c>
      <c r="G3326" s="30" t="s">
        <v>798</v>
      </c>
      <c r="H3326" t="str">
        <f>CONCATENATE(Prequal[[#This Row],[CITY]], ", ",Prequal[[#This Row],[STATE]])</f>
        <v>Springfield, IL</v>
      </c>
    </row>
    <row r="3327" spans="2:8" x14ac:dyDescent="0.2">
      <c r="B3327" s="27" t="s">
        <v>332</v>
      </c>
      <c r="C3327" s="28" t="s">
        <v>969</v>
      </c>
      <c r="D3327" s="29" t="s">
        <v>31</v>
      </c>
      <c r="E3327" s="30" t="s">
        <v>367</v>
      </c>
      <c r="F3327" s="28" t="s">
        <v>356</v>
      </c>
      <c r="G3327" s="30" t="s">
        <v>798</v>
      </c>
      <c r="H3327" t="str">
        <f>CONCATENATE(Prequal[[#This Row],[CITY]], ", ",Prequal[[#This Row],[STATE]])</f>
        <v>Springfield, IL</v>
      </c>
    </row>
    <row r="3328" spans="2:8" x14ac:dyDescent="0.2">
      <c r="B3328" s="27" t="s">
        <v>332</v>
      </c>
      <c r="C3328" s="28" t="s">
        <v>969</v>
      </c>
      <c r="D3328" s="29" t="s">
        <v>32</v>
      </c>
      <c r="E3328" s="30" t="s">
        <v>367</v>
      </c>
      <c r="F3328" s="28" t="s">
        <v>356</v>
      </c>
      <c r="G3328" s="30" t="s">
        <v>798</v>
      </c>
      <c r="H3328" t="str">
        <f>CONCATENATE(Prequal[[#This Row],[CITY]], ", ",Prequal[[#This Row],[STATE]])</f>
        <v>Springfield, IL</v>
      </c>
    </row>
    <row r="3329" spans="2:8" x14ac:dyDescent="0.2">
      <c r="B3329" s="27" t="s">
        <v>866</v>
      </c>
      <c r="C3329" s="28" t="s">
        <v>970</v>
      </c>
      <c r="D3329" s="29" t="s">
        <v>70</v>
      </c>
      <c r="E3329" s="30" t="s">
        <v>867</v>
      </c>
      <c r="F3329" s="28" t="s">
        <v>868</v>
      </c>
      <c r="G3329" s="30" t="s">
        <v>869</v>
      </c>
      <c r="H3329" t="str">
        <f>CONCATENATE(Prequal[[#This Row],[CITY]], ", ",Prequal[[#This Row],[STATE]])</f>
        <v>Fullerton, CA</v>
      </c>
    </row>
    <row r="3330" spans="2:8" x14ac:dyDescent="0.2">
      <c r="B3330" s="27" t="s">
        <v>333</v>
      </c>
      <c r="C3330" s="28" t="s">
        <v>969</v>
      </c>
      <c r="D3330" s="29" t="s">
        <v>43</v>
      </c>
      <c r="E3330" s="30" t="s">
        <v>471</v>
      </c>
      <c r="F3330" s="28" t="s">
        <v>356</v>
      </c>
      <c r="G3330" s="30" t="s">
        <v>799</v>
      </c>
      <c r="H3330" t="str">
        <f>CONCATENATE(Prequal[[#This Row],[CITY]], ", ",Prequal[[#This Row],[STATE]])</f>
        <v>Collinsville, IL</v>
      </c>
    </row>
    <row r="3331" spans="2:8" x14ac:dyDescent="0.2">
      <c r="B3331" s="27" t="s">
        <v>333</v>
      </c>
      <c r="C3331" s="28" t="s">
        <v>969</v>
      </c>
      <c r="D3331" s="29" t="s">
        <v>44</v>
      </c>
      <c r="E3331" s="30" t="s">
        <v>471</v>
      </c>
      <c r="F3331" s="28" t="s">
        <v>356</v>
      </c>
      <c r="G3331" s="30" t="s">
        <v>799</v>
      </c>
      <c r="H3331" t="str">
        <f>CONCATENATE(Prequal[[#This Row],[CITY]], ", ",Prequal[[#This Row],[STATE]])</f>
        <v>Collinsville, IL</v>
      </c>
    </row>
    <row r="3332" spans="2:8" x14ac:dyDescent="0.2">
      <c r="B3332" s="27" t="s">
        <v>333</v>
      </c>
      <c r="C3332" s="28" t="s">
        <v>969</v>
      </c>
      <c r="D3332" s="29" t="s">
        <v>4</v>
      </c>
      <c r="E3332" s="30" t="s">
        <v>471</v>
      </c>
      <c r="F3332" s="28" t="s">
        <v>356</v>
      </c>
      <c r="G3332" s="30" t="s">
        <v>799</v>
      </c>
      <c r="H3332" t="str">
        <f>CONCATENATE(Prequal[[#This Row],[CITY]], ", ",Prequal[[#This Row],[STATE]])</f>
        <v>Collinsville, IL</v>
      </c>
    </row>
    <row r="3333" spans="2:8" x14ac:dyDescent="0.2">
      <c r="B3333" s="27" t="s">
        <v>333</v>
      </c>
      <c r="C3333" s="28" t="s">
        <v>969</v>
      </c>
      <c r="D3333" s="29" t="s">
        <v>5</v>
      </c>
      <c r="E3333" s="30" t="s">
        <v>471</v>
      </c>
      <c r="F3333" s="28" t="s">
        <v>356</v>
      </c>
      <c r="G3333" s="30" t="s">
        <v>799</v>
      </c>
      <c r="H3333" t="str">
        <f>CONCATENATE(Prequal[[#This Row],[CITY]], ", ",Prequal[[#This Row],[STATE]])</f>
        <v>Collinsville, IL</v>
      </c>
    </row>
    <row r="3334" spans="2:8" x14ac:dyDescent="0.2">
      <c r="B3334" s="27" t="s">
        <v>333</v>
      </c>
      <c r="C3334" s="28" t="s">
        <v>969</v>
      </c>
      <c r="D3334" s="29" t="s">
        <v>7</v>
      </c>
      <c r="E3334" s="30" t="s">
        <v>471</v>
      </c>
      <c r="F3334" s="28" t="s">
        <v>356</v>
      </c>
      <c r="G3334" s="30" t="s">
        <v>799</v>
      </c>
      <c r="H3334" t="str">
        <f>CONCATENATE(Prequal[[#This Row],[CITY]], ", ",Prequal[[#This Row],[STATE]])</f>
        <v>Collinsville, IL</v>
      </c>
    </row>
    <row r="3335" spans="2:8" x14ac:dyDescent="0.2">
      <c r="B3335" s="27" t="s">
        <v>333</v>
      </c>
      <c r="C3335" s="28" t="s">
        <v>969</v>
      </c>
      <c r="D3335" s="29" t="s">
        <v>8</v>
      </c>
      <c r="E3335" s="30" t="s">
        <v>471</v>
      </c>
      <c r="F3335" s="28" t="s">
        <v>356</v>
      </c>
      <c r="G3335" s="30" t="s">
        <v>799</v>
      </c>
      <c r="H3335" t="str">
        <f>CONCATENATE(Prequal[[#This Row],[CITY]], ", ",Prequal[[#This Row],[STATE]])</f>
        <v>Collinsville, IL</v>
      </c>
    </row>
    <row r="3336" spans="2:8" x14ac:dyDescent="0.2">
      <c r="B3336" s="27" t="s">
        <v>333</v>
      </c>
      <c r="C3336" s="28" t="s">
        <v>969</v>
      </c>
      <c r="D3336" s="29" t="s">
        <v>24</v>
      </c>
      <c r="E3336" s="30" t="s">
        <v>471</v>
      </c>
      <c r="F3336" s="28" t="s">
        <v>356</v>
      </c>
      <c r="G3336" s="30" t="s">
        <v>799</v>
      </c>
      <c r="H3336" t="str">
        <f>CONCATENATE(Prequal[[#This Row],[CITY]], ", ",Prequal[[#This Row],[STATE]])</f>
        <v>Collinsville, IL</v>
      </c>
    </row>
    <row r="3337" spans="2:8" x14ac:dyDescent="0.2">
      <c r="B3337" s="27" t="s">
        <v>333</v>
      </c>
      <c r="C3337" s="28" t="s">
        <v>969</v>
      </c>
      <c r="D3337" s="29" t="s">
        <v>25</v>
      </c>
      <c r="E3337" s="30" t="s">
        <v>471</v>
      </c>
      <c r="F3337" s="28" t="s">
        <v>356</v>
      </c>
      <c r="G3337" s="30" t="s">
        <v>799</v>
      </c>
      <c r="H3337" t="str">
        <f>CONCATENATE(Prequal[[#This Row],[CITY]], ", ",Prequal[[#This Row],[STATE]])</f>
        <v>Collinsville, IL</v>
      </c>
    </row>
    <row r="3338" spans="2:8" x14ac:dyDescent="0.2">
      <c r="B3338" s="27" t="s">
        <v>333</v>
      </c>
      <c r="C3338" s="28" t="s">
        <v>969</v>
      </c>
      <c r="D3338" s="29" t="s">
        <v>9</v>
      </c>
      <c r="E3338" s="30" t="s">
        <v>471</v>
      </c>
      <c r="F3338" s="28" t="s">
        <v>356</v>
      </c>
      <c r="G3338" s="30" t="s">
        <v>799</v>
      </c>
      <c r="H3338" t="str">
        <f>CONCATENATE(Prequal[[#This Row],[CITY]], ", ",Prequal[[#This Row],[STATE]])</f>
        <v>Collinsville, IL</v>
      </c>
    </row>
    <row r="3339" spans="2:8" x14ac:dyDescent="0.2">
      <c r="B3339" s="27" t="s">
        <v>333</v>
      </c>
      <c r="C3339" s="28" t="s">
        <v>969</v>
      </c>
      <c r="D3339" s="29" t="s">
        <v>26</v>
      </c>
      <c r="E3339" s="30" t="s">
        <v>471</v>
      </c>
      <c r="F3339" s="28" t="s">
        <v>356</v>
      </c>
      <c r="G3339" s="30" t="s">
        <v>799</v>
      </c>
      <c r="H3339" t="str">
        <f>CONCATENATE(Prequal[[#This Row],[CITY]], ", ",Prequal[[#This Row],[STATE]])</f>
        <v>Collinsville, IL</v>
      </c>
    </row>
    <row r="3340" spans="2:8" x14ac:dyDescent="0.2">
      <c r="B3340" s="27" t="s">
        <v>333</v>
      </c>
      <c r="C3340" s="28" t="s">
        <v>969</v>
      </c>
      <c r="D3340" s="29" t="s">
        <v>20</v>
      </c>
      <c r="E3340" s="30" t="s">
        <v>471</v>
      </c>
      <c r="F3340" s="28" t="s">
        <v>356</v>
      </c>
      <c r="G3340" s="30" t="s">
        <v>799</v>
      </c>
      <c r="H3340" t="str">
        <f>CONCATENATE(Prequal[[#This Row],[CITY]], ", ",Prequal[[#This Row],[STATE]])</f>
        <v>Collinsville, IL</v>
      </c>
    </row>
    <row r="3341" spans="2:8" x14ac:dyDescent="0.2">
      <c r="B3341" s="27" t="s">
        <v>333</v>
      </c>
      <c r="C3341" s="28" t="s">
        <v>969</v>
      </c>
      <c r="D3341" s="29" t="s">
        <v>27</v>
      </c>
      <c r="E3341" s="30" t="s">
        <v>471</v>
      </c>
      <c r="F3341" s="28" t="s">
        <v>356</v>
      </c>
      <c r="G3341" s="30" t="s">
        <v>799</v>
      </c>
      <c r="H3341" t="str">
        <f>CONCATENATE(Prequal[[#This Row],[CITY]], ", ",Prequal[[#This Row],[STATE]])</f>
        <v>Collinsville, IL</v>
      </c>
    </row>
    <row r="3342" spans="2:8" x14ac:dyDescent="0.2">
      <c r="B3342" s="31" t="s">
        <v>333</v>
      </c>
      <c r="C3342" s="32" t="s">
        <v>969</v>
      </c>
      <c r="D3342" s="33" t="s">
        <v>81</v>
      </c>
      <c r="E3342" s="30" t="s">
        <v>471</v>
      </c>
      <c r="F3342" s="32" t="s">
        <v>356</v>
      </c>
      <c r="G3342" s="30" t="s">
        <v>799</v>
      </c>
      <c r="H3342" t="str">
        <f>CONCATENATE(Prequal[[#This Row],[CITY]], ", ",Prequal[[#This Row],[STATE]])</f>
        <v>Collinsville, IL</v>
      </c>
    </row>
    <row r="3343" spans="2:8" x14ac:dyDescent="0.2">
      <c r="B3343" s="31" t="s">
        <v>333</v>
      </c>
      <c r="C3343" s="32" t="s">
        <v>969</v>
      </c>
      <c r="D3343" s="33" t="s">
        <v>10</v>
      </c>
      <c r="E3343" s="30" t="s">
        <v>471</v>
      </c>
      <c r="F3343" s="32" t="s">
        <v>356</v>
      </c>
      <c r="G3343" s="30" t="s">
        <v>799</v>
      </c>
      <c r="H3343" t="str">
        <f>CONCATENATE(Prequal[[#This Row],[CITY]], ", ",Prequal[[#This Row],[STATE]])</f>
        <v>Collinsville, IL</v>
      </c>
    </row>
    <row r="3344" spans="2:8" x14ac:dyDescent="0.2">
      <c r="B3344" s="31" t="s">
        <v>333</v>
      </c>
      <c r="C3344" s="32" t="s">
        <v>969</v>
      </c>
      <c r="D3344" s="33" t="s">
        <v>63</v>
      </c>
      <c r="E3344" s="30" t="s">
        <v>471</v>
      </c>
      <c r="F3344" s="32" t="s">
        <v>356</v>
      </c>
      <c r="G3344" s="30" t="s">
        <v>799</v>
      </c>
      <c r="H3344" t="str">
        <f>CONCATENATE(Prequal[[#This Row],[CITY]], ", ",Prequal[[#This Row],[STATE]])</f>
        <v>Collinsville, IL</v>
      </c>
    </row>
    <row r="3345" spans="2:8" x14ac:dyDescent="0.2">
      <c r="B3345" s="27" t="s">
        <v>333</v>
      </c>
      <c r="C3345" s="28" t="s">
        <v>969</v>
      </c>
      <c r="D3345" s="29" t="s">
        <v>39</v>
      </c>
      <c r="E3345" s="30" t="s">
        <v>471</v>
      </c>
      <c r="F3345" s="28" t="s">
        <v>356</v>
      </c>
      <c r="G3345" s="30" t="s">
        <v>799</v>
      </c>
      <c r="H3345" t="str">
        <f>CONCATENATE(Prequal[[#This Row],[CITY]], ", ",Prequal[[#This Row],[STATE]])</f>
        <v>Collinsville, IL</v>
      </c>
    </row>
    <row r="3346" spans="2:8" x14ac:dyDescent="0.2">
      <c r="B3346" s="27" t="s">
        <v>333</v>
      </c>
      <c r="C3346" s="28" t="s">
        <v>969</v>
      </c>
      <c r="D3346" s="29" t="s">
        <v>29</v>
      </c>
      <c r="E3346" s="30" t="s">
        <v>471</v>
      </c>
      <c r="F3346" s="28" t="s">
        <v>356</v>
      </c>
      <c r="G3346" s="30" t="s">
        <v>799</v>
      </c>
      <c r="H3346" t="str">
        <f>CONCATENATE(Prequal[[#This Row],[CITY]], ", ",Prequal[[#This Row],[STATE]])</f>
        <v>Collinsville, IL</v>
      </c>
    </row>
    <row r="3347" spans="2:8" x14ac:dyDescent="0.2">
      <c r="B3347" s="27" t="s">
        <v>333</v>
      </c>
      <c r="C3347" s="28" t="s">
        <v>969</v>
      </c>
      <c r="D3347" s="29" t="s">
        <v>37</v>
      </c>
      <c r="E3347" s="30" t="s">
        <v>471</v>
      </c>
      <c r="F3347" s="28" t="s">
        <v>356</v>
      </c>
      <c r="G3347" s="30" t="s">
        <v>799</v>
      </c>
      <c r="H3347" t="str">
        <f>CONCATENATE(Prequal[[#This Row],[CITY]], ", ",Prequal[[#This Row],[STATE]])</f>
        <v>Collinsville, IL</v>
      </c>
    </row>
    <row r="3348" spans="2:8" x14ac:dyDescent="0.2">
      <c r="B3348" s="31" t="s">
        <v>333</v>
      </c>
      <c r="C3348" s="32" t="s">
        <v>969</v>
      </c>
      <c r="D3348" s="33" t="s">
        <v>13</v>
      </c>
      <c r="E3348" s="34" t="s">
        <v>471</v>
      </c>
      <c r="F3348" s="32" t="s">
        <v>356</v>
      </c>
      <c r="G3348" s="30" t="s">
        <v>799</v>
      </c>
      <c r="H3348" t="str">
        <f>CONCATENATE(Prequal[[#This Row],[CITY]], ", ",Prequal[[#This Row],[STATE]])</f>
        <v>Collinsville, IL</v>
      </c>
    </row>
    <row r="3349" spans="2:8" x14ac:dyDescent="0.2">
      <c r="B3349" s="31" t="s">
        <v>333</v>
      </c>
      <c r="C3349" s="32" t="s">
        <v>969</v>
      </c>
      <c r="D3349" s="33" t="s">
        <v>14</v>
      </c>
      <c r="E3349" s="34" t="s">
        <v>471</v>
      </c>
      <c r="F3349" s="32" t="s">
        <v>356</v>
      </c>
      <c r="G3349" s="30" t="s">
        <v>799</v>
      </c>
      <c r="H3349" t="str">
        <f>CONCATENATE(Prequal[[#This Row],[CITY]], ", ",Prequal[[#This Row],[STATE]])</f>
        <v>Collinsville, IL</v>
      </c>
    </row>
    <row r="3350" spans="2:8" x14ac:dyDescent="0.2">
      <c r="B3350" s="31" t="s">
        <v>333</v>
      </c>
      <c r="C3350" s="32" t="s">
        <v>969</v>
      </c>
      <c r="D3350" s="33" t="s">
        <v>15</v>
      </c>
      <c r="E3350" s="34" t="s">
        <v>471</v>
      </c>
      <c r="F3350" s="32" t="s">
        <v>356</v>
      </c>
      <c r="G3350" s="30" t="s">
        <v>799</v>
      </c>
      <c r="H3350" t="str">
        <f>CONCATENATE(Prequal[[#This Row],[CITY]], ", ",Prequal[[#This Row],[STATE]])</f>
        <v>Collinsville, IL</v>
      </c>
    </row>
    <row r="3351" spans="2:8" x14ac:dyDescent="0.2">
      <c r="B3351" s="31" t="s">
        <v>333</v>
      </c>
      <c r="C3351" s="32" t="s">
        <v>969</v>
      </c>
      <c r="D3351" s="33" t="s">
        <v>30</v>
      </c>
      <c r="E3351" s="34" t="s">
        <v>471</v>
      </c>
      <c r="F3351" s="32" t="s">
        <v>356</v>
      </c>
      <c r="G3351" s="30" t="s">
        <v>799</v>
      </c>
      <c r="H3351" t="str">
        <f>CONCATENATE(Prequal[[#This Row],[CITY]], ", ",Prequal[[#This Row],[STATE]])</f>
        <v>Collinsville, IL</v>
      </c>
    </row>
    <row r="3352" spans="2:8" x14ac:dyDescent="0.2">
      <c r="B3352" s="31" t="s">
        <v>333</v>
      </c>
      <c r="C3352" s="32" t="s">
        <v>969</v>
      </c>
      <c r="D3352" s="33" t="s">
        <v>53</v>
      </c>
      <c r="E3352" s="34" t="s">
        <v>471</v>
      </c>
      <c r="F3352" s="32" t="s">
        <v>356</v>
      </c>
      <c r="G3352" s="30" t="s">
        <v>799</v>
      </c>
      <c r="H3352" t="str">
        <f>CONCATENATE(Prequal[[#This Row],[CITY]], ", ",Prequal[[#This Row],[STATE]])</f>
        <v>Collinsville, IL</v>
      </c>
    </row>
    <row r="3353" spans="2:8" x14ac:dyDescent="0.2">
      <c r="B3353" s="31" t="s">
        <v>333</v>
      </c>
      <c r="C3353" s="32" t="s">
        <v>969</v>
      </c>
      <c r="D3353" s="33" t="s">
        <v>31</v>
      </c>
      <c r="E3353" s="34" t="s">
        <v>471</v>
      </c>
      <c r="F3353" s="32" t="s">
        <v>356</v>
      </c>
      <c r="G3353" s="30" t="s">
        <v>799</v>
      </c>
      <c r="H3353" t="str">
        <f>CONCATENATE(Prequal[[#This Row],[CITY]], ", ",Prequal[[#This Row],[STATE]])</f>
        <v>Collinsville, IL</v>
      </c>
    </row>
    <row r="3354" spans="2:8" x14ac:dyDescent="0.2">
      <c r="B3354" s="31" t="s">
        <v>333</v>
      </c>
      <c r="C3354" s="32" t="s">
        <v>969</v>
      </c>
      <c r="D3354" s="33" t="s">
        <v>32</v>
      </c>
      <c r="E3354" s="34" t="s">
        <v>471</v>
      </c>
      <c r="F3354" s="32" t="s">
        <v>356</v>
      </c>
      <c r="G3354" s="30" t="s">
        <v>799</v>
      </c>
      <c r="H3354" t="str">
        <f>CONCATENATE(Prequal[[#This Row],[CITY]], ", ",Prequal[[#This Row],[STATE]])</f>
        <v>Collinsville, IL</v>
      </c>
    </row>
    <row r="3355" spans="2:8" x14ac:dyDescent="0.2">
      <c r="B3355" s="31" t="s">
        <v>334</v>
      </c>
      <c r="C3355" s="32" t="s">
        <v>969</v>
      </c>
      <c r="D3355" s="33" t="s">
        <v>45</v>
      </c>
      <c r="E3355" s="34" t="s">
        <v>357</v>
      </c>
      <c r="F3355" s="32" t="s">
        <v>356</v>
      </c>
      <c r="G3355" s="30" t="s">
        <v>945</v>
      </c>
      <c r="H3355" t="str">
        <f>CONCATENATE(Prequal[[#This Row],[CITY]], ", ",Prequal[[#This Row],[STATE]])</f>
        <v>Lombard, IL</v>
      </c>
    </row>
    <row r="3356" spans="2:8" x14ac:dyDescent="0.2">
      <c r="B3356" s="31" t="s">
        <v>334</v>
      </c>
      <c r="C3356" s="32" t="s">
        <v>969</v>
      </c>
      <c r="D3356" s="33" t="s">
        <v>46</v>
      </c>
      <c r="E3356" s="34" t="s">
        <v>357</v>
      </c>
      <c r="F3356" s="32" t="s">
        <v>356</v>
      </c>
      <c r="G3356" s="30" t="s">
        <v>945</v>
      </c>
      <c r="H3356" t="str">
        <f>CONCATENATE(Prequal[[#This Row],[CITY]], ", ",Prequal[[#This Row],[STATE]])</f>
        <v>Lombard, IL</v>
      </c>
    </row>
    <row r="3357" spans="2:8" x14ac:dyDescent="0.2">
      <c r="B3357" s="31" t="s">
        <v>334</v>
      </c>
      <c r="C3357" s="32" t="s">
        <v>969</v>
      </c>
      <c r="D3357" s="33" t="s">
        <v>47</v>
      </c>
      <c r="E3357" s="34" t="s">
        <v>357</v>
      </c>
      <c r="F3357" s="32" t="s">
        <v>356</v>
      </c>
      <c r="G3357" s="30" t="s">
        <v>945</v>
      </c>
      <c r="H3357" t="str">
        <f>CONCATENATE(Prequal[[#This Row],[CITY]], ", ",Prequal[[#This Row],[STATE]])</f>
        <v>Lombard, IL</v>
      </c>
    </row>
    <row r="3358" spans="2:8" x14ac:dyDescent="0.2">
      <c r="B3358" s="31" t="s">
        <v>334</v>
      </c>
      <c r="C3358" s="32" t="s">
        <v>969</v>
      </c>
      <c r="D3358" s="33" t="s">
        <v>48</v>
      </c>
      <c r="E3358" s="34" t="s">
        <v>357</v>
      </c>
      <c r="F3358" s="32" t="s">
        <v>356</v>
      </c>
      <c r="G3358" s="30" t="s">
        <v>945</v>
      </c>
      <c r="H3358" t="str">
        <f>CONCATENATE(Prequal[[#This Row],[CITY]], ", ",Prequal[[#This Row],[STATE]])</f>
        <v>Lombard, IL</v>
      </c>
    </row>
    <row r="3359" spans="2:8" x14ac:dyDescent="0.2">
      <c r="B3359" s="31" t="s">
        <v>335</v>
      </c>
      <c r="C3359" s="32" t="s">
        <v>970</v>
      </c>
      <c r="D3359" s="33" t="s">
        <v>4</v>
      </c>
      <c r="E3359" s="34" t="s">
        <v>947</v>
      </c>
      <c r="F3359" s="32" t="s">
        <v>356</v>
      </c>
      <c r="G3359" s="30" t="s">
        <v>800</v>
      </c>
      <c r="H3359" t="str">
        <f>CONCATENATE(Prequal[[#This Row],[CITY]], ", ",Prequal[[#This Row],[STATE]])</f>
        <v>Chicago, IL</v>
      </c>
    </row>
    <row r="3360" spans="2:8" x14ac:dyDescent="0.2">
      <c r="B3360" s="31" t="s">
        <v>335</v>
      </c>
      <c r="C3360" s="32" t="s">
        <v>970</v>
      </c>
      <c r="D3360" s="33" t="s">
        <v>5</v>
      </c>
      <c r="E3360" s="34" t="s">
        <v>947</v>
      </c>
      <c r="F3360" s="32" t="s">
        <v>356</v>
      </c>
      <c r="G3360" s="30" t="s">
        <v>800</v>
      </c>
      <c r="H3360" t="str">
        <f>CONCATENATE(Prequal[[#This Row],[CITY]], ", ",Prequal[[#This Row],[STATE]])</f>
        <v>Chicago, IL</v>
      </c>
    </row>
    <row r="3361" spans="2:8" x14ac:dyDescent="0.2">
      <c r="B3361" s="31" t="s">
        <v>335</v>
      </c>
      <c r="C3361" s="32" t="s">
        <v>970</v>
      </c>
      <c r="D3361" s="33" t="s">
        <v>25</v>
      </c>
      <c r="E3361" s="34" t="s">
        <v>947</v>
      </c>
      <c r="F3361" s="32" t="s">
        <v>356</v>
      </c>
      <c r="G3361" s="30" t="s">
        <v>800</v>
      </c>
      <c r="H3361" t="str">
        <f>CONCATENATE(Prequal[[#This Row],[CITY]], ", ",Prequal[[#This Row],[STATE]])</f>
        <v>Chicago, IL</v>
      </c>
    </row>
    <row r="3362" spans="2:8" x14ac:dyDescent="0.2">
      <c r="B3362" s="31" t="s">
        <v>335</v>
      </c>
      <c r="C3362" s="32" t="s">
        <v>970</v>
      </c>
      <c r="D3362" s="33" t="s">
        <v>9</v>
      </c>
      <c r="E3362" s="34" t="s">
        <v>947</v>
      </c>
      <c r="F3362" s="32" t="s">
        <v>356</v>
      </c>
      <c r="G3362" s="30" t="s">
        <v>800</v>
      </c>
      <c r="H3362" t="str">
        <f>CONCATENATE(Prequal[[#This Row],[CITY]], ", ",Prequal[[#This Row],[STATE]])</f>
        <v>Chicago, IL</v>
      </c>
    </row>
    <row r="3363" spans="2:8" x14ac:dyDescent="0.2">
      <c r="B3363" s="31" t="s">
        <v>335</v>
      </c>
      <c r="C3363" s="32" t="s">
        <v>970</v>
      </c>
      <c r="D3363" s="33" t="s">
        <v>26</v>
      </c>
      <c r="E3363" s="34" t="s">
        <v>947</v>
      </c>
      <c r="F3363" s="32" t="s">
        <v>356</v>
      </c>
      <c r="G3363" s="30" t="s">
        <v>800</v>
      </c>
      <c r="H3363" t="str">
        <f>CONCATENATE(Prequal[[#This Row],[CITY]], ", ",Prequal[[#This Row],[STATE]])</f>
        <v>Chicago, IL</v>
      </c>
    </row>
    <row r="3364" spans="2:8" x14ac:dyDescent="0.2">
      <c r="B3364" s="31" t="s">
        <v>335</v>
      </c>
      <c r="C3364" s="32" t="s">
        <v>970</v>
      </c>
      <c r="D3364" s="33" t="s">
        <v>20</v>
      </c>
      <c r="E3364" s="34" t="s">
        <v>947</v>
      </c>
      <c r="F3364" s="32" t="s">
        <v>356</v>
      </c>
      <c r="G3364" s="30" t="s">
        <v>800</v>
      </c>
      <c r="H3364" t="str">
        <f>CONCATENATE(Prequal[[#This Row],[CITY]], ", ",Prequal[[#This Row],[STATE]])</f>
        <v>Chicago, IL</v>
      </c>
    </row>
    <row r="3365" spans="2:8" x14ac:dyDescent="0.2">
      <c r="B3365" s="31" t="s">
        <v>335</v>
      </c>
      <c r="C3365" s="32" t="s">
        <v>970</v>
      </c>
      <c r="D3365" s="33" t="s">
        <v>27</v>
      </c>
      <c r="E3365" s="34" t="s">
        <v>947</v>
      </c>
      <c r="F3365" s="32" t="s">
        <v>356</v>
      </c>
      <c r="G3365" s="30" t="s">
        <v>800</v>
      </c>
      <c r="H3365" t="str">
        <f>CONCATENATE(Prequal[[#This Row],[CITY]], ", ",Prequal[[#This Row],[STATE]])</f>
        <v>Chicago, IL</v>
      </c>
    </row>
    <row r="3366" spans="2:8" x14ac:dyDescent="0.2">
      <c r="B3366" s="31" t="s">
        <v>335</v>
      </c>
      <c r="C3366" s="32" t="s">
        <v>970</v>
      </c>
      <c r="D3366" s="33" t="s">
        <v>10</v>
      </c>
      <c r="E3366" s="34" t="s">
        <v>947</v>
      </c>
      <c r="F3366" s="32" t="s">
        <v>356</v>
      </c>
      <c r="G3366" s="30" t="s">
        <v>800</v>
      </c>
      <c r="H3366" t="str">
        <f>CONCATENATE(Prequal[[#This Row],[CITY]], ", ",Prequal[[#This Row],[STATE]])</f>
        <v>Chicago, IL</v>
      </c>
    </row>
    <row r="3367" spans="2:8" x14ac:dyDescent="0.2">
      <c r="B3367" s="31" t="s">
        <v>335</v>
      </c>
      <c r="C3367" s="32" t="s">
        <v>970</v>
      </c>
      <c r="D3367" s="33" t="s">
        <v>21</v>
      </c>
      <c r="E3367" s="34" t="s">
        <v>947</v>
      </c>
      <c r="F3367" s="32" t="s">
        <v>356</v>
      </c>
      <c r="G3367" s="30" t="s">
        <v>800</v>
      </c>
      <c r="H3367" t="str">
        <f>CONCATENATE(Prequal[[#This Row],[CITY]], ", ",Prequal[[#This Row],[STATE]])</f>
        <v>Chicago, IL</v>
      </c>
    </row>
    <row r="3368" spans="2:8" x14ac:dyDescent="0.2">
      <c r="B3368" s="31" t="s">
        <v>335</v>
      </c>
      <c r="C3368" s="32" t="s">
        <v>970</v>
      </c>
      <c r="D3368" s="33" t="s">
        <v>51</v>
      </c>
      <c r="E3368" s="34" t="s">
        <v>947</v>
      </c>
      <c r="F3368" s="32" t="s">
        <v>356</v>
      </c>
      <c r="G3368" s="30" t="s">
        <v>800</v>
      </c>
      <c r="H3368" t="str">
        <f>CONCATENATE(Prequal[[#This Row],[CITY]], ", ",Prequal[[#This Row],[STATE]])</f>
        <v>Chicago, IL</v>
      </c>
    </row>
    <row r="3369" spans="2:8" x14ac:dyDescent="0.2">
      <c r="B3369" s="31" t="s">
        <v>335</v>
      </c>
      <c r="C3369" s="32" t="s">
        <v>970</v>
      </c>
      <c r="D3369" s="33" t="s">
        <v>14</v>
      </c>
      <c r="E3369" s="34" t="s">
        <v>947</v>
      </c>
      <c r="F3369" s="32" t="s">
        <v>356</v>
      </c>
      <c r="G3369" s="30" t="s">
        <v>800</v>
      </c>
      <c r="H3369" t="str">
        <f>CONCATENATE(Prequal[[#This Row],[CITY]], ", ",Prequal[[#This Row],[STATE]])</f>
        <v>Chicago, IL</v>
      </c>
    </row>
    <row r="3370" spans="2:8" x14ac:dyDescent="0.2">
      <c r="B3370" s="31" t="s">
        <v>336</v>
      </c>
      <c r="C3370" s="32" t="s">
        <v>970</v>
      </c>
      <c r="D3370" s="33" t="s">
        <v>4</v>
      </c>
      <c r="E3370" s="34" t="s">
        <v>360</v>
      </c>
      <c r="F3370" s="32" t="s">
        <v>356</v>
      </c>
      <c r="G3370" s="30" t="s">
        <v>1007</v>
      </c>
      <c r="H3370" t="str">
        <f>CONCATENATE(Prequal[[#This Row],[CITY]], ", ",Prequal[[#This Row],[STATE]])</f>
        <v>St. Charles, IL</v>
      </c>
    </row>
    <row r="3371" spans="2:8" x14ac:dyDescent="0.2">
      <c r="B3371" s="31" t="s">
        <v>336</v>
      </c>
      <c r="C3371" s="32" t="s">
        <v>970</v>
      </c>
      <c r="D3371" s="33" t="s">
        <v>5</v>
      </c>
      <c r="E3371" s="34" t="s">
        <v>360</v>
      </c>
      <c r="F3371" s="32" t="s">
        <v>356</v>
      </c>
      <c r="G3371" s="30" t="s">
        <v>1007</v>
      </c>
      <c r="H3371" t="str">
        <f>CONCATENATE(Prequal[[#This Row],[CITY]], ", ",Prequal[[#This Row],[STATE]])</f>
        <v>St. Charles, IL</v>
      </c>
    </row>
    <row r="3372" spans="2:8" x14ac:dyDescent="0.2">
      <c r="B3372" s="31" t="s">
        <v>336</v>
      </c>
      <c r="C3372" s="32" t="s">
        <v>970</v>
      </c>
      <c r="D3372" s="33" t="s">
        <v>7</v>
      </c>
      <c r="E3372" s="34" t="s">
        <v>360</v>
      </c>
      <c r="F3372" s="32" t="s">
        <v>356</v>
      </c>
      <c r="G3372" s="30" t="s">
        <v>1007</v>
      </c>
      <c r="H3372" t="str">
        <f>CONCATENATE(Prequal[[#This Row],[CITY]], ", ",Prequal[[#This Row],[STATE]])</f>
        <v>St. Charles, IL</v>
      </c>
    </row>
    <row r="3373" spans="2:8" x14ac:dyDescent="0.2">
      <c r="B3373" s="31" t="s">
        <v>336</v>
      </c>
      <c r="C3373" s="32" t="s">
        <v>970</v>
      </c>
      <c r="D3373" s="33" t="s">
        <v>8</v>
      </c>
      <c r="E3373" s="34" t="s">
        <v>360</v>
      </c>
      <c r="F3373" s="32" t="s">
        <v>356</v>
      </c>
      <c r="G3373" s="30" t="s">
        <v>1007</v>
      </c>
      <c r="H3373" t="str">
        <f>CONCATENATE(Prequal[[#This Row],[CITY]], ", ",Prequal[[#This Row],[STATE]])</f>
        <v>St. Charles, IL</v>
      </c>
    </row>
    <row r="3374" spans="2:8" x14ac:dyDescent="0.2">
      <c r="B3374" s="31" t="s">
        <v>336</v>
      </c>
      <c r="C3374" s="32" t="s">
        <v>970</v>
      </c>
      <c r="D3374" s="33" t="s">
        <v>24</v>
      </c>
      <c r="E3374" s="34" t="s">
        <v>360</v>
      </c>
      <c r="F3374" s="32" t="s">
        <v>356</v>
      </c>
      <c r="G3374" s="30" t="s">
        <v>1007</v>
      </c>
      <c r="H3374" t="str">
        <f>CONCATENATE(Prequal[[#This Row],[CITY]], ", ",Prequal[[#This Row],[STATE]])</f>
        <v>St. Charles, IL</v>
      </c>
    </row>
    <row r="3375" spans="2:8" x14ac:dyDescent="0.2">
      <c r="B3375" s="31" t="s">
        <v>336</v>
      </c>
      <c r="C3375" s="32" t="s">
        <v>970</v>
      </c>
      <c r="D3375" s="33" t="s">
        <v>25</v>
      </c>
      <c r="E3375" s="34" t="s">
        <v>360</v>
      </c>
      <c r="F3375" s="32" t="s">
        <v>356</v>
      </c>
      <c r="G3375" s="30" t="s">
        <v>1007</v>
      </c>
      <c r="H3375" t="str">
        <f>CONCATENATE(Prequal[[#This Row],[CITY]], ", ",Prequal[[#This Row],[STATE]])</f>
        <v>St. Charles, IL</v>
      </c>
    </row>
    <row r="3376" spans="2:8" x14ac:dyDescent="0.2">
      <c r="B3376" s="31" t="s">
        <v>336</v>
      </c>
      <c r="C3376" s="32" t="s">
        <v>970</v>
      </c>
      <c r="D3376" s="33" t="s">
        <v>9</v>
      </c>
      <c r="E3376" s="34" t="s">
        <v>360</v>
      </c>
      <c r="F3376" s="32" t="s">
        <v>356</v>
      </c>
      <c r="G3376" s="30" t="s">
        <v>1007</v>
      </c>
      <c r="H3376" t="str">
        <f>CONCATENATE(Prequal[[#This Row],[CITY]], ", ",Prequal[[#This Row],[STATE]])</f>
        <v>St. Charles, IL</v>
      </c>
    </row>
    <row r="3377" spans="2:8" x14ac:dyDescent="0.2">
      <c r="B3377" s="31" t="s">
        <v>336</v>
      </c>
      <c r="C3377" s="32" t="s">
        <v>970</v>
      </c>
      <c r="D3377" s="33" t="s">
        <v>27</v>
      </c>
      <c r="E3377" s="34" t="s">
        <v>360</v>
      </c>
      <c r="F3377" s="32" t="s">
        <v>356</v>
      </c>
      <c r="G3377" s="30" t="s">
        <v>1007</v>
      </c>
      <c r="H3377" t="str">
        <f>CONCATENATE(Prequal[[#This Row],[CITY]], ", ",Prequal[[#This Row],[STATE]])</f>
        <v>St. Charles, IL</v>
      </c>
    </row>
    <row r="3378" spans="2:8" x14ac:dyDescent="0.2">
      <c r="B3378" s="31" t="s">
        <v>336</v>
      </c>
      <c r="C3378" s="32" t="s">
        <v>970</v>
      </c>
      <c r="D3378" s="33" t="s">
        <v>10</v>
      </c>
      <c r="E3378" s="34" t="s">
        <v>360</v>
      </c>
      <c r="F3378" s="32" t="s">
        <v>356</v>
      </c>
      <c r="G3378" s="30" t="s">
        <v>1007</v>
      </c>
      <c r="H3378" t="str">
        <f>CONCATENATE(Prequal[[#This Row],[CITY]], ", ",Prequal[[#This Row],[STATE]])</f>
        <v>St. Charles, IL</v>
      </c>
    </row>
    <row r="3379" spans="2:8" x14ac:dyDescent="0.2">
      <c r="B3379" s="31" t="s">
        <v>336</v>
      </c>
      <c r="C3379" s="32" t="s">
        <v>970</v>
      </c>
      <c r="D3379" s="33" t="s">
        <v>37</v>
      </c>
      <c r="E3379" s="34" t="s">
        <v>360</v>
      </c>
      <c r="F3379" s="32" t="s">
        <v>356</v>
      </c>
      <c r="G3379" s="30" t="s">
        <v>1007</v>
      </c>
      <c r="H3379" t="str">
        <f>CONCATENATE(Prequal[[#This Row],[CITY]], ", ",Prequal[[#This Row],[STATE]])</f>
        <v>St. Charles, IL</v>
      </c>
    </row>
    <row r="3380" spans="2:8" x14ac:dyDescent="0.2">
      <c r="B3380" s="31" t="s">
        <v>336</v>
      </c>
      <c r="C3380" s="32" t="s">
        <v>970</v>
      </c>
      <c r="D3380" s="33" t="s">
        <v>13</v>
      </c>
      <c r="E3380" s="34" t="s">
        <v>360</v>
      </c>
      <c r="F3380" s="32" t="s">
        <v>356</v>
      </c>
      <c r="G3380" s="30" t="s">
        <v>1007</v>
      </c>
      <c r="H3380" t="str">
        <f>CONCATENATE(Prequal[[#This Row],[CITY]], ", ",Prequal[[#This Row],[STATE]])</f>
        <v>St. Charles, IL</v>
      </c>
    </row>
    <row r="3381" spans="2:8" x14ac:dyDescent="0.2">
      <c r="B3381" s="31" t="s">
        <v>336</v>
      </c>
      <c r="C3381" s="32" t="s">
        <v>970</v>
      </c>
      <c r="D3381" s="33" t="s">
        <v>14</v>
      </c>
      <c r="E3381" s="34" t="s">
        <v>360</v>
      </c>
      <c r="F3381" s="32" t="s">
        <v>356</v>
      </c>
      <c r="G3381" s="30" t="s">
        <v>1007</v>
      </c>
      <c r="H3381" t="str">
        <f>CONCATENATE(Prequal[[#This Row],[CITY]], ", ",Prequal[[#This Row],[STATE]])</f>
        <v>St. Charles, IL</v>
      </c>
    </row>
    <row r="3382" spans="2:8" x14ac:dyDescent="0.2">
      <c r="B3382" s="31" t="s">
        <v>336</v>
      </c>
      <c r="C3382" s="32" t="s">
        <v>970</v>
      </c>
      <c r="D3382" s="33" t="s">
        <v>15</v>
      </c>
      <c r="E3382" s="34" t="s">
        <v>360</v>
      </c>
      <c r="F3382" s="32" t="s">
        <v>356</v>
      </c>
      <c r="G3382" s="30" t="s">
        <v>1007</v>
      </c>
      <c r="H3382" t="str">
        <f>CONCATENATE(Prequal[[#This Row],[CITY]], ", ",Prequal[[#This Row],[STATE]])</f>
        <v>St. Charles, IL</v>
      </c>
    </row>
    <row r="3383" spans="2:8" x14ac:dyDescent="0.2">
      <c r="B3383" s="31" t="s">
        <v>336</v>
      </c>
      <c r="C3383" s="32" t="s">
        <v>970</v>
      </c>
      <c r="D3383" s="33" t="s">
        <v>30</v>
      </c>
      <c r="E3383" s="34" t="s">
        <v>360</v>
      </c>
      <c r="F3383" s="32" t="s">
        <v>356</v>
      </c>
      <c r="G3383" s="30" t="s">
        <v>1007</v>
      </c>
      <c r="H3383" t="str">
        <f>CONCATENATE(Prequal[[#This Row],[CITY]], ", ",Prequal[[#This Row],[STATE]])</f>
        <v>St. Charles, IL</v>
      </c>
    </row>
    <row r="3384" spans="2:8" x14ac:dyDescent="0.2">
      <c r="B3384" s="31" t="s">
        <v>336</v>
      </c>
      <c r="C3384" s="32" t="s">
        <v>970</v>
      </c>
      <c r="D3384" s="33" t="s">
        <v>31</v>
      </c>
      <c r="E3384" s="34" t="s">
        <v>360</v>
      </c>
      <c r="F3384" s="32" t="s">
        <v>356</v>
      </c>
      <c r="G3384" s="30" t="s">
        <v>1007</v>
      </c>
      <c r="H3384" t="str">
        <f>CONCATENATE(Prequal[[#This Row],[CITY]], ", ",Prequal[[#This Row],[STATE]])</f>
        <v>St. Charles, IL</v>
      </c>
    </row>
    <row r="3385" spans="2:8" x14ac:dyDescent="0.2">
      <c r="B3385" s="31" t="s">
        <v>336</v>
      </c>
      <c r="C3385" s="32" t="s">
        <v>970</v>
      </c>
      <c r="D3385" s="33" t="s">
        <v>32</v>
      </c>
      <c r="E3385" s="34" t="s">
        <v>360</v>
      </c>
      <c r="F3385" s="32" t="s">
        <v>356</v>
      </c>
      <c r="G3385" s="30" t="s">
        <v>1007</v>
      </c>
      <c r="H3385" t="str">
        <f>CONCATENATE(Prequal[[#This Row],[CITY]], ", ",Prequal[[#This Row],[STATE]])</f>
        <v>St. Charles, IL</v>
      </c>
    </row>
    <row r="3386" spans="2:8" x14ac:dyDescent="0.2">
      <c r="B3386" s="31" t="s">
        <v>336</v>
      </c>
      <c r="C3386" s="32" t="s">
        <v>970</v>
      </c>
      <c r="D3386" s="33" t="s">
        <v>38</v>
      </c>
      <c r="E3386" s="34" t="s">
        <v>360</v>
      </c>
      <c r="F3386" s="32" t="s">
        <v>356</v>
      </c>
      <c r="G3386" s="30" t="s">
        <v>1007</v>
      </c>
      <c r="H3386" t="str">
        <f>CONCATENATE(Prequal[[#This Row],[CITY]], ", ",Prequal[[#This Row],[STATE]])</f>
        <v>St. Charles, IL</v>
      </c>
    </row>
    <row r="3387" spans="2:8" x14ac:dyDescent="0.2">
      <c r="B3387" s="31" t="s">
        <v>1096</v>
      </c>
      <c r="C3387" s="32" t="s">
        <v>969</v>
      </c>
      <c r="D3387" s="33" t="s">
        <v>976</v>
      </c>
      <c r="E3387" s="34" t="s">
        <v>371</v>
      </c>
      <c r="F3387" s="32" t="s">
        <v>356</v>
      </c>
      <c r="G3387" s="30" t="s">
        <v>1097</v>
      </c>
      <c r="H3387" t="str">
        <f>CONCATENATE(Prequal[[#This Row],[CITY]], ", ",Prequal[[#This Row],[STATE]])</f>
        <v>Urbana, IL</v>
      </c>
    </row>
    <row r="3388" spans="2:8" x14ac:dyDescent="0.2">
      <c r="B3388" s="31" t="s">
        <v>1096</v>
      </c>
      <c r="C3388" s="32" t="s">
        <v>969</v>
      </c>
      <c r="D3388" s="33" t="s">
        <v>978</v>
      </c>
      <c r="E3388" s="34" t="s">
        <v>371</v>
      </c>
      <c r="F3388" s="32" t="s">
        <v>356</v>
      </c>
      <c r="G3388" s="30" t="s">
        <v>1097</v>
      </c>
      <c r="H3388" t="str">
        <f>CONCATENATE(Prequal[[#This Row],[CITY]], ", ",Prequal[[#This Row],[STATE]])</f>
        <v>Urbana, IL</v>
      </c>
    </row>
    <row r="3389" spans="2:8" x14ac:dyDescent="0.2">
      <c r="B3389" s="31" t="s">
        <v>920</v>
      </c>
      <c r="C3389" s="32" t="s">
        <v>970</v>
      </c>
      <c r="D3389" s="33" t="s">
        <v>11</v>
      </c>
      <c r="E3389" s="34" t="s">
        <v>947</v>
      </c>
      <c r="F3389" s="32" t="s">
        <v>356</v>
      </c>
      <c r="G3389" s="30" t="s">
        <v>926</v>
      </c>
      <c r="H3389" t="str">
        <f>CONCATENATE(Prequal[[#This Row],[CITY]], ", ",Prequal[[#This Row],[STATE]])</f>
        <v>Chicago, IL</v>
      </c>
    </row>
    <row r="3390" spans="2:8" x14ac:dyDescent="0.2">
      <c r="B3390" s="31" t="s">
        <v>337</v>
      </c>
      <c r="C3390" s="32" t="s">
        <v>969</v>
      </c>
      <c r="D3390" s="33" t="s">
        <v>5</v>
      </c>
      <c r="E3390" s="34" t="s">
        <v>495</v>
      </c>
      <c r="F3390" s="32" t="s">
        <v>361</v>
      </c>
      <c r="G3390" s="30" t="s">
        <v>801</v>
      </c>
      <c r="H3390" t="str">
        <f>CONCATENATE(Prequal[[#This Row],[CITY]], ", ",Prequal[[#This Row],[STATE]])</f>
        <v>Ellisville, MO</v>
      </c>
    </row>
    <row r="3391" spans="2:8" x14ac:dyDescent="0.2">
      <c r="B3391" s="31" t="s">
        <v>338</v>
      </c>
      <c r="C3391" s="32" t="s">
        <v>969</v>
      </c>
      <c r="D3391" s="33" t="s">
        <v>30</v>
      </c>
      <c r="E3391" s="34" t="s">
        <v>497</v>
      </c>
      <c r="F3391" s="32" t="s">
        <v>378</v>
      </c>
      <c r="G3391" s="30" t="s">
        <v>802</v>
      </c>
      <c r="H3391" t="str">
        <f>CONCATENATE(Prequal[[#This Row],[CITY]], ", ",Prequal[[#This Row],[STATE]])</f>
        <v>Spring Green, WI</v>
      </c>
    </row>
    <row r="3392" spans="2:8" x14ac:dyDescent="0.2">
      <c r="B3392" s="31" t="s">
        <v>338</v>
      </c>
      <c r="C3392" s="32" t="s">
        <v>969</v>
      </c>
      <c r="D3392" s="33" t="s">
        <v>31</v>
      </c>
      <c r="E3392" s="34" t="s">
        <v>497</v>
      </c>
      <c r="F3392" s="32" t="s">
        <v>378</v>
      </c>
      <c r="G3392" s="30" t="s">
        <v>802</v>
      </c>
      <c r="H3392" t="str">
        <f>CONCATENATE(Prequal[[#This Row],[CITY]], ", ",Prequal[[#This Row],[STATE]])</f>
        <v>Spring Green, WI</v>
      </c>
    </row>
    <row r="3393" spans="2:8" x14ac:dyDescent="0.2">
      <c r="B3393" s="31" t="s">
        <v>338</v>
      </c>
      <c r="C3393" s="32" t="s">
        <v>969</v>
      </c>
      <c r="D3393" s="33" t="s">
        <v>32</v>
      </c>
      <c r="E3393" s="34" t="s">
        <v>497</v>
      </c>
      <c r="F3393" s="32" t="s">
        <v>378</v>
      </c>
      <c r="G3393" s="30" t="s">
        <v>802</v>
      </c>
      <c r="H3393" t="str">
        <f>CONCATENATE(Prequal[[#This Row],[CITY]], ", ",Prequal[[#This Row],[STATE]])</f>
        <v>Spring Green, WI</v>
      </c>
    </row>
    <row r="3394" spans="2:8" x14ac:dyDescent="0.2">
      <c r="B3394" s="31" t="s">
        <v>338</v>
      </c>
      <c r="C3394" s="32" t="s">
        <v>969</v>
      </c>
      <c r="D3394" s="33" t="s">
        <v>38</v>
      </c>
      <c r="E3394" s="34" t="s">
        <v>497</v>
      </c>
      <c r="F3394" s="32" t="s">
        <v>378</v>
      </c>
      <c r="G3394" s="30" t="s">
        <v>802</v>
      </c>
      <c r="H3394" t="str">
        <f>CONCATENATE(Prequal[[#This Row],[CITY]], ", ",Prequal[[#This Row],[STATE]])</f>
        <v>Spring Green, WI</v>
      </c>
    </row>
    <row r="3395" spans="2:8" x14ac:dyDescent="0.2">
      <c r="B3395" s="31" t="s">
        <v>339</v>
      </c>
      <c r="C3395" s="32" t="s">
        <v>969</v>
      </c>
      <c r="D3395" s="33" t="s">
        <v>50</v>
      </c>
      <c r="E3395" s="34" t="s">
        <v>359</v>
      </c>
      <c r="F3395" s="32" t="s">
        <v>356</v>
      </c>
      <c r="G3395" s="30" t="s">
        <v>803</v>
      </c>
      <c r="H3395" t="str">
        <f>CONCATENATE(Prequal[[#This Row],[CITY]], ", ",Prequal[[#This Row],[STATE]])</f>
        <v>Lincolnshire, IL</v>
      </c>
    </row>
    <row r="3396" spans="2:8" x14ac:dyDescent="0.2">
      <c r="B3396" s="31" t="s">
        <v>339</v>
      </c>
      <c r="C3396" s="32" t="s">
        <v>969</v>
      </c>
      <c r="D3396" s="33" t="s">
        <v>18</v>
      </c>
      <c r="E3396" s="34" t="s">
        <v>359</v>
      </c>
      <c r="F3396" s="32" t="s">
        <v>356</v>
      </c>
      <c r="G3396" s="30" t="s">
        <v>803</v>
      </c>
      <c r="H3396" t="str">
        <f>CONCATENATE(Prequal[[#This Row],[CITY]], ", ",Prequal[[#This Row],[STATE]])</f>
        <v>Lincolnshire, IL</v>
      </c>
    </row>
    <row r="3397" spans="2:8" x14ac:dyDescent="0.2">
      <c r="B3397" s="31" t="s">
        <v>340</v>
      </c>
      <c r="C3397" s="32" t="s">
        <v>969</v>
      </c>
      <c r="D3397" s="33" t="s">
        <v>5</v>
      </c>
      <c r="E3397" s="34" t="s">
        <v>498</v>
      </c>
      <c r="F3397" s="32" t="s">
        <v>499</v>
      </c>
      <c r="G3397" s="30" t="s">
        <v>804</v>
      </c>
      <c r="H3397" t="str">
        <f>CONCATENATE(Prequal[[#This Row],[CITY]], ", ",Prequal[[#This Row],[STATE]])</f>
        <v>Las Vegas, NV</v>
      </c>
    </row>
    <row r="3398" spans="2:8" x14ac:dyDescent="0.2">
      <c r="B3398" s="31" t="s">
        <v>341</v>
      </c>
      <c r="C3398" s="32" t="s">
        <v>969</v>
      </c>
      <c r="D3398" s="33" t="s">
        <v>81</v>
      </c>
      <c r="E3398" s="34" t="s">
        <v>500</v>
      </c>
      <c r="F3398" s="32" t="s">
        <v>423</v>
      </c>
      <c r="G3398" s="30" t="s">
        <v>805</v>
      </c>
      <c r="H3398" t="str">
        <f>CONCATENATE(Prequal[[#This Row],[CITY]], ", ",Prequal[[#This Row],[STATE]])</f>
        <v>West Palm Beach, FL</v>
      </c>
    </row>
    <row r="3399" spans="2:8" x14ac:dyDescent="0.2">
      <c r="B3399" s="31" t="s">
        <v>341</v>
      </c>
      <c r="C3399" s="32" t="s">
        <v>969</v>
      </c>
      <c r="D3399" s="33" t="s">
        <v>63</v>
      </c>
      <c r="E3399" s="34" t="s">
        <v>500</v>
      </c>
      <c r="F3399" s="32" t="s">
        <v>423</v>
      </c>
      <c r="G3399" s="30" t="s">
        <v>805</v>
      </c>
      <c r="H3399" t="str">
        <f>CONCATENATE(Prequal[[#This Row],[CITY]], ", ",Prequal[[#This Row],[STATE]])</f>
        <v>West Palm Beach, FL</v>
      </c>
    </row>
    <row r="3400" spans="2:8" x14ac:dyDescent="0.2">
      <c r="B3400" s="31" t="s">
        <v>341</v>
      </c>
      <c r="C3400" s="32" t="s">
        <v>969</v>
      </c>
      <c r="D3400" s="33" t="s">
        <v>28</v>
      </c>
      <c r="E3400" s="34" t="s">
        <v>500</v>
      </c>
      <c r="F3400" s="32" t="s">
        <v>423</v>
      </c>
      <c r="G3400" s="30" t="s">
        <v>805</v>
      </c>
      <c r="H3400" t="str">
        <f>CONCATENATE(Prequal[[#This Row],[CITY]], ", ",Prequal[[#This Row],[STATE]])</f>
        <v>West Palm Beach, FL</v>
      </c>
    </row>
    <row r="3401" spans="2:8" x14ac:dyDescent="0.2">
      <c r="B3401" s="31" t="s">
        <v>1080</v>
      </c>
      <c r="C3401" s="32" t="s">
        <v>969</v>
      </c>
      <c r="D3401" s="33" t="s">
        <v>57</v>
      </c>
      <c r="E3401" s="34" t="s">
        <v>1081</v>
      </c>
      <c r="F3401" s="32" t="s">
        <v>423</v>
      </c>
      <c r="G3401" s="30" t="s">
        <v>1082</v>
      </c>
      <c r="H3401" t="str">
        <f>CONCATENATE(Prequal[[#This Row],[CITY]], ", ",Prequal[[#This Row],[STATE]])</f>
        <v>Fort Lauderdale, FL</v>
      </c>
    </row>
    <row r="3402" spans="2:8" x14ac:dyDescent="0.2">
      <c r="B3402" s="31" t="s">
        <v>342</v>
      </c>
      <c r="C3402" s="32" t="s">
        <v>969</v>
      </c>
      <c r="D3402" s="33" t="s">
        <v>47</v>
      </c>
      <c r="E3402" s="34" t="s">
        <v>501</v>
      </c>
      <c r="F3402" s="32" t="s">
        <v>356</v>
      </c>
      <c r="G3402" s="30" t="s">
        <v>806</v>
      </c>
      <c r="H3402" t="str">
        <f>CONCATENATE(Prequal[[#This Row],[CITY]], ", ",Prequal[[#This Row],[STATE]])</f>
        <v>Springfield , IL</v>
      </c>
    </row>
    <row r="3403" spans="2:8" x14ac:dyDescent="0.2">
      <c r="B3403" s="31" t="s">
        <v>342</v>
      </c>
      <c r="C3403" s="32" t="s">
        <v>969</v>
      </c>
      <c r="D3403" s="33" t="s">
        <v>4</v>
      </c>
      <c r="E3403" s="34" t="s">
        <v>501</v>
      </c>
      <c r="F3403" s="32" t="s">
        <v>356</v>
      </c>
      <c r="G3403" s="30" t="s">
        <v>806</v>
      </c>
      <c r="H3403" t="str">
        <f>CONCATENATE(Prequal[[#This Row],[CITY]], ", ",Prequal[[#This Row],[STATE]])</f>
        <v>Springfield , IL</v>
      </c>
    </row>
    <row r="3404" spans="2:8" x14ac:dyDescent="0.2">
      <c r="B3404" s="31" t="s">
        <v>342</v>
      </c>
      <c r="C3404" s="32" t="s">
        <v>969</v>
      </c>
      <c r="D3404" s="33" t="s">
        <v>5</v>
      </c>
      <c r="E3404" s="34" t="s">
        <v>501</v>
      </c>
      <c r="F3404" s="32" t="s">
        <v>356</v>
      </c>
      <c r="G3404" s="30" t="s">
        <v>806</v>
      </c>
      <c r="H3404" t="str">
        <f>CONCATENATE(Prequal[[#This Row],[CITY]], ", ",Prequal[[#This Row],[STATE]])</f>
        <v>Springfield , IL</v>
      </c>
    </row>
    <row r="3405" spans="2:8" x14ac:dyDescent="0.2">
      <c r="B3405" s="31" t="s">
        <v>342</v>
      </c>
      <c r="C3405" s="32" t="s">
        <v>969</v>
      </c>
      <c r="D3405" s="33" t="s">
        <v>6</v>
      </c>
      <c r="E3405" s="34" t="s">
        <v>501</v>
      </c>
      <c r="F3405" s="32" t="s">
        <v>356</v>
      </c>
      <c r="G3405" s="30" t="s">
        <v>806</v>
      </c>
      <c r="H3405" t="str">
        <f>CONCATENATE(Prequal[[#This Row],[CITY]], ", ",Prequal[[#This Row],[STATE]])</f>
        <v>Springfield , IL</v>
      </c>
    </row>
    <row r="3406" spans="2:8" x14ac:dyDescent="0.2">
      <c r="B3406" s="31" t="s">
        <v>342</v>
      </c>
      <c r="C3406" s="32" t="s">
        <v>969</v>
      </c>
      <c r="D3406" s="33" t="s">
        <v>7</v>
      </c>
      <c r="E3406" s="34" t="s">
        <v>501</v>
      </c>
      <c r="F3406" s="32" t="s">
        <v>356</v>
      </c>
      <c r="G3406" s="30" t="s">
        <v>806</v>
      </c>
      <c r="H3406" t="str">
        <f>CONCATENATE(Prequal[[#This Row],[CITY]], ", ",Prequal[[#This Row],[STATE]])</f>
        <v>Springfield , IL</v>
      </c>
    </row>
    <row r="3407" spans="2:8" x14ac:dyDescent="0.2">
      <c r="B3407" s="36" t="s">
        <v>342</v>
      </c>
      <c r="C3407" s="32" t="s">
        <v>969</v>
      </c>
      <c r="D3407" s="37" t="s">
        <v>1013</v>
      </c>
      <c r="E3407" s="38" t="s">
        <v>501</v>
      </c>
      <c r="F3407" s="39" t="s">
        <v>356</v>
      </c>
      <c r="G3407" s="35" t="s">
        <v>806</v>
      </c>
      <c r="H3407" t="str">
        <f>CONCATENATE(Prequal[[#This Row],[CITY]], ", ",Prequal[[#This Row],[STATE]])</f>
        <v>Springfield , IL</v>
      </c>
    </row>
    <row r="3408" spans="2:8" x14ac:dyDescent="0.2">
      <c r="B3408" s="27" t="s">
        <v>342</v>
      </c>
      <c r="C3408" s="28" t="s">
        <v>969</v>
      </c>
      <c r="D3408" s="29" t="s">
        <v>8</v>
      </c>
      <c r="E3408" s="30" t="s">
        <v>501</v>
      </c>
      <c r="F3408" s="28" t="s">
        <v>356</v>
      </c>
      <c r="G3408" s="30" t="s">
        <v>806</v>
      </c>
      <c r="H3408" t="str">
        <f>CONCATENATE(Prequal[[#This Row],[CITY]], ", ",Prequal[[#This Row],[STATE]])</f>
        <v>Springfield , IL</v>
      </c>
    </row>
    <row r="3409" spans="2:8" x14ac:dyDescent="0.2">
      <c r="B3409" s="27" t="s">
        <v>342</v>
      </c>
      <c r="C3409" s="28" t="s">
        <v>969</v>
      </c>
      <c r="D3409" s="29" t="s">
        <v>24</v>
      </c>
      <c r="E3409" s="30" t="s">
        <v>501</v>
      </c>
      <c r="F3409" s="28" t="s">
        <v>356</v>
      </c>
      <c r="G3409" s="30" t="s">
        <v>806</v>
      </c>
      <c r="H3409" t="str">
        <f>CONCATENATE(Prequal[[#This Row],[CITY]], ", ",Prequal[[#This Row],[STATE]])</f>
        <v>Springfield , IL</v>
      </c>
    </row>
    <row r="3410" spans="2:8" x14ac:dyDescent="0.2">
      <c r="B3410" s="27" t="s">
        <v>342</v>
      </c>
      <c r="C3410" s="28" t="s">
        <v>969</v>
      </c>
      <c r="D3410" s="29" t="s">
        <v>25</v>
      </c>
      <c r="E3410" s="30" t="s">
        <v>501</v>
      </c>
      <c r="F3410" s="28" t="s">
        <v>356</v>
      </c>
      <c r="G3410" s="30" t="s">
        <v>806</v>
      </c>
      <c r="H3410" t="str">
        <f>CONCATENATE(Prequal[[#This Row],[CITY]], ", ",Prequal[[#This Row],[STATE]])</f>
        <v>Springfield , IL</v>
      </c>
    </row>
    <row r="3411" spans="2:8" x14ac:dyDescent="0.2">
      <c r="B3411" s="27" t="s">
        <v>342</v>
      </c>
      <c r="C3411" s="28" t="s">
        <v>969</v>
      </c>
      <c r="D3411" s="29" t="s">
        <v>9</v>
      </c>
      <c r="E3411" s="30" t="s">
        <v>501</v>
      </c>
      <c r="F3411" s="28" t="s">
        <v>356</v>
      </c>
      <c r="G3411" s="30" t="s">
        <v>806</v>
      </c>
      <c r="H3411" t="str">
        <f>CONCATENATE(Prequal[[#This Row],[CITY]], ", ",Prequal[[#This Row],[STATE]])</f>
        <v>Springfield , IL</v>
      </c>
    </row>
    <row r="3412" spans="2:8" x14ac:dyDescent="0.2">
      <c r="B3412" s="27" t="s">
        <v>342</v>
      </c>
      <c r="C3412" s="28" t="s">
        <v>969</v>
      </c>
      <c r="D3412" s="29" t="s">
        <v>27</v>
      </c>
      <c r="E3412" s="30" t="s">
        <v>501</v>
      </c>
      <c r="F3412" s="28" t="s">
        <v>356</v>
      </c>
      <c r="G3412" s="30" t="s">
        <v>806</v>
      </c>
      <c r="H3412" t="str">
        <f>CONCATENATE(Prequal[[#This Row],[CITY]], ", ",Prequal[[#This Row],[STATE]])</f>
        <v>Springfield , IL</v>
      </c>
    </row>
    <row r="3413" spans="2:8" x14ac:dyDescent="0.2">
      <c r="B3413" s="27" t="s">
        <v>342</v>
      </c>
      <c r="C3413" s="28" t="s">
        <v>969</v>
      </c>
      <c r="D3413" s="29" t="s">
        <v>10</v>
      </c>
      <c r="E3413" s="30" t="s">
        <v>501</v>
      </c>
      <c r="F3413" s="28" t="s">
        <v>356</v>
      </c>
      <c r="G3413" s="30" t="s">
        <v>806</v>
      </c>
      <c r="H3413" t="str">
        <f>CONCATENATE(Prequal[[#This Row],[CITY]], ", ",Prequal[[#This Row],[STATE]])</f>
        <v>Springfield , IL</v>
      </c>
    </row>
    <row r="3414" spans="2:8" x14ac:dyDescent="0.2">
      <c r="B3414" s="27" t="s">
        <v>342</v>
      </c>
      <c r="C3414" s="28" t="s">
        <v>969</v>
      </c>
      <c r="D3414" s="29" t="s">
        <v>12</v>
      </c>
      <c r="E3414" s="30" t="s">
        <v>501</v>
      </c>
      <c r="F3414" s="28" t="s">
        <v>356</v>
      </c>
      <c r="G3414" s="30" t="s">
        <v>806</v>
      </c>
      <c r="H3414" t="str">
        <f>CONCATENATE(Prequal[[#This Row],[CITY]], ", ",Prequal[[#This Row],[STATE]])</f>
        <v>Springfield , IL</v>
      </c>
    </row>
    <row r="3415" spans="2:8" x14ac:dyDescent="0.2">
      <c r="B3415" s="27" t="s">
        <v>342</v>
      </c>
      <c r="C3415" s="28" t="s">
        <v>969</v>
      </c>
      <c r="D3415" s="29" t="s">
        <v>29</v>
      </c>
      <c r="E3415" s="30" t="s">
        <v>501</v>
      </c>
      <c r="F3415" s="28" t="s">
        <v>356</v>
      </c>
      <c r="G3415" s="30" t="s">
        <v>806</v>
      </c>
      <c r="H3415" t="str">
        <f>CONCATENATE(Prequal[[#This Row],[CITY]], ", ",Prequal[[#This Row],[STATE]])</f>
        <v>Springfield , IL</v>
      </c>
    </row>
    <row r="3416" spans="2:8" x14ac:dyDescent="0.2">
      <c r="B3416" s="27" t="s">
        <v>342</v>
      </c>
      <c r="C3416" s="28" t="s">
        <v>969</v>
      </c>
      <c r="D3416" s="29" t="s">
        <v>37</v>
      </c>
      <c r="E3416" s="30" t="s">
        <v>501</v>
      </c>
      <c r="F3416" s="28" t="s">
        <v>356</v>
      </c>
      <c r="G3416" s="30" t="s">
        <v>806</v>
      </c>
      <c r="H3416" t="str">
        <f>CONCATENATE(Prequal[[#This Row],[CITY]], ", ",Prequal[[#This Row],[STATE]])</f>
        <v>Springfield , IL</v>
      </c>
    </row>
    <row r="3417" spans="2:8" x14ac:dyDescent="0.2">
      <c r="B3417" s="27" t="s">
        <v>342</v>
      </c>
      <c r="C3417" s="28" t="s">
        <v>969</v>
      </c>
      <c r="D3417" s="29" t="s">
        <v>13</v>
      </c>
      <c r="E3417" s="30" t="s">
        <v>501</v>
      </c>
      <c r="F3417" s="28" t="s">
        <v>356</v>
      </c>
      <c r="G3417" s="30" t="s">
        <v>806</v>
      </c>
      <c r="H3417" t="str">
        <f>CONCATENATE(Prequal[[#This Row],[CITY]], ", ",Prequal[[#This Row],[STATE]])</f>
        <v>Springfield , IL</v>
      </c>
    </row>
    <row r="3418" spans="2:8" x14ac:dyDescent="0.2">
      <c r="B3418" s="27" t="s">
        <v>342</v>
      </c>
      <c r="C3418" s="28" t="s">
        <v>969</v>
      </c>
      <c r="D3418" s="29" t="s">
        <v>14</v>
      </c>
      <c r="E3418" s="30" t="s">
        <v>501</v>
      </c>
      <c r="F3418" s="28" t="s">
        <v>356</v>
      </c>
      <c r="G3418" s="30" t="s">
        <v>806</v>
      </c>
      <c r="H3418" t="str">
        <f>CONCATENATE(Prequal[[#This Row],[CITY]], ", ",Prequal[[#This Row],[STATE]])</f>
        <v>Springfield , IL</v>
      </c>
    </row>
    <row r="3419" spans="2:8" x14ac:dyDescent="0.2">
      <c r="B3419" s="27" t="s">
        <v>342</v>
      </c>
      <c r="C3419" s="28" t="s">
        <v>969</v>
      </c>
      <c r="D3419" s="29" t="s">
        <v>15</v>
      </c>
      <c r="E3419" s="30" t="s">
        <v>501</v>
      </c>
      <c r="F3419" s="28" t="s">
        <v>356</v>
      </c>
      <c r="G3419" s="30" t="s">
        <v>806</v>
      </c>
      <c r="H3419" t="str">
        <f>CONCATENATE(Prequal[[#This Row],[CITY]], ", ",Prequal[[#This Row],[STATE]])</f>
        <v>Springfield , IL</v>
      </c>
    </row>
    <row r="3420" spans="2:8" x14ac:dyDescent="0.2">
      <c r="B3420" s="27" t="s">
        <v>342</v>
      </c>
      <c r="C3420" s="28" t="s">
        <v>969</v>
      </c>
      <c r="D3420" s="29" t="s">
        <v>30</v>
      </c>
      <c r="E3420" s="30" t="s">
        <v>501</v>
      </c>
      <c r="F3420" s="28" t="s">
        <v>356</v>
      </c>
      <c r="G3420" s="30" t="s">
        <v>806</v>
      </c>
      <c r="H3420" t="str">
        <f>CONCATENATE(Prequal[[#This Row],[CITY]], ", ",Prequal[[#This Row],[STATE]])</f>
        <v>Springfield , IL</v>
      </c>
    </row>
    <row r="3421" spans="2:8" x14ac:dyDescent="0.2">
      <c r="B3421" s="27" t="s">
        <v>342</v>
      </c>
      <c r="C3421" s="28" t="s">
        <v>969</v>
      </c>
      <c r="D3421" s="29" t="s">
        <v>53</v>
      </c>
      <c r="E3421" s="30" t="s">
        <v>501</v>
      </c>
      <c r="F3421" s="28" t="s">
        <v>356</v>
      </c>
      <c r="G3421" s="30" t="s">
        <v>806</v>
      </c>
      <c r="H3421" t="str">
        <f>CONCATENATE(Prequal[[#This Row],[CITY]], ", ",Prequal[[#This Row],[STATE]])</f>
        <v>Springfield , IL</v>
      </c>
    </row>
    <row r="3422" spans="2:8" x14ac:dyDescent="0.2">
      <c r="B3422" s="27" t="s">
        <v>342</v>
      </c>
      <c r="C3422" s="28" t="s">
        <v>969</v>
      </c>
      <c r="D3422" s="29" t="s">
        <v>31</v>
      </c>
      <c r="E3422" s="30" t="s">
        <v>501</v>
      </c>
      <c r="F3422" s="28" t="s">
        <v>356</v>
      </c>
      <c r="G3422" s="30" t="s">
        <v>806</v>
      </c>
      <c r="H3422" t="str">
        <f>CONCATENATE(Prequal[[#This Row],[CITY]], ", ",Prequal[[#This Row],[STATE]])</f>
        <v>Springfield , IL</v>
      </c>
    </row>
    <row r="3423" spans="2:8" x14ac:dyDescent="0.2">
      <c r="B3423" s="27" t="s">
        <v>342</v>
      </c>
      <c r="C3423" s="28" t="s">
        <v>969</v>
      </c>
      <c r="D3423" s="29" t="s">
        <v>32</v>
      </c>
      <c r="E3423" s="30" t="s">
        <v>501</v>
      </c>
      <c r="F3423" s="28" t="s">
        <v>356</v>
      </c>
      <c r="G3423" s="30" t="s">
        <v>806</v>
      </c>
      <c r="H3423" t="str">
        <f>CONCATENATE(Prequal[[#This Row],[CITY]], ", ",Prequal[[#This Row],[STATE]])</f>
        <v>Springfield , IL</v>
      </c>
    </row>
    <row r="3424" spans="2:8" x14ac:dyDescent="0.2">
      <c r="B3424" s="27" t="s">
        <v>343</v>
      </c>
      <c r="C3424" s="28" t="s">
        <v>969</v>
      </c>
      <c r="D3424" s="29" t="s">
        <v>26</v>
      </c>
      <c r="E3424" s="30" t="s">
        <v>502</v>
      </c>
      <c r="F3424" s="28" t="s">
        <v>503</v>
      </c>
      <c r="G3424" s="30" t="s">
        <v>807</v>
      </c>
      <c r="H3424" t="str">
        <f>CONCATENATE(Prequal[[#This Row],[CITY]], ", ",Prequal[[#This Row],[STATE]])</f>
        <v>Spanish Fort, AL</v>
      </c>
    </row>
    <row r="3425" spans="2:8" x14ac:dyDescent="0.2">
      <c r="B3425" s="27" t="s">
        <v>343</v>
      </c>
      <c r="C3425" s="28" t="s">
        <v>969</v>
      </c>
      <c r="D3425" s="29" t="s">
        <v>20</v>
      </c>
      <c r="E3425" s="30" t="s">
        <v>502</v>
      </c>
      <c r="F3425" s="28" t="s">
        <v>503</v>
      </c>
      <c r="G3425" s="30" t="s">
        <v>807</v>
      </c>
      <c r="H3425" t="str">
        <f>CONCATENATE(Prequal[[#This Row],[CITY]], ", ",Prequal[[#This Row],[STATE]])</f>
        <v>Spanish Fort, AL</v>
      </c>
    </row>
    <row r="3426" spans="2:8" x14ac:dyDescent="0.2">
      <c r="B3426" s="27" t="s">
        <v>343</v>
      </c>
      <c r="C3426" s="28" t="s">
        <v>969</v>
      </c>
      <c r="D3426" s="29" t="s">
        <v>21</v>
      </c>
      <c r="E3426" s="30" t="s">
        <v>502</v>
      </c>
      <c r="F3426" s="28" t="s">
        <v>503</v>
      </c>
      <c r="G3426" s="30" t="s">
        <v>807</v>
      </c>
      <c r="H3426" t="str">
        <f>CONCATENATE(Prequal[[#This Row],[CITY]], ", ",Prequal[[#This Row],[STATE]])</f>
        <v>Spanish Fort, AL</v>
      </c>
    </row>
    <row r="3427" spans="2:8" x14ac:dyDescent="0.2">
      <c r="B3427" s="27" t="s">
        <v>343</v>
      </c>
      <c r="C3427" s="28" t="s">
        <v>969</v>
      </c>
      <c r="D3427" s="29" t="s">
        <v>22</v>
      </c>
      <c r="E3427" s="30" t="s">
        <v>502</v>
      </c>
      <c r="F3427" s="28" t="s">
        <v>503</v>
      </c>
      <c r="G3427" s="30" t="s">
        <v>807</v>
      </c>
      <c r="H3427" t="str">
        <f>CONCATENATE(Prequal[[#This Row],[CITY]], ", ",Prequal[[#This Row],[STATE]])</f>
        <v>Spanish Fort, AL</v>
      </c>
    </row>
    <row r="3428" spans="2:8" x14ac:dyDescent="0.2">
      <c r="B3428" s="27" t="s">
        <v>344</v>
      </c>
      <c r="C3428" s="28" t="s">
        <v>969</v>
      </c>
      <c r="D3428" s="29" t="s">
        <v>43</v>
      </c>
      <c r="E3428" s="30" t="s">
        <v>504</v>
      </c>
      <c r="F3428" s="28" t="s">
        <v>356</v>
      </c>
      <c r="G3428" s="30" t="s">
        <v>808</v>
      </c>
      <c r="H3428" t="str">
        <f>CONCATENATE(Prequal[[#This Row],[CITY]], ", ",Prequal[[#This Row],[STATE]])</f>
        <v>Darien, IL</v>
      </c>
    </row>
    <row r="3429" spans="2:8" x14ac:dyDescent="0.2">
      <c r="B3429" s="27" t="s">
        <v>344</v>
      </c>
      <c r="C3429" s="28" t="s">
        <v>969</v>
      </c>
      <c r="D3429" s="29" t="s">
        <v>4</v>
      </c>
      <c r="E3429" s="30" t="s">
        <v>504</v>
      </c>
      <c r="F3429" s="28" t="s">
        <v>356</v>
      </c>
      <c r="G3429" s="30" t="s">
        <v>808</v>
      </c>
      <c r="H3429" t="str">
        <f>CONCATENATE(Prequal[[#This Row],[CITY]], ", ",Prequal[[#This Row],[STATE]])</f>
        <v>Darien, IL</v>
      </c>
    </row>
    <row r="3430" spans="2:8" x14ac:dyDescent="0.2">
      <c r="B3430" s="27" t="s">
        <v>344</v>
      </c>
      <c r="C3430" s="28" t="s">
        <v>969</v>
      </c>
      <c r="D3430" s="29" t="s">
        <v>5</v>
      </c>
      <c r="E3430" s="30" t="s">
        <v>504</v>
      </c>
      <c r="F3430" s="28" t="s">
        <v>356</v>
      </c>
      <c r="G3430" s="30" t="s">
        <v>808</v>
      </c>
      <c r="H3430" t="str">
        <f>CONCATENATE(Prequal[[#This Row],[CITY]], ", ",Prequal[[#This Row],[STATE]])</f>
        <v>Darien, IL</v>
      </c>
    </row>
    <row r="3431" spans="2:8" x14ac:dyDescent="0.2">
      <c r="B3431" s="27" t="s">
        <v>344</v>
      </c>
      <c r="C3431" s="28" t="s">
        <v>969</v>
      </c>
      <c r="D3431" s="29" t="s">
        <v>7</v>
      </c>
      <c r="E3431" s="30" t="s">
        <v>504</v>
      </c>
      <c r="F3431" s="28" t="s">
        <v>356</v>
      </c>
      <c r="G3431" s="30" t="s">
        <v>808</v>
      </c>
      <c r="H3431" t="str">
        <f>CONCATENATE(Prequal[[#This Row],[CITY]], ", ",Prequal[[#This Row],[STATE]])</f>
        <v>Darien, IL</v>
      </c>
    </row>
    <row r="3432" spans="2:8" x14ac:dyDescent="0.2">
      <c r="B3432" s="27" t="s">
        <v>344</v>
      </c>
      <c r="C3432" s="28" t="s">
        <v>969</v>
      </c>
      <c r="D3432" s="29" t="s">
        <v>8</v>
      </c>
      <c r="E3432" s="30" t="s">
        <v>504</v>
      </c>
      <c r="F3432" s="28" t="s">
        <v>356</v>
      </c>
      <c r="G3432" s="30" t="s">
        <v>808</v>
      </c>
      <c r="H3432" t="str">
        <f>CONCATENATE(Prequal[[#This Row],[CITY]], ", ",Prequal[[#This Row],[STATE]])</f>
        <v>Darien, IL</v>
      </c>
    </row>
    <row r="3433" spans="2:8" x14ac:dyDescent="0.2">
      <c r="B3433" s="27" t="s">
        <v>344</v>
      </c>
      <c r="C3433" s="28" t="s">
        <v>969</v>
      </c>
      <c r="D3433" s="29" t="s">
        <v>24</v>
      </c>
      <c r="E3433" s="30" t="s">
        <v>504</v>
      </c>
      <c r="F3433" s="28" t="s">
        <v>356</v>
      </c>
      <c r="G3433" s="30" t="s">
        <v>808</v>
      </c>
      <c r="H3433" t="str">
        <f>CONCATENATE(Prequal[[#This Row],[CITY]], ", ",Prequal[[#This Row],[STATE]])</f>
        <v>Darien, IL</v>
      </c>
    </row>
    <row r="3434" spans="2:8" x14ac:dyDescent="0.2">
      <c r="B3434" s="27" t="s">
        <v>344</v>
      </c>
      <c r="C3434" s="28" t="s">
        <v>969</v>
      </c>
      <c r="D3434" s="29" t="s">
        <v>25</v>
      </c>
      <c r="E3434" s="30" t="s">
        <v>504</v>
      </c>
      <c r="F3434" s="28" t="s">
        <v>356</v>
      </c>
      <c r="G3434" s="30" t="s">
        <v>808</v>
      </c>
      <c r="H3434" t="str">
        <f>CONCATENATE(Prequal[[#This Row],[CITY]], ", ",Prequal[[#This Row],[STATE]])</f>
        <v>Darien, IL</v>
      </c>
    </row>
    <row r="3435" spans="2:8" x14ac:dyDescent="0.2">
      <c r="B3435" s="27" t="s">
        <v>344</v>
      </c>
      <c r="C3435" s="28" t="s">
        <v>969</v>
      </c>
      <c r="D3435" s="29" t="s">
        <v>9</v>
      </c>
      <c r="E3435" s="30" t="s">
        <v>504</v>
      </c>
      <c r="F3435" s="28" t="s">
        <v>356</v>
      </c>
      <c r="G3435" s="30" t="s">
        <v>808</v>
      </c>
      <c r="H3435" t="str">
        <f>CONCATENATE(Prequal[[#This Row],[CITY]], ", ",Prequal[[#This Row],[STATE]])</f>
        <v>Darien, IL</v>
      </c>
    </row>
    <row r="3436" spans="2:8" x14ac:dyDescent="0.2">
      <c r="B3436" s="27" t="s">
        <v>344</v>
      </c>
      <c r="C3436" s="28" t="s">
        <v>969</v>
      </c>
      <c r="D3436" s="29" t="s">
        <v>27</v>
      </c>
      <c r="E3436" s="30" t="s">
        <v>504</v>
      </c>
      <c r="F3436" s="28" t="s">
        <v>356</v>
      </c>
      <c r="G3436" s="30" t="s">
        <v>808</v>
      </c>
      <c r="H3436" t="str">
        <f>CONCATENATE(Prequal[[#This Row],[CITY]], ", ",Prequal[[#This Row],[STATE]])</f>
        <v>Darien, IL</v>
      </c>
    </row>
    <row r="3437" spans="2:8" x14ac:dyDescent="0.2">
      <c r="B3437" s="27" t="s">
        <v>344</v>
      </c>
      <c r="C3437" s="28" t="s">
        <v>969</v>
      </c>
      <c r="D3437" s="29" t="s">
        <v>10</v>
      </c>
      <c r="E3437" s="30" t="s">
        <v>504</v>
      </c>
      <c r="F3437" s="28" t="s">
        <v>356</v>
      </c>
      <c r="G3437" s="30" t="s">
        <v>808</v>
      </c>
      <c r="H3437" t="str">
        <f>CONCATENATE(Prequal[[#This Row],[CITY]], ", ",Prequal[[#This Row],[STATE]])</f>
        <v>Darien, IL</v>
      </c>
    </row>
    <row r="3438" spans="2:8" x14ac:dyDescent="0.2">
      <c r="B3438" s="27" t="s">
        <v>344</v>
      </c>
      <c r="C3438" s="28" t="s">
        <v>969</v>
      </c>
      <c r="D3438" s="29" t="s">
        <v>11</v>
      </c>
      <c r="E3438" s="30" t="s">
        <v>504</v>
      </c>
      <c r="F3438" s="28" t="s">
        <v>356</v>
      </c>
      <c r="G3438" s="30" t="s">
        <v>808</v>
      </c>
      <c r="H3438" t="str">
        <f>CONCATENATE(Prequal[[#This Row],[CITY]], ", ",Prequal[[#This Row],[STATE]])</f>
        <v>Darien, IL</v>
      </c>
    </row>
    <row r="3439" spans="2:8" x14ac:dyDescent="0.2">
      <c r="B3439" s="27" t="s">
        <v>344</v>
      </c>
      <c r="C3439" s="28" t="s">
        <v>969</v>
      </c>
      <c r="D3439" s="29" t="s">
        <v>39</v>
      </c>
      <c r="E3439" s="30" t="s">
        <v>504</v>
      </c>
      <c r="F3439" s="28" t="s">
        <v>356</v>
      </c>
      <c r="G3439" s="30" t="s">
        <v>808</v>
      </c>
      <c r="H3439" t="str">
        <f>CONCATENATE(Prequal[[#This Row],[CITY]], ", ",Prequal[[#This Row],[STATE]])</f>
        <v>Darien, IL</v>
      </c>
    </row>
    <row r="3440" spans="2:8" x14ac:dyDescent="0.2">
      <c r="B3440" s="27" t="s">
        <v>344</v>
      </c>
      <c r="C3440" s="28" t="s">
        <v>969</v>
      </c>
      <c r="D3440" s="29" t="s">
        <v>37</v>
      </c>
      <c r="E3440" s="30" t="s">
        <v>504</v>
      </c>
      <c r="F3440" s="28" t="s">
        <v>356</v>
      </c>
      <c r="G3440" s="30" t="s">
        <v>808</v>
      </c>
      <c r="H3440" t="str">
        <f>CONCATENATE(Prequal[[#This Row],[CITY]], ", ",Prequal[[#This Row],[STATE]])</f>
        <v>Darien, IL</v>
      </c>
    </row>
    <row r="3441" spans="2:8" x14ac:dyDescent="0.2">
      <c r="B3441" s="27" t="s">
        <v>344</v>
      </c>
      <c r="C3441" s="28" t="s">
        <v>969</v>
      </c>
      <c r="D3441" s="29" t="s">
        <v>13</v>
      </c>
      <c r="E3441" s="30" t="s">
        <v>504</v>
      </c>
      <c r="F3441" s="28" t="s">
        <v>356</v>
      </c>
      <c r="G3441" s="30" t="s">
        <v>808</v>
      </c>
      <c r="H3441" t="str">
        <f>CONCATENATE(Prequal[[#This Row],[CITY]], ", ",Prequal[[#This Row],[STATE]])</f>
        <v>Darien, IL</v>
      </c>
    </row>
    <row r="3442" spans="2:8" x14ac:dyDescent="0.2">
      <c r="B3442" s="27" t="s">
        <v>344</v>
      </c>
      <c r="C3442" s="28" t="s">
        <v>969</v>
      </c>
      <c r="D3442" s="29" t="s">
        <v>14</v>
      </c>
      <c r="E3442" s="30" t="s">
        <v>504</v>
      </c>
      <c r="F3442" s="28" t="s">
        <v>356</v>
      </c>
      <c r="G3442" s="30" t="s">
        <v>808</v>
      </c>
      <c r="H3442" t="str">
        <f>CONCATENATE(Prequal[[#This Row],[CITY]], ", ",Prequal[[#This Row],[STATE]])</f>
        <v>Darien, IL</v>
      </c>
    </row>
    <row r="3443" spans="2:8" x14ac:dyDescent="0.2">
      <c r="B3443" s="27" t="s">
        <v>344</v>
      </c>
      <c r="C3443" s="28" t="s">
        <v>969</v>
      </c>
      <c r="D3443" s="29" t="s">
        <v>15</v>
      </c>
      <c r="E3443" s="30" t="s">
        <v>504</v>
      </c>
      <c r="F3443" s="28" t="s">
        <v>356</v>
      </c>
      <c r="G3443" s="30" t="s">
        <v>808</v>
      </c>
      <c r="H3443" t="str">
        <f>CONCATENATE(Prequal[[#This Row],[CITY]], ", ",Prequal[[#This Row],[STATE]])</f>
        <v>Darien, IL</v>
      </c>
    </row>
    <row r="3444" spans="2:8" x14ac:dyDescent="0.2">
      <c r="B3444" s="27" t="s">
        <v>344</v>
      </c>
      <c r="C3444" s="28" t="s">
        <v>969</v>
      </c>
      <c r="D3444" s="29" t="s">
        <v>31</v>
      </c>
      <c r="E3444" s="30" t="s">
        <v>504</v>
      </c>
      <c r="F3444" s="28" t="s">
        <v>356</v>
      </c>
      <c r="G3444" s="30" t="s">
        <v>808</v>
      </c>
      <c r="H3444" t="str">
        <f>CONCATENATE(Prequal[[#This Row],[CITY]], ", ",Prequal[[#This Row],[STATE]])</f>
        <v>Darien, IL</v>
      </c>
    </row>
    <row r="3445" spans="2:8" x14ac:dyDescent="0.2">
      <c r="B3445" s="27" t="s">
        <v>344</v>
      </c>
      <c r="C3445" s="28" t="s">
        <v>969</v>
      </c>
      <c r="D3445" s="29" t="s">
        <v>56</v>
      </c>
      <c r="E3445" s="30" t="s">
        <v>504</v>
      </c>
      <c r="F3445" s="28" t="s">
        <v>356</v>
      </c>
      <c r="G3445" s="30" t="s">
        <v>808</v>
      </c>
      <c r="H3445" t="str">
        <f>CONCATENATE(Prequal[[#This Row],[CITY]], ", ",Prequal[[#This Row],[STATE]])</f>
        <v>Darien, IL</v>
      </c>
    </row>
    <row r="3446" spans="2:8" x14ac:dyDescent="0.2">
      <c r="B3446" s="27" t="s">
        <v>345</v>
      </c>
      <c r="C3446" s="28" t="s">
        <v>969</v>
      </c>
      <c r="D3446" s="29" t="s">
        <v>5</v>
      </c>
      <c r="E3446" s="30" t="s">
        <v>496</v>
      </c>
      <c r="F3446" s="28" t="s">
        <v>356</v>
      </c>
      <c r="G3446" s="30" t="s">
        <v>809</v>
      </c>
      <c r="H3446" t="str">
        <f>CONCATENATE(Prequal[[#This Row],[CITY]], ", ",Prequal[[#This Row],[STATE]])</f>
        <v>Dixon, IL</v>
      </c>
    </row>
    <row r="3447" spans="2:8" x14ac:dyDescent="0.2">
      <c r="B3447" s="27" t="s">
        <v>345</v>
      </c>
      <c r="C3447" s="28" t="s">
        <v>969</v>
      </c>
      <c r="D3447" s="29" t="s">
        <v>6</v>
      </c>
      <c r="E3447" s="30" t="s">
        <v>496</v>
      </c>
      <c r="F3447" s="28" t="s">
        <v>356</v>
      </c>
      <c r="G3447" s="30" t="s">
        <v>809</v>
      </c>
      <c r="H3447" t="str">
        <f>CONCATENATE(Prequal[[#This Row],[CITY]], ", ",Prequal[[#This Row],[STATE]])</f>
        <v>Dixon, IL</v>
      </c>
    </row>
    <row r="3448" spans="2:8" x14ac:dyDescent="0.2">
      <c r="B3448" s="27" t="s">
        <v>345</v>
      </c>
      <c r="C3448" s="28" t="s">
        <v>969</v>
      </c>
      <c r="D3448" s="29" t="s">
        <v>7</v>
      </c>
      <c r="E3448" s="30" t="s">
        <v>496</v>
      </c>
      <c r="F3448" s="28" t="s">
        <v>356</v>
      </c>
      <c r="G3448" s="30" t="s">
        <v>809</v>
      </c>
      <c r="H3448" t="str">
        <f>CONCATENATE(Prequal[[#This Row],[CITY]], ", ",Prequal[[#This Row],[STATE]])</f>
        <v>Dixon, IL</v>
      </c>
    </row>
    <row r="3449" spans="2:8" x14ac:dyDescent="0.2">
      <c r="B3449" s="41" t="s">
        <v>345</v>
      </c>
      <c r="C3449" s="42" t="s">
        <v>969</v>
      </c>
      <c r="D3449" s="43" t="s">
        <v>8</v>
      </c>
      <c r="E3449" s="44" t="s">
        <v>496</v>
      </c>
      <c r="F3449" s="42" t="s">
        <v>356</v>
      </c>
      <c r="G3449" s="30" t="s">
        <v>809</v>
      </c>
      <c r="H3449" t="str">
        <f>CONCATENATE(Prequal[[#This Row],[CITY]], ", ",Prequal[[#This Row],[STATE]])</f>
        <v>Dixon, IL</v>
      </c>
    </row>
    <row r="3450" spans="2:8" x14ac:dyDescent="0.2">
      <c r="B3450" s="41" t="s">
        <v>345</v>
      </c>
      <c r="C3450" s="42" t="s">
        <v>969</v>
      </c>
      <c r="D3450" s="43" t="s">
        <v>24</v>
      </c>
      <c r="E3450" s="44" t="s">
        <v>496</v>
      </c>
      <c r="F3450" s="42" t="s">
        <v>356</v>
      </c>
      <c r="G3450" s="30" t="s">
        <v>809</v>
      </c>
      <c r="H3450" t="str">
        <f>CONCATENATE(Prequal[[#This Row],[CITY]], ", ",Prequal[[#This Row],[STATE]])</f>
        <v>Dixon, IL</v>
      </c>
    </row>
    <row r="3451" spans="2:8" x14ac:dyDescent="0.2">
      <c r="B3451" s="41" t="s">
        <v>345</v>
      </c>
      <c r="C3451" s="42" t="s">
        <v>969</v>
      </c>
      <c r="D3451" s="43" t="s">
        <v>25</v>
      </c>
      <c r="E3451" s="44" t="s">
        <v>496</v>
      </c>
      <c r="F3451" s="42" t="s">
        <v>356</v>
      </c>
      <c r="G3451" s="30" t="s">
        <v>809</v>
      </c>
      <c r="H3451" t="str">
        <f>CONCATENATE(Prequal[[#This Row],[CITY]], ", ",Prequal[[#This Row],[STATE]])</f>
        <v>Dixon, IL</v>
      </c>
    </row>
    <row r="3452" spans="2:8" x14ac:dyDescent="0.2">
      <c r="B3452" s="41" t="s">
        <v>345</v>
      </c>
      <c r="C3452" s="42" t="s">
        <v>969</v>
      </c>
      <c r="D3452" s="43" t="s">
        <v>9</v>
      </c>
      <c r="E3452" s="44" t="s">
        <v>496</v>
      </c>
      <c r="F3452" s="42" t="s">
        <v>356</v>
      </c>
      <c r="G3452" s="30" t="s">
        <v>809</v>
      </c>
      <c r="H3452" t="str">
        <f>CONCATENATE(Prequal[[#This Row],[CITY]], ", ",Prequal[[#This Row],[STATE]])</f>
        <v>Dixon, IL</v>
      </c>
    </row>
    <row r="3453" spans="2:8" x14ac:dyDescent="0.2">
      <c r="B3453" s="41" t="s">
        <v>345</v>
      </c>
      <c r="C3453" s="42" t="s">
        <v>969</v>
      </c>
      <c r="D3453" s="43" t="s">
        <v>27</v>
      </c>
      <c r="E3453" s="44" t="s">
        <v>496</v>
      </c>
      <c r="F3453" s="42" t="s">
        <v>356</v>
      </c>
      <c r="G3453" s="30" t="s">
        <v>809</v>
      </c>
      <c r="H3453" t="str">
        <f>CONCATENATE(Prequal[[#This Row],[CITY]], ", ",Prequal[[#This Row],[STATE]])</f>
        <v>Dixon, IL</v>
      </c>
    </row>
    <row r="3454" spans="2:8" x14ac:dyDescent="0.2">
      <c r="B3454" s="45" t="s">
        <v>345</v>
      </c>
      <c r="C3454" s="46" t="s">
        <v>969</v>
      </c>
      <c r="D3454" s="47" t="s">
        <v>10</v>
      </c>
      <c r="E3454" s="48" t="s">
        <v>496</v>
      </c>
      <c r="F3454" s="46" t="s">
        <v>356</v>
      </c>
      <c r="G3454" s="30" t="s">
        <v>809</v>
      </c>
      <c r="H3454" t="str">
        <f>CONCATENATE(Prequal[[#This Row],[CITY]], ", ",Prequal[[#This Row],[STATE]])</f>
        <v>Dixon, IL</v>
      </c>
    </row>
    <row r="3455" spans="2:8" x14ac:dyDescent="0.2">
      <c r="B3455" s="45" t="s">
        <v>345</v>
      </c>
      <c r="C3455" s="46" t="s">
        <v>969</v>
      </c>
      <c r="D3455" s="47" t="s">
        <v>12</v>
      </c>
      <c r="E3455" s="48" t="s">
        <v>496</v>
      </c>
      <c r="F3455" s="46" t="s">
        <v>356</v>
      </c>
      <c r="G3455" s="30" t="s">
        <v>809</v>
      </c>
      <c r="H3455" t="str">
        <f>CONCATENATE(Prequal[[#This Row],[CITY]], ", ",Prequal[[#This Row],[STATE]])</f>
        <v>Dixon, IL</v>
      </c>
    </row>
    <row r="3456" spans="2:8" x14ac:dyDescent="0.2">
      <c r="B3456" s="45" t="s">
        <v>345</v>
      </c>
      <c r="C3456" s="46" t="s">
        <v>969</v>
      </c>
      <c r="D3456" s="47" t="s">
        <v>29</v>
      </c>
      <c r="E3456" s="48" t="s">
        <v>496</v>
      </c>
      <c r="F3456" s="46" t="s">
        <v>356</v>
      </c>
      <c r="G3456" s="30" t="s">
        <v>809</v>
      </c>
      <c r="H3456" t="str">
        <f>CONCATENATE(Prequal[[#This Row],[CITY]], ", ",Prequal[[#This Row],[STATE]])</f>
        <v>Dixon, IL</v>
      </c>
    </row>
    <row r="3457" spans="2:8" x14ac:dyDescent="0.2">
      <c r="B3457" s="45" t="s">
        <v>345</v>
      </c>
      <c r="C3457" s="46" t="s">
        <v>969</v>
      </c>
      <c r="D3457" s="47" t="s">
        <v>37</v>
      </c>
      <c r="E3457" s="48" t="s">
        <v>496</v>
      </c>
      <c r="F3457" s="46" t="s">
        <v>356</v>
      </c>
      <c r="G3457" s="30" t="s">
        <v>809</v>
      </c>
      <c r="H3457" t="str">
        <f>CONCATENATE(Prequal[[#This Row],[CITY]], ", ",Prequal[[#This Row],[STATE]])</f>
        <v>Dixon, IL</v>
      </c>
    </row>
    <row r="3458" spans="2:8" x14ac:dyDescent="0.2">
      <c r="B3458" s="45" t="s">
        <v>345</v>
      </c>
      <c r="C3458" s="46" t="s">
        <v>969</v>
      </c>
      <c r="D3458" s="47" t="s">
        <v>14</v>
      </c>
      <c r="E3458" s="48" t="s">
        <v>496</v>
      </c>
      <c r="F3458" s="46" t="s">
        <v>356</v>
      </c>
      <c r="G3458" s="30" t="s">
        <v>809</v>
      </c>
      <c r="H3458" t="str">
        <f>CONCATENATE(Prequal[[#This Row],[CITY]], ", ",Prequal[[#This Row],[STATE]])</f>
        <v>Dixon, IL</v>
      </c>
    </row>
    <row r="3459" spans="2:8" x14ac:dyDescent="0.2">
      <c r="B3459" s="45" t="s">
        <v>345</v>
      </c>
      <c r="C3459" s="46" t="s">
        <v>969</v>
      </c>
      <c r="D3459" s="47" t="s">
        <v>15</v>
      </c>
      <c r="E3459" s="48" t="s">
        <v>496</v>
      </c>
      <c r="F3459" s="46" t="s">
        <v>356</v>
      </c>
      <c r="G3459" s="30" t="s">
        <v>809</v>
      </c>
      <c r="H3459" t="str">
        <f>CONCATENATE(Prequal[[#This Row],[CITY]], ", ",Prequal[[#This Row],[STATE]])</f>
        <v>Dixon, IL</v>
      </c>
    </row>
    <row r="3460" spans="2:8" x14ac:dyDescent="0.2">
      <c r="B3460" s="45" t="s">
        <v>345</v>
      </c>
      <c r="C3460" s="46" t="s">
        <v>969</v>
      </c>
      <c r="D3460" s="47" t="s">
        <v>30</v>
      </c>
      <c r="E3460" s="48" t="s">
        <v>496</v>
      </c>
      <c r="F3460" s="46" t="s">
        <v>356</v>
      </c>
      <c r="G3460" s="30" t="s">
        <v>809</v>
      </c>
      <c r="H3460" t="str">
        <f>CONCATENATE(Prequal[[#This Row],[CITY]], ", ",Prequal[[#This Row],[STATE]])</f>
        <v>Dixon, IL</v>
      </c>
    </row>
    <row r="3461" spans="2:8" x14ac:dyDescent="0.2">
      <c r="B3461" s="45" t="s">
        <v>345</v>
      </c>
      <c r="C3461" s="46" t="s">
        <v>969</v>
      </c>
      <c r="D3461" s="47" t="s">
        <v>31</v>
      </c>
      <c r="E3461" s="48" t="s">
        <v>496</v>
      </c>
      <c r="F3461" s="46" t="s">
        <v>356</v>
      </c>
      <c r="G3461" s="30" t="s">
        <v>809</v>
      </c>
      <c r="H3461" t="str">
        <f>CONCATENATE(Prequal[[#This Row],[CITY]], ", ",Prequal[[#This Row],[STATE]])</f>
        <v>Dixon, IL</v>
      </c>
    </row>
    <row r="3462" spans="2:8" x14ac:dyDescent="0.2">
      <c r="B3462" s="45" t="s">
        <v>345</v>
      </c>
      <c r="C3462" s="46" t="s">
        <v>969</v>
      </c>
      <c r="D3462" s="47" t="s">
        <v>32</v>
      </c>
      <c r="E3462" s="48" t="s">
        <v>496</v>
      </c>
      <c r="F3462" s="46" t="s">
        <v>356</v>
      </c>
      <c r="G3462" s="30" t="s">
        <v>809</v>
      </c>
      <c r="H3462" t="str">
        <f>CONCATENATE(Prequal[[#This Row],[CITY]], ", ",Prequal[[#This Row],[STATE]])</f>
        <v>Dixon, IL</v>
      </c>
    </row>
    <row r="3463" spans="2:8" x14ac:dyDescent="0.2">
      <c r="B3463" s="45" t="s">
        <v>346</v>
      </c>
      <c r="C3463" s="46" t="s">
        <v>969</v>
      </c>
      <c r="D3463" s="47" t="s">
        <v>5</v>
      </c>
      <c r="E3463" s="48" t="s">
        <v>376</v>
      </c>
      <c r="F3463" s="46" t="s">
        <v>356</v>
      </c>
      <c r="G3463" s="30" t="s">
        <v>810</v>
      </c>
      <c r="H3463" t="str">
        <f>CONCATENATE(Prequal[[#This Row],[CITY]], ", ",Prequal[[#This Row],[STATE]])</f>
        <v>Northbrook, IL</v>
      </c>
    </row>
    <row r="3464" spans="2:8" x14ac:dyDescent="0.2">
      <c r="B3464" s="27" t="s">
        <v>346</v>
      </c>
      <c r="C3464" s="28" t="s">
        <v>969</v>
      </c>
      <c r="D3464" s="29" t="s">
        <v>21</v>
      </c>
      <c r="E3464" s="30" t="s">
        <v>376</v>
      </c>
      <c r="F3464" s="28" t="s">
        <v>356</v>
      </c>
      <c r="G3464" s="30" t="s">
        <v>810</v>
      </c>
      <c r="H3464" t="str">
        <f>CONCATENATE(Prequal[[#This Row],[CITY]], ", ",Prequal[[#This Row],[STATE]])</f>
        <v>Northbrook, IL</v>
      </c>
    </row>
    <row r="3465" spans="2:8" x14ac:dyDescent="0.2">
      <c r="B3465" s="27" t="s">
        <v>346</v>
      </c>
      <c r="C3465" s="28" t="s">
        <v>969</v>
      </c>
      <c r="D3465" s="29" t="s">
        <v>22</v>
      </c>
      <c r="E3465" s="30" t="s">
        <v>376</v>
      </c>
      <c r="F3465" s="28" t="s">
        <v>356</v>
      </c>
      <c r="G3465" s="30" t="s">
        <v>810</v>
      </c>
      <c r="H3465" t="str">
        <f>CONCATENATE(Prequal[[#This Row],[CITY]], ", ",Prequal[[#This Row],[STATE]])</f>
        <v>Northbrook, IL</v>
      </c>
    </row>
    <row r="3466" spans="2:8" x14ac:dyDescent="0.2">
      <c r="B3466" s="27" t="s">
        <v>346</v>
      </c>
      <c r="C3466" s="28" t="s">
        <v>969</v>
      </c>
      <c r="D3466" s="29" t="s">
        <v>30</v>
      </c>
      <c r="E3466" s="30" t="s">
        <v>376</v>
      </c>
      <c r="F3466" s="28" t="s">
        <v>356</v>
      </c>
      <c r="G3466" s="30" t="s">
        <v>810</v>
      </c>
      <c r="H3466" t="str">
        <f>CONCATENATE(Prequal[[#This Row],[CITY]], ", ",Prequal[[#This Row],[STATE]])</f>
        <v>Northbrook, IL</v>
      </c>
    </row>
    <row r="3467" spans="2:8" x14ac:dyDescent="0.2">
      <c r="B3467" s="27" t="s">
        <v>346</v>
      </c>
      <c r="C3467" s="28" t="s">
        <v>969</v>
      </c>
      <c r="D3467" s="29" t="s">
        <v>53</v>
      </c>
      <c r="E3467" s="30" t="s">
        <v>376</v>
      </c>
      <c r="F3467" s="28" t="s">
        <v>356</v>
      </c>
      <c r="G3467" s="30" t="s">
        <v>810</v>
      </c>
      <c r="H3467" t="str">
        <f>CONCATENATE(Prequal[[#This Row],[CITY]], ", ",Prequal[[#This Row],[STATE]])</f>
        <v>Northbrook, IL</v>
      </c>
    </row>
    <row r="3468" spans="2:8" x14ac:dyDescent="0.2">
      <c r="B3468" s="27" t="s">
        <v>346</v>
      </c>
      <c r="C3468" s="28" t="s">
        <v>969</v>
      </c>
      <c r="D3468" s="29" t="s">
        <v>31</v>
      </c>
      <c r="E3468" s="30" t="s">
        <v>376</v>
      </c>
      <c r="F3468" s="28" t="s">
        <v>356</v>
      </c>
      <c r="G3468" s="30" t="s">
        <v>810</v>
      </c>
      <c r="H3468" t="str">
        <f>CONCATENATE(Prequal[[#This Row],[CITY]], ", ",Prequal[[#This Row],[STATE]])</f>
        <v>Northbrook, IL</v>
      </c>
    </row>
    <row r="3469" spans="2:8" x14ac:dyDescent="0.2">
      <c r="B3469" s="27" t="s">
        <v>346</v>
      </c>
      <c r="C3469" s="28" t="s">
        <v>969</v>
      </c>
      <c r="D3469" s="29" t="s">
        <v>32</v>
      </c>
      <c r="E3469" s="30" t="s">
        <v>376</v>
      </c>
      <c r="F3469" s="28" t="s">
        <v>356</v>
      </c>
      <c r="G3469" s="30" t="s">
        <v>810</v>
      </c>
      <c r="H3469" t="str">
        <f>CONCATENATE(Prequal[[#This Row],[CITY]], ", ",Prequal[[#This Row],[STATE]])</f>
        <v>Northbrook, IL</v>
      </c>
    </row>
    <row r="3470" spans="2:8" x14ac:dyDescent="0.2">
      <c r="B3470" s="27" t="s">
        <v>346</v>
      </c>
      <c r="C3470" s="28" t="s">
        <v>969</v>
      </c>
      <c r="D3470" s="29" t="s">
        <v>54</v>
      </c>
      <c r="E3470" s="30" t="s">
        <v>376</v>
      </c>
      <c r="F3470" s="28" t="s">
        <v>356</v>
      </c>
      <c r="G3470" s="30" t="s">
        <v>810</v>
      </c>
      <c r="H3470" t="str">
        <f>CONCATENATE(Prequal[[#This Row],[CITY]], ", ",Prequal[[#This Row],[STATE]])</f>
        <v>Northbrook, IL</v>
      </c>
    </row>
    <row r="3471" spans="2:8" x14ac:dyDescent="0.2">
      <c r="B3471" s="27" t="s">
        <v>346</v>
      </c>
      <c r="C3471" s="28" t="s">
        <v>969</v>
      </c>
      <c r="D3471" s="29" t="s">
        <v>38</v>
      </c>
      <c r="E3471" s="30" t="s">
        <v>376</v>
      </c>
      <c r="F3471" s="28" t="s">
        <v>356</v>
      </c>
      <c r="G3471" s="30" t="s">
        <v>810</v>
      </c>
      <c r="H3471" t="str">
        <f>CONCATENATE(Prequal[[#This Row],[CITY]], ", ",Prequal[[#This Row],[STATE]])</f>
        <v>Northbrook, IL</v>
      </c>
    </row>
    <row r="3472" spans="2:8" x14ac:dyDescent="0.2">
      <c r="B3472" s="27" t="s">
        <v>346</v>
      </c>
      <c r="C3472" s="28" t="s">
        <v>969</v>
      </c>
      <c r="D3472" s="29" t="s">
        <v>55</v>
      </c>
      <c r="E3472" s="30" t="s">
        <v>376</v>
      </c>
      <c r="F3472" s="28" t="s">
        <v>356</v>
      </c>
      <c r="G3472" s="30" t="s">
        <v>810</v>
      </c>
      <c r="H3472" t="str">
        <f>CONCATENATE(Prequal[[#This Row],[CITY]], ", ",Prequal[[#This Row],[STATE]])</f>
        <v>Northbrook, IL</v>
      </c>
    </row>
    <row r="3473" spans="2:8" x14ac:dyDescent="0.2">
      <c r="B3473" s="27" t="s">
        <v>347</v>
      </c>
      <c r="C3473" s="28" t="s">
        <v>969</v>
      </c>
      <c r="D3473" s="29" t="s">
        <v>42</v>
      </c>
      <c r="E3473" s="30" t="s">
        <v>505</v>
      </c>
      <c r="F3473" s="28" t="s">
        <v>457</v>
      </c>
      <c r="G3473" s="30" t="s">
        <v>855</v>
      </c>
      <c r="H3473" t="str">
        <f>CONCATENATE(Prequal[[#This Row],[CITY]], ", ",Prequal[[#This Row],[STATE]])</f>
        <v>Dayton, OH</v>
      </c>
    </row>
    <row r="3474" spans="2:8" x14ac:dyDescent="0.2">
      <c r="B3474" s="27" t="s">
        <v>347</v>
      </c>
      <c r="C3474" s="28" t="s">
        <v>969</v>
      </c>
      <c r="D3474" s="29" t="s">
        <v>5</v>
      </c>
      <c r="E3474" s="30" t="s">
        <v>505</v>
      </c>
      <c r="F3474" s="28" t="s">
        <v>457</v>
      </c>
      <c r="G3474" s="30" t="s">
        <v>855</v>
      </c>
      <c r="H3474" t="str">
        <f>CONCATENATE(Prequal[[#This Row],[CITY]], ", ",Prequal[[#This Row],[STATE]])</f>
        <v>Dayton, OH</v>
      </c>
    </row>
    <row r="3475" spans="2:8" x14ac:dyDescent="0.2">
      <c r="B3475" s="27" t="s">
        <v>347</v>
      </c>
      <c r="C3475" s="28" t="s">
        <v>969</v>
      </c>
      <c r="D3475" s="29" t="s">
        <v>81</v>
      </c>
      <c r="E3475" s="30" t="s">
        <v>505</v>
      </c>
      <c r="F3475" s="28" t="s">
        <v>457</v>
      </c>
      <c r="G3475" s="30" t="s">
        <v>855</v>
      </c>
      <c r="H3475" t="str">
        <f>CONCATENATE(Prequal[[#This Row],[CITY]], ", ",Prequal[[#This Row],[STATE]])</f>
        <v>Dayton, OH</v>
      </c>
    </row>
    <row r="3476" spans="2:8" x14ac:dyDescent="0.2">
      <c r="B3476" s="27" t="s">
        <v>347</v>
      </c>
      <c r="C3476" s="28" t="s">
        <v>969</v>
      </c>
      <c r="D3476" s="29" t="s">
        <v>21</v>
      </c>
      <c r="E3476" s="30" t="s">
        <v>505</v>
      </c>
      <c r="F3476" s="28" t="s">
        <v>457</v>
      </c>
      <c r="G3476" s="30" t="s">
        <v>855</v>
      </c>
      <c r="H3476" t="str">
        <f>CONCATENATE(Prequal[[#This Row],[CITY]], ", ",Prequal[[#This Row],[STATE]])</f>
        <v>Dayton, OH</v>
      </c>
    </row>
    <row r="3477" spans="2:8" x14ac:dyDescent="0.2">
      <c r="B3477" s="27" t="s">
        <v>347</v>
      </c>
      <c r="C3477" s="28" t="s">
        <v>969</v>
      </c>
      <c r="D3477" s="29" t="s">
        <v>28</v>
      </c>
      <c r="E3477" s="30" t="s">
        <v>505</v>
      </c>
      <c r="F3477" s="28" t="s">
        <v>457</v>
      </c>
      <c r="G3477" s="30" t="s">
        <v>855</v>
      </c>
      <c r="H3477" t="str">
        <f>CONCATENATE(Prequal[[#This Row],[CITY]], ", ",Prequal[[#This Row],[STATE]])</f>
        <v>Dayton, OH</v>
      </c>
    </row>
    <row r="3478" spans="2:8" x14ac:dyDescent="0.2">
      <c r="B3478" s="27" t="s">
        <v>347</v>
      </c>
      <c r="C3478" s="28" t="s">
        <v>969</v>
      </c>
      <c r="D3478" s="29" t="s">
        <v>29</v>
      </c>
      <c r="E3478" s="30" t="s">
        <v>505</v>
      </c>
      <c r="F3478" s="28" t="s">
        <v>457</v>
      </c>
      <c r="G3478" s="30" t="s">
        <v>855</v>
      </c>
      <c r="H3478" t="str">
        <f>CONCATENATE(Prequal[[#This Row],[CITY]], ", ",Prequal[[#This Row],[STATE]])</f>
        <v>Dayton, OH</v>
      </c>
    </row>
    <row r="3479" spans="2:8" x14ac:dyDescent="0.2">
      <c r="B3479" s="27" t="s">
        <v>899</v>
      </c>
      <c r="C3479" s="28" t="s">
        <v>969</v>
      </c>
      <c r="D3479" s="29" t="s">
        <v>46</v>
      </c>
      <c r="E3479" s="30" t="s">
        <v>409</v>
      </c>
      <c r="F3479" s="28" t="s">
        <v>356</v>
      </c>
      <c r="G3479" s="30" t="s">
        <v>1078</v>
      </c>
      <c r="H3479" t="str">
        <f>CONCATENATE(Prequal[[#This Row],[CITY]], ", ",Prequal[[#This Row],[STATE]])</f>
        <v>Peoria, IL</v>
      </c>
    </row>
    <row r="3480" spans="2:8" x14ac:dyDescent="0.2">
      <c r="B3480" s="27" t="s">
        <v>899</v>
      </c>
      <c r="C3480" s="28" t="s">
        <v>969</v>
      </c>
      <c r="D3480" s="29" t="s">
        <v>47</v>
      </c>
      <c r="E3480" s="30" t="s">
        <v>409</v>
      </c>
      <c r="F3480" s="28" t="s">
        <v>356</v>
      </c>
      <c r="G3480" s="30" t="s">
        <v>1078</v>
      </c>
      <c r="H3480" t="str">
        <f>CONCATENATE(Prequal[[#This Row],[CITY]], ", ",Prequal[[#This Row],[STATE]])</f>
        <v>Peoria, IL</v>
      </c>
    </row>
    <row r="3481" spans="2:8" x14ac:dyDescent="0.2">
      <c r="B3481" s="27" t="s">
        <v>899</v>
      </c>
      <c r="C3481" s="28" t="s">
        <v>969</v>
      </c>
      <c r="D3481" s="29" t="s">
        <v>75</v>
      </c>
      <c r="E3481" s="30" t="s">
        <v>409</v>
      </c>
      <c r="F3481" s="28" t="s">
        <v>356</v>
      </c>
      <c r="G3481" s="30" t="s">
        <v>1078</v>
      </c>
      <c r="H3481" t="str">
        <f>CONCATENATE(Prequal[[#This Row],[CITY]], ", ",Prequal[[#This Row],[STATE]])</f>
        <v>Peoria, IL</v>
      </c>
    </row>
    <row r="3482" spans="2:8" x14ac:dyDescent="0.2">
      <c r="B3482" s="49" t="s">
        <v>899</v>
      </c>
      <c r="C3482" s="50" t="s">
        <v>969</v>
      </c>
      <c r="D3482" s="51" t="s">
        <v>50</v>
      </c>
      <c r="E3482" s="52" t="s">
        <v>409</v>
      </c>
      <c r="F3482" s="50" t="s">
        <v>356</v>
      </c>
      <c r="G3482" s="30" t="s">
        <v>1078</v>
      </c>
      <c r="H3482" t="str">
        <f>CONCATENATE(Prequal[[#This Row],[CITY]], ", ",Prequal[[#This Row],[STATE]])</f>
        <v>Peoria, IL</v>
      </c>
    </row>
    <row r="3483" spans="2:8" x14ac:dyDescent="0.2">
      <c r="B3483" s="49" t="s">
        <v>899</v>
      </c>
      <c r="C3483" s="50" t="s">
        <v>969</v>
      </c>
      <c r="D3483" s="51" t="s">
        <v>18</v>
      </c>
      <c r="E3483" s="52" t="s">
        <v>409</v>
      </c>
      <c r="F3483" s="50" t="s">
        <v>356</v>
      </c>
      <c r="G3483" s="30" t="s">
        <v>1078</v>
      </c>
      <c r="H3483" t="str">
        <f>CONCATENATE(Prequal[[#This Row],[CITY]], ", ",Prequal[[#This Row],[STATE]])</f>
        <v>Peoria, IL</v>
      </c>
    </row>
    <row r="3484" spans="2:8" x14ac:dyDescent="0.2">
      <c r="B3484" s="49" t="s">
        <v>899</v>
      </c>
      <c r="C3484" s="50" t="s">
        <v>969</v>
      </c>
      <c r="D3484" s="51" t="s">
        <v>12</v>
      </c>
      <c r="E3484" s="52" t="s">
        <v>409</v>
      </c>
      <c r="F3484" s="50" t="s">
        <v>356</v>
      </c>
      <c r="G3484" s="30" t="s">
        <v>1078</v>
      </c>
      <c r="H3484" t="str">
        <f>CONCATENATE(Prequal[[#This Row],[CITY]], ", ",Prequal[[#This Row],[STATE]])</f>
        <v>Peoria, IL</v>
      </c>
    </row>
    <row r="3485" spans="2:8" x14ac:dyDescent="0.2">
      <c r="B3485" s="49" t="s">
        <v>348</v>
      </c>
      <c r="C3485" s="50" t="s">
        <v>969</v>
      </c>
      <c r="D3485" s="51" t="s">
        <v>35</v>
      </c>
      <c r="E3485" s="52" t="s">
        <v>947</v>
      </c>
      <c r="F3485" s="50" t="s">
        <v>356</v>
      </c>
      <c r="G3485" s="30" t="s">
        <v>856</v>
      </c>
      <c r="H3485" t="str">
        <f>CONCATENATE(Prequal[[#This Row],[CITY]], ", ",Prequal[[#This Row],[STATE]])</f>
        <v>Chicago, IL</v>
      </c>
    </row>
    <row r="3486" spans="2:8" x14ac:dyDescent="0.2">
      <c r="B3486" s="49" t="s">
        <v>348</v>
      </c>
      <c r="C3486" s="50" t="s">
        <v>969</v>
      </c>
      <c r="D3486" s="51" t="s">
        <v>124</v>
      </c>
      <c r="E3486" s="52" t="s">
        <v>947</v>
      </c>
      <c r="F3486" s="50" t="s">
        <v>356</v>
      </c>
      <c r="G3486" s="30" t="s">
        <v>856</v>
      </c>
      <c r="H3486" t="str">
        <f>CONCATENATE(Prequal[[#This Row],[CITY]], ", ",Prequal[[#This Row],[STATE]])</f>
        <v>Chicago, IL</v>
      </c>
    </row>
    <row r="3487" spans="2:8" x14ac:dyDescent="0.2">
      <c r="B3487" s="49" t="s">
        <v>348</v>
      </c>
      <c r="C3487" s="50" t="s">
        <v>969</v>
      </c>
      <c r="D3487" s="51" t="s">
        <v>36</v>
      </c>
      <c r="E3487" s="52" t="s">
        <v>947</v>
      </c>
      <c r="F3487" s="50" t="s">
        <v>356</v>
      </c>
      <c r="G3487" s="30" t="s">
        <v>856</v>
      </c>
      <c r="H3487" t="str">
        <f>CONCATENATE(Prequal[[#This Row],[CITY]], ", ",Prequal[[#This Row],[STATE]])</f>
        <v>Chicago, IL</v>
      </c>
    </row>
    <row r="3488" spans="2:8" x14ac:dyDescent="0.2">
      <c r="B3488" s="49" t="s">
        <v>348</v>
      </c>
      <c r="C3488" s="50" t="s">
        <v>969</v>
      </c>
      <c r="D3488" s="51" t="s">
        <v>125</v>
      </c>
      <c r="E3488" s="52" t="s">
        <v>947</v>
      </c>
      <c r="F3488" s="50" t="s">
        <v>356</v>
      </c>
      <c r="G3488" s="30" t="s">
        <v>856</v>
      </c>
      <c r="H3488" t="str">
        <f>CONCATENATE(Prequal[[#This Row],[CITY]], ", ",Prequal[[#This Row],[STATE]])</f>
        <v>Chicago, IL</v>
      </c>
    </row>
    <row r="3489" spans="2:8" x14ac:dyDescent="0.2">
      <c r="B3489" s="49" t="s">
        <v>348</v>
      </c>
      <c r="C3489" s="50" t="s">
        <v>969</v>
      </c>
      <c r="D3489" s="51" t="s">
        <v>42</v>
      </c>
      <c r="E3489" s="52" t="s">
        <v>947</v>
      </c>
      <c r="F3489" s="50" t="s">
        <v>356</v>
      </c>
      <c r="G3489" s="30" t="s">
        <v>856</v>
      </c>
      <c r="H3489" t="str">
        <f>CONCATENATE(Prequal[[#This Row],[CITY]], ", ",Prequal[[#This Row],[STATE]])</f>
        <v>Chicago, IL</v>
      </c>
    </row>
    <row r="3490" spans="2:8" x14ac:dyDescent="0.2">
      <c r="B3490" s="49" t="s">
        <v>348</v>
      </c>
      <c r="C3490" s="50" t="s">
        <v>969</v>
      </c>
      <c r="D3490" s="51" t="s">
        <v>43</v>
      </c>
      <c r="E3490" s="52" t="s">
        <v>947</v>
      </c>
      <c r="F3490" s="50" t="s">
        <v>356</v>
      </c>
      <c r="G3490" s="30" t="s">
        <v>856</v>
      </c>
      <c r="H3490" t="str">
        <f>CONCATENATE(Prequal[[#This Row],[CITY]], ", ",Prequal[[#This Row],[STATE]])</f>
        <v>Chicago, IL</v>
      </c>
    </row>
    <row r="3491" spans="2:8" x14ac:dyDescent="0.2">
      <c r="B3491" s="49" t="s">
        <v>348</v>
      </c>
      <c r="C3491" s="50" t="s">
        <v>969</v>
      </c>
      <c r="D3491" s="51" t="s">
        <v>44</v>
      </c>
      <c r="E3491" s="52" t="s">
        <v>947</v>
      </c>
      <c r="F3491" s="50" t="s">
        <v>356</v>
      </c>
      <c r="G3491" s="30" t="s">
        <v>856</v>
      </c>
      <c r="H3491" t="str">
        <f>CONCATENATE(Prequal[[#This Row],[CITY]], ", ",Prequal[[#This Row],[STATE]])</f>
        <v>Chicago, IL</v>
      </c>
    </row>
    <row r="3492" spans="2:8" x14ac:dyDescent="0.2">
      <c r="B3492" s="49" t="s">
        <v>348</v>
      </c>
      <c r="C3492" s="50" t="s">
        <v>969</v>
      </c>
      <c r="D3492" s="51" t="s">
        <v>45</v>
      </c>
      <c r="E3492" s="52" t="s">
        <v>947</v>
      </c>
      <c r="F3492" s="50" t="s">
        <v>356</v>
      </c>
      <c r="G3492" s="30" t="s">
        <v>856</v>
      </c>
      <c r="H3492" t="str">
        <f>CONCATENATE(Prequal[[#This Row],[CITY]], ", ",Prequal[[#This Row],[STATE]])</f>
        <v>Chicago, IL</v>
      </c>
    </row>
    <row r="3493" spans="2:8" x14ac:dyDescent="0.2">
      <c r="B3493" s="49" t="s">
        <v>348</v>
      </c>
      <c r="C3493" s="50" t="s">
        <v>969</v>
      </c>
      <c r="D3493" s="51" t="s">
        <v>46</v>
      </c>
      <c r="E3493" s="52" t="s">
        <v>947</v>
      </c>
      <c r="F3493" s="50" t="s">
        <v>356</v>
      </c>
      <c r="G3493" s="30" t="s">
        <v>856</v>
      </c>
      <c r="H3493" t="str">
        <f>CONCATENATE(Prequal[[#This Row],[CITY]], ", ",Prequal[[#This Row],[STATE]])</f>
        <v>Chicago, IL</v>
      </c>
    </row>
    <row r="3494" spans="2:8" x14ac:dyDescent="0.2">
      <c r="B3494" s="49" t="s">
        <v>348</v>
      </c>
      <c r="C3494" s="50" t="s">
        <v>969</v>
      </c>
      <c r="D3494" s="51" t="s">
        <v>47</v>
      </c>
      <c r="E3494" s="52" t="s">
        <v>947</v>
      </c>
      <c r="F3494" s="50" t="s">
        <v>356</v>
      </c>
      <c r="G3494" s="30" t="s">
        <v>856</v>
      </c>
      <c r="H3494" t="str">
        <f>CONCATENATE(Prequal[[#This Row],[CITY]], ", ",Prequal[[#This Row],[STATE]])</f>
        <v>Chicago, IL</v>
      </c>
    </row>
    <row r="3495" spans="2:8" x14ac:dyDescent="0.2">
      <c r="B3495" s="49" t="s">
        <v>348</v>
      </c>
      <c r="C3495" s="50" t="s">
        <v>969</v>
      </c>
      <c r="D3495" s="51" t="s">
        <v>48</v>
      </c>
      <c r="E3495" s="52" t="s">
        <v>947</v>
      </c>
      <c r="F3495" s="50" t="s">
        <v>356</v>
      </c>
      <c r="G3495" s="30" t="s">
        <v>856</v>
      </c>
      <c r="H3495" t="str">
        <f>CONCATENATE(Prequal[[#This Row],[CITY]], ", ",Prequal[[#This Row],[STATE]])</f>
        <v>Chicago, IL</v>
      </c>
    </row>
    <row r="3496" spans="2:8" x14ac:dyDescent="0.2">
      <c r="B3496" s="49" t="s">
        <v>348</v>
      </c>
      <c r="C3496" s="50" t="s">
        <v>969</v>
      </c>
      <c r="D3496" s="51" t="s">
        <v>4</v>
      </c>
      <c r="E3496" s="52" t="s">
        <v>947</v>
      </c>
      <c r="F3496" s="50" t="s">
        <v>356</v>
      </c>
      <c r="G3496" s="30" t="s">
        <v>856</v>
      </c>
      <c r="H3496" t="str">
        <f>CONCATENATE(Prequal[[#This Row],[CITY]], ", ",Prequal[[#This Row],[STATE]])</f>
        <v>Chicago, IL</v>
      </c>
    </row>
    <row r="3497" spans="2:8" x14ac:dyDescent="0.2">
      <c r="B3497" s="49" t="s">
        <v>348</v>
      </c>
      <c r="C3497" s="50" t="s">
        <v>969</v>
      </c>
      <c r="D3497" s="51" t="s">
        <v>5</v>
      </c>
      <c r="E3497" s="52" t="s">
        <v>947</v>
      </c>
      <c r="F3497" s="50" t="s">
        <v>356</v>
      </c>
      <c r="G3497" s="30" t="s">
        <v>856</v>
      </c>
      <c r="H3497" t="str">
        <f>CONCATENATE(Prequal[[#This Row],[CITY]], ", ",Prequal[[#This Row],[STATE]])</f>
        <v>Chicago, IL</v>
      </c>
    </row>
    <row r="3498" spans="2:8" x14ac:dyDescent="0.2">
      <c r="B3498" s="49" t="s">
        <v>348</v>
      </c>
      <c r="C3498" s="50" t="s">
        <v>969</v>
      </c>
      <c r="D3498" s="51" t="s">
        <v>6</v>
      </c>
      <c r="E3498" s="52" t="s">
        <v>947</v>
      </c>
      <c r="F3498" s="50" t="s">
        <v>356</v>
      </c>
      <c r="G3498" s="30" t="s">
        <v>856</v>
      </c>
      <c r="H3498" t="str">
        <f>CONCATENATE(Prequal[[#This Row],[CITY]], ", ",Prequal[[#This Row],[STATE]])</f>
        <v>Chicago, IL</v>
      </c>
    </row>
    <row r="3499" spans="2:8" x14ac:dyDescent="0.2">
      <c r="B3499" s="49" t="s">
        <v>348</v>
      </c>
      <c r="C3499" s="50" t="s">
        <v>969</v>
      </c>
      <c r="D3499" s="51" t="s">
        <v>7</v>
      </c>
      <c r="E3499" s="52" t="s">
        <v>947</v>
      </c>
      <c r="F3499" s="50" t="s">
        <v>356</v>
      </c>
      <c r="G3499" s="30" t="s">
        <v>856</v>
      </c>
      <c r="H3499" t="str">
        <f>CONCATENATE(Prequal[[#This Row],[CITY]], ", ",Prequal[[#This Row],[STATE]])</f>
        <v>Chicago, IL</v>
      </c>
    </row>
    <row r="3500" spans="2:8" x14ac:dyDescent="0.2">
      <c r="B3500" s="49" t="s">
        <v>348</v>
      </c>
      <c r="C3500" s="50" t="s">
        <v>969</v>
      </c>
      <c r="D3500" s="51" t="s">
        <v>8</v>
      </c>
      <c r="E3500" s="52" t="s">
        <v>947</v>
      </c>
      <c r="F3500" s="50" t="s">
        <v>356</v>
      </c>
      <c r="G3500" s="30" t="s">
        <v>856</v>
      </c>
      <c r="H3500" t="str">
        <f>CONCATENATE(Prequal[[#This Row],[CITY]], ", ",Prequal[[#This Row],[STATE]])</f>
        <v>Chicago, IL</v>
      </c>
    </row>
    <row r="3501" spans="2:8" x14ac:dyDescent="0.2">
      <c r="B3501" s="49" t="s">
        <v>348</v>
      </c>
      <c r="C3501" s="50" t="s">
        <v>969</v>
      </c>
      <c r="D3501" s="51" t="s">
        <v>24</v>
      </c>
      <c r="E3501" s="52" t="s">
        <v>947</v>
      </c>
      <c r="F3501" s="50" t="s">
        <v>356</v>
      </c>
      <c r="G3501" s="30" t="s">
        <v>856</v>
      </c>
      <c r="H3501" t="str">
        <f>CONCATENATE(Prequal[[#This Row],[CITY]], ", ",Prequal[[#This Row],[STATE]])</f>
        <v>Chicago, IL</v>
      </c>
    </row>
    <row r="3502" spans="2:8" x14ac:dyDescent="0.2">
      <c r="B3502" s="49" t="s">
        <v>348</v>
      </c>
      <c r="C3502" s="50" t="s">
        <v>969</v>
      </c>
      <c r="D3502" s="51" t="s">
        <v>25</v>
      </c>
      <c r="E3502" s="52" t="s">
        <v>947</v>
      </c>
      <c r="F3502" s="50" t="s">
        <v>356</v>
      </c>
      <c r="G3502" s="30" t="s">
        <v>856</v>
      </c>
      <c r="H3502" t="str">
        <f>CONCATENATE(Prequal[[#This Row],[CITY]], ", ",Prequal[[#This Row],[STATE]])</f>
        <v>Chicago, IL</v>
      </c>
    </row>
    <row r="3503" spans="2:8" x14ac:dyDescent="0.2">
      <c r="B3503" s="49" t="s">
        <v>348</v>
      </c>
      <c r="C3503" s="50" t="s">
        <v>969</v>
      </c>
      <c r="D3503" s="51" t="s">
        <v>9</v>
      </c>
      <c r="E3503" s="52" t="s">
        <v>947</v>
      </c>
      <c r="F3503" s="50" t="s">
        <v>356</v>
      </c>
      <c r="G3503" s="30" t="s">
        <v>856</v>
      </c>
      <c r="H3503" t="str">
        <f>CONCATENATE(Prequal[[#This Row],[CITY]], ", ",Prequal[[#This Row],[STATE]])</f>
        <v>Chicago, IL</v>
      </c>
    </row>
    <row r="3504" spans="2:8" x14ac:dyDescent="0.2">
      <c r="B3504" s="49" t="s">
        <v>348</v>
      </c>
      <c r="C3504" s="50" t="s">
        <v>969</v>
      </c>
      <c r="D3504" s="51" t="s">
        <v>20</v>
      </c>
      <c r="E3504" s="52" t="s">
        <v>947</v>
      </c>
      <c r="F3504" s="50" t="s">
        <v>356</v>
      </c>
      <c r="G3504" s="30" t="s">
        <v>856</v>
      </c>
      <c r="H3504" t="str">
        <f>CONCATENATE(Prequal[[#This Row],[CITY]], ", ",Prequal[[#This Row],[STATE]])</f>
        <v>Chicago, IL</v>
      </c>
    </row>
    <row r="3505" spans="2:8" x14ac:dyDescent="0.2">
      <c r="B3505" s="49" t="s">
        <v>348</v>
      </c>
      <c r="C3505" s="50" t="s">
        <v>969</v>
      </c>
      <c r="D3505" s="51" t="s">
        <v>49</v>
      </c>
      <c r="E3505" s="52" t="s">
        <v>947</v>
      </c>
      <c r="F3505" s="50" t="s">
        <v>356</v>
      </c>
      <c r="G3505" s="30" t="s">
        <v>856</v>
      </c>
      <c r="H3505" t="str">
        <f>CONCATENATE(Prequal[[#This Row],[CITY]], ", ",Prequal[[#This Row],[STATE]])</f>
        <v>Chicago, IL</v>
      </c>
    </row>
    <row r="3506" spans="2:8" x14ac:dyDescent="0.2">
      <c r="B3506" s="49" t="s">
        <v>348</v>
      </c>
      <c r="C3506" s="50" t="s">
        <v>969</v>
      </c>
      <c r="D3506" s="51" t="s">
        <v>27</v>
      </c>
      <c r="E3506" s="52" t="s">
        <v>947</v>
      </c>
      <c r="F3506" s="50" t="s">
        <v>356</v>
      </c>
      <c r="G3506" s="30" t="s">
        <v>856</v>
      </c>
      <c r="H3506" t="str">
        <f>CONCATENATE(Prequal[[#This Row],[CITY]], ", ",Prequal[[#This Row],[STATE]])</f>
        <v>Chicago, IL</v>
      </c>
    </row>
    <row r="3507" spans="2:8" x14ac:dyDescent="0.2">
      <c r="B3507" s="49" t="s">
        <v>348</v>
      </c>
      <c r="C3507" s="50" t="s">
        <v>969</v>
      </c>
      <c r="D3507" s="51" t="s">
        <v>59</v>
      </c>
      <c r="E3507" s="52" t="s">
        <v>947</v>
      </c>
      <c r="F3507" s="50" t="s">
        <v>356</v>
      </c>
      <c r="G3507" s="30" t="s">
        <v>856</v>
      </c>
      <c r="H3507" t="str">
        <f>CONCATENATE(Prequal[[#This Row],[CITY]], ", ",Prequal[[#This Row],[STATE]])</f>
        <v>Chicago, IL</v>
      </c>
    </row>
    <row r="3508" spans="2:8" x14ac:dyDescent="0.2">
      <c r="B3508" s="49" t="s">
        <v>348</v>
      </c>
      <c r="C3508" s="50" t="s">
        <v>969</v>
      </c>
      <c r="D3508" s="51" t="s">
        <v>10</v>
      </c>
      <c r="E3508" s="52" t="s">
        <v>947</v>
      </c>
      <c r="F3508" s="50" t="s">
        <v>356</v>
      </c>
      <c r="G3508" s="30" t="s">
        <v>856</v>
      </c>
      <c r="H3508" t="str">
        <f>CONCATENATE(Prequal[[#This Row],[CITY]], ", ",Prequal[[#This Row],[STATE]])</f>
        <v>Chicago, IL</v>
      </c>
    </row>
    <row r="3509" spans="2:8" x14ac:dyDescent="0.2">
      <c r="B3509" s="49" t="s">
        <v>348</v>
      </c>
      <c r="C3509" s="50" t="s">
        <v>969</v>
      </c>
      <c r="D3509" s="51" t="s">
        <v>21</v>
      </c>
      <c r="E3509" s="52" t="s">
        <v>947</v>
      </c>
      <c r="F3509" s="50" t="s">
        <v>356</v>
      </c>
      <c r="G3509" s="30" t="s">
        <v>856</v>
      </c>
      <c r="H3509" t="str">
        <f>CONCATENATE(Prequal[[#This Row],[CITY]], ", ",Prequal[[#This Row],[STATE]])</f>
        <v>Chicago, IL</v>
      </c>
    </row>
    <row r="3510" spans="2:8" x14ac:dyDescent="0.2">
      <c r="B3510" s="49" t="s">
        <v>348</v>
      </c>
      <c r="C3510" s="50" t="s">
        <v>969</v>
      </c>
      <c r="D3510" s="51" t="s">
        <v>50</v>
      </c>
      <c r="E3510" s="52" t="s">
        <v>947</v>
      </c>
      <c r="F3510" s="50" t="s">
        <v>356</v>
      </c>
      <c r="G3510" s="30" t="s">
        <v>856</v>
      </c>
      <c r="H3510" t="str">
        <f>CONCATENATE(Prequal[[#This Row],[CITY]], ", ",Prequal[[#This Row],[STATE]])</f>
        <v>Chicago, IL</v>
      </c>
    </row>
    <row r="3511" spans="2:8" x14ac:dyDescent="0.2">
      <c r="B3511" s="49" t="s">
        <v>348</v>
      </c>
      <c r="C3511" s="50" t="s">
        <v>969</v>
      </c>
      <c r="D3511" s="51" t="s">
        <v>18</v>
      </c>
      <c r="E3511" s="52" t="s">
        <v>947</v>
      </c>
      <c r="F3511" s="50" t="s">
        <v>356</v>
      </c>
      <c r="G3511" s="30" t="s">
        <v>856</v>
      </c>
      <c r="H3511" t="str">
        <f>CONCATENATE(Prequal[[#This Row],[CITY]], ", ",Prequal[[#This Row],[STATE]])</f>
        <v>Chicago, IL</v>
      </c>
    </row>
    <row r="3512" spans="2:8" x14ac:dyDescent="0.2">
      <c r="B3512" s="49" t="s">
        <v>348</v>
      </c>
      <c r="C3512" s="50" t="s">
        <v>969</v>
      </c>
      <c r="D3512" s="51" t="s">
        <v>11</v>
      </c>
      <c r="E3512" s="52" t="s">
        <v>947</v>
      </c>
      <c r="F3512" s="50" t="s">
        <v>356</v>
      </c>
      <c r="G3512" s="30" t="s">
        <v>856</v>
      </c>
      <c r="H3512" t="str">
        <f>CONCATENATE(Prequal[[#This Row],[CITY]], ", ",Prequal[[#This Row],[STATE]])</f>
        <v>Chicago, IL</v>
      </c>
    </row>
    <row r="3513" spans="2:8" x14ac:dyDescent="0.2">
      <c r="B3513" s="49" t="s">
        <v>348</v>
      </c>
      <c r="C3513" s="50" t="s">
        <v>969</v>
      </c>
      <c r="D3513" s="51" t="s">
        <v>22</v>
      </c>
      <c r="E3513" s="52" t="s">
        <v>947</v>
      </c>
      <c r="F3513" s="50" t="s">
        <v>356</v>
      </c>
      <c r="G3513" s="30" t="s">
        <v>856</v>
      </c>
      <c r="H3513" t="str">
        <f>CONCATENATE(Prequal[[#This Row],[CITY]], ", ",Prequal[[#This Row],[STATE]])</f>
        <v>Chicago, IL</v>
      </c>
    </row>
    <row r="3514" spans="2:8" x14ac:dyDescent="0.2">
      <c r="B3514" s="49" t="s">
        <v>348</v>
      </c>
      <c r="C3514" s="50" t="s">
        <v>969</v>
      </c>
      <c r="D3514" s="51" t="s">
        <v>51</v>
      </c>
      <c r="E3514" s="52" t="s">
        <v>947</v>
      </c>
      <c r="F3514" s="50" t="s">
        <v>356</v>
      </c>
      <c r="G3514" s="30" t="s">
        <v>856</v>
      </c>
      <c r="H3514" t="str">
        <f>CONCATENATE(Prequal[[#This Row],[CITY]], ", ",Prequal[[#This Row],[STATE]])</f>
        <v>Chicago, IL</v>
      </c>
    </row>
    <row r="3515" spans="2:8" x14ac:dyDescent="0.2">
      <c r="B3515" s="49" t="s">
        <v>348</v>
      </c>
      <c r="C3515" s="50" t="s">
        <v>969</v>
      </c>
      <c r="D3515" s="51" t="s">
        <v>39</v>
      </c>
      <c r="E3515" s="52" t="s">
        <v>947</v>
      </c>
      <c r="F3515" s="50" t="s">
        <v>356</v>
      </c>
      <c r="G3515" s="30" t="s">
        <v>856</v>
      </c>
      <c r="H3515" t="str">
        <f>CONCATENATE(Prequal[[#This Row],[CITY]], ", ",Prequal[[#This Row],[STATE]])</f>
        <v>Chicago, IL</v>
      </c>
    </row>
    <row r="3516" spans="2:8" x14ac:dyDescent="0.2">
      <c r="B3516" s="49" t="s">
        <v>348</v>
      </c>
      <c r="C3516" s="50" t="s">
        <v>969</v>
      </c>
      <c r="D3516" s="51" t="s">
        <v>12</v>
      </c>
      <c r="E3516" s="52" t="s">
        <v>947</v>
      </c>
      <c r="F3516" s="50" t="s">
        <v>356</v>
      </c>
      <c r="G3516" s="30" t="s">
        <v>856</v>
      </c>
      <c r="H3516" t="str">
        <f>CONCATENATE(Prequal[[#This Row],[CITY]], ", ",Prequal[[#This Row],[STATE]])</f>
        <v>Chicago, IL</v>
      </c>
    </row>
    <row r="3517" spans="2:8" x14ac:dyDescent="0.2">
      <c r="B3517" s="49" t="s">
        <v>348</v>
      </c>
      <c r="C3517" s="50" t="s">
        <v>969</v>
      </c>
      <c r="D3517" s="51" t="s">
        <v>37</v>
      </c>
      <c r="E3517" s="52" t="s">
        <v>947</v>
      </c>
      <c r="F3517" s="50" t="s">
        <v>356</v>
      </c>
      <c r="G3517" s="30" t="s">
        <v>856</v>
      </c>
      <c r="H3517" t="str">
        <f>CONCATENATE(Prequal[[#This Row],[CITY]], ", ",Prequal[[#This Row],[STATE]])</f>
        <v>Chicago, IL</v>
      </c>
    </row>
    <row r="3518" spans="2:8" x14ac:dyDescent="0.2">
      <c r="B3518" s="49" t="s">
        <v>348</v>
      </c>
      <c r="C3518" s="50" t="s">
        <v>969</v>
      </c>
      <c r="D3518" s="51" t="s">
        <v>13</v>
      </c>
      <c r="E3518" s="52" t="s">
        <v>947</v>
      </c>
      <c r="F3518" s="50" t="s">
        <v>356</v>
      </c>
      <c r="G3518" s="30" t="s">
        <v>856</v>
      </c>
      <c r="H3518" t="str">
        <f>CONCATENATE(Prequal[[#This Row],[CITY]], ", ",Prequal[[#This Row],[STATE]])</f>
        <v>Chicago, IL</v>
      </c>
    </row>
    <row r="3519" spans="2:8" x14ac:dyDescent="0.2">
      <c r="B3519" s="49" t="s">
        <v>348</v>
      </c>
      <c r="C3519" s="50" t="s">
        <v>969</v>
      </c>
      <c r="D3519" s="51" t="s">
        <v>52</v>
      </c>
      <c r="E3519" s="52" t="s">
        <v>947</v>
      </c>
      <c r="F3519" s="50" t="s">
        <v>356</v>
      </c>
      <c r="G3519" s="30" t="s">
        <v>856</v>
      </c>
      <c r="H3519" t="str">
        <f>CONCATENATE(Prequal[[#This Row],[CITY]], ", ",Prequal[[#This Row],[STATE]])</f>
        <v>Chicago, IL</v>
      </c>
    </row>
    <row r="3520" spans="2:8" x14ac:dyDescent="0.2">
      <c r="B3520" s="49" t="s">
        <v>348</v>
      </c>
      <c r="C3520" s="50" t="s">
        <v>969</v>
      </c>
      <c r="D3520" s="51" t="s">
        <v>14</v>
      </c>
      <c r="E3520" s="52" t="s">
        <v>947</v>
      </c>
      <c r="F3520" s="50" t="s">
        <v>356</v>
      </c>
      <c r="G3520" s="30" t="s">
        <v>856</v>
      </c>
      <c r="H3520" t="str">
        <f>CONCATENATE(Prequal[[#This Row],[CITY]], ", ",Prequal[[#This Row],[STATE]])</f>
        <v>Chicago, IL</v>
      </c>
    </row>
    <row r="3521" spans="2:8" x14ac:dyDescent="0.2">
      <c r="B3521" s="49" t="s">
        <v>348</v>
      </c>
      <c r="C3521" s="50" t="s">
        <v>969</v>
      </c>
      <c r="D3521" s="51" t="s">
        <v>15</v>
      </c>
      <c r="E3521" s="52" t="s">
        <v>947</v>
      </c>
      <c r="F3521" s="50" t="s">
        <v>356</v>
      </c>
      <c r="G3521" s="30" t="s">
        <v>856</v>
      </c>
      <c r="H3521" t="str">
        <f>CONCATENATE(Prequal[[#This Row],[CITY]], ", ",Prequal[[#This Row],[STATE]])</f>
        <v>Chicago, IL</v>
      </c>
    </row>
    <row r="3522" spans="2:8" x14ac:dyDescent="0.2">
      <c r="B3522" s="49" t="s">
        <v>348</v>
      </c>
      <c r="C3522" s="50" t="s">
        <v>969</v>
      </c>
      <c r="D3522" s="51" t="s">
        <v>30</v>
      </c>
      <c r="E3522" s="52" t="s">
        <v>947</v>
      </c>
      <c r="F3522" s="50" t="s">
        <v>356</v>
      </c>
      <c r="G3522" s="30" t="s">
        <v>856</v>
      </c>
      <c r="H3522" t="str">
        <f>CONCATENATE(Prequal[[#This Row],[CITY]], ", ",Prequal[[#This Row],[STATE]])</f>
        <v>Chicago, IL</v>
      </c>
    </row>
    <row r="3523" spans="2:8" x14ac:dyDescent="0.2">
      <c r="B3523" s="49" t="s">
        <v>348</v>
      </c>
      <c r="C3523" s="50" t="s">
        <v>969</v>
      </c>
      <c r="D3523" s="51" t="s">
        <v>53</v>
      </c>
      <c r="E3523" s="52" t="s">
        <v>947</v>
      </c>
      <c r="F3523" s="50" t="s">
        <v>356</v>
      </c>
      <c r="G3523" s="30" t="s">
        <v>856</v>
      </c>
      <c r="H3523" t="str">
        <f>CONCATENATE(Prequal[[#This Row],[CITY]], ", ",Prequal[[#This Row],[STATE]])</f>
        <v>Chicago, IL</v>
      </c>
    </row>
    <row r="3524" spans="2:8" x14ac:dyDescent="0.2">
      <c r="B3524" s="49" t="s">
        <v>348</v>
      </c>
      <c r="C3524" s="50" t="s">
        <v>969</v>
      </c>
      <c r="D3524" s="51" t="s">
        <v>31</v>
      </c>
      <c r="E3524" s="52" t="s">
        <v>947</v>
      </c>
      <c r="F3524" s="50" t="s">
        <v>356</v>
      </c>
      <c r="G3524" s="30" t="s">
        <v>856</v>
      </c>
      <c r="H3524" t="str">
        <f>CONCATENATE(Prequal[[#This Row],[CITY]], ", ",Prequal[[#This Row],[STATE]])</f>
        <v>Chicago, IL</v>
      </c>
    </row>
    <row r="3525" spans="2:8" x14ac:dyDescent="0.2">
      <c r="B3525" s="49" t="s">
        <v>348</v>
      </c>
      <c r="C3525" s="50" t="s">
        <v>969</v>
      </c>
      <c r="D3525" s="51" t="s">
        <v>32</v>
      </c>
      <c r="E3525" s="52" t="s">
        <v>947</v>
      </c>
      <c r="F3525" s="50" t="s">
        <v>356</v>
      </c>
      <c r="G3525" s="30" t="s">
        <v>856</v>
      </c>
      <c r="H3525" t="str">
        <f>CONCATENATE(Prequal[[#This Row],[CITY]], ", ",Prequal[[#This Row],[STATE]])</f>
        <v>Chicago, IL</v>
      </c>
    </row>
    <row r="3526" spans="2:8" x14ac:dyDescent="0.2">
      <c r="B3526" s="49" t="s">
        <v>348</v>
      </c>
      <c r="C3526" s="50" t="s">
        <v>969</v>
      </c>
      <c r="D3526" s="51" t="s">
        <v>54</v>
      </c>
      <c r="E3526" s="52" t="s">
        <v>947</v>
      </c>
      <c r="F3526" s="50" t="s">
        <v>356</v>
      </c>
      <c r="G3526" s="30" t="s">
        <v>856</v>
      </c>
      <c r="H3526" t="str">
        <f>CONCATENATE(Prequal[[#This Row],[CITY]], ", ",Prequal[[#This Row],[STATE]])</f>
        <v>Chicago, IL</v>
      </c>
    </row>
    <row r="3527" spans="2:8" x14ac:dyDescent="0.2">
      <c r="B3527" s="49" t="s">
        <v>348</v>
      </c>
      <c r="C3527" s="50" t="s">
        <v>969</v>
      </c>
      <c r="D3527" s="51" t="s">
        <v>38</v>
      </c>
      <c r="E3527" s="52" t="s">
        <v>947</v>
      </c>
      <c r="F3527" s="50" t="s">
        <v>356</v>
      </c>
      <c r="G3527" s="30" t="s">
        <v>856</v>
      </c>
      <c r="H3527" t="str">
        <f>CONCATENATE(Prequal[[#This Row],[CITY]], ", ",Prequal[[#This Row],[STATE]])</f>
        <v>Chicago, IL</v>
      </c>
    </row>
    <row r="3528" spans="2:8" x14ac:dyDescent="0.2">
      <c r="B3528" s="49" t="s">
        <v>348</v>
      </c>
      <c r="C3528" s="50" t="s">
        <v>969</v>
      </c>
      <c r="D3528" s="51" t="s">
        <v>55</v>
      </c>
      <c r="E3528" s="52" t="s">
        <v>947</v>
      </c>
      <c r="F3528" s="50" t="s">
        <v>356</v>
      </c>
      <c r="G3528" s="30" t="s">
        <v>856</v>
      </c>
      <c r="H3528" t="str">
        <f>CONCATENATE(Prequal[[#This Row],[CITY]], ", ",Prequal[[#This Row],[STATE]])</f>
        <v>Chicago, IL</v>
      </c>
    </row>
    <row r="3529" spans="2:8" x14ac:dyDescent="0.2">
      <c r="B3529" s="49" t="s">
        <v>348</v>
      </c>
      <c r="C3529" s="50" t="s">
        <v>969</v>
      </c>
      <c r="D3529" s="51" t="s">
        <v>56</v>
      </c>
      <c r="E3529" s="52" t="s">
        <v>947</v>
      </c>
      <c r="F3529" s="50" t="s">
        <v>356</v>
      </c>
      <c r="G3529" s="30" t="s">
        <v>856</v>
      </c>
      <c r="H3529" t="str">
        <f>CONCATENATE(Prequal[[#This Row],[CITY]], ", ",Prequal[[#This Row],[STATE]])</f>
        <v>Chicago, IL</v>
      </c>
    </row>
    <row r="3530" spans="2:8" x14ac:dyDescent="0.2">
      <c r="B3530" s="49" t="s">
        <v>348</v>
      </c>
      <c r="C3530" s="50" t="s">
        <v>969</v>
      </c>
      <c r="D3530" s="51" t="s">
        <v>33</v>
      </c>
      <c r="E3530" s="52" t="s">
        <v>947</v>
      </c>
      <c r="F3530" s="50" t="s">
        <v>356</v>
      </c>
      <c r="G3530" s="30" t="s">
        <v>856</v>
      </c>
      <c r="H3530" t="str">
        <f>CONCATENATE(Prequal[[#This Row],[CITY]], ", ",Prequal[[#This Row],[STATE]])</f>
        <v>Chicago, IL</v>
      </c>
    </row>
    <row r="3531" spans="2:8" x14ac:dyDescent="0.2">
      <c r="B3531" s="49" t="s">
        <v>348</v>
      </c>
      <c r="C3531" s="50" t="s">
        <v>969</v>
      </c>
      <c r="D3531" s="51" t="s">
        <v>57</v>
      </c>
      <c r="E3531" s="52" t="s">
        <v>947</v>
      </c>
      <c r="F3531" s="50" t="s">
        <v>356</v>
      </c>
      <c r="G3531" s="30" t="s">
        <v>856</v>
      </c>
      <c r="H3531" t="str">
        <f>CONCATENATE(Prequal[[#This Row],[CITY]], ", ",Prequal[[#This Row],[STATE]])</f>
        <v>Chicago, IL</v>
      </c>
    </row>
  </sheetData>
  <mergeCells count="1">
    <mergeCell ref="A1:B1"/>
  </mergeCells>
  <phoneticPr fontId="12" type="noConversion"/>
  <conditionalFormatting sqref="R4:R59">
    <cfRule type="top10" dxfId="0" priority="1" rank="5"/>
  </conditionalFormatting>
  <pageMargins left="0.7" right="0.7" top="0.75" bottom="0.75" header="0.3" footer="0.3"/>
  <pageSetup orientation="portrait" r:id="rId2"/>
  <legacyDrawing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113940-C27F-4492-84CA-F1B6102347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5C82427D-67FF-4042-8091-9E7916435F30}">
  <ds:schemaRefs>
    <ds:schemaRef ds:uri="http://schemas.microsoft.com/sharepoint/v3/contenttype/forms"/>
  </ds:schemaRefs>
</ds:datastoreItem>
</file>

<file path=customXml/itemProps3.xml><?xml version="1.0" encoding="utf-8"?>
<ds:datastoreItem xmlns:ds="http://schemas.openxmlformats.org/officeDocument/2006/customXml" ds:itemID="{F936F793-EDDE-4893-917F-B6FF60EEDA7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IDOT Consultant Firms</vt:lpstr>
      <vt:lpstr>dataasof</vt:lpstr>
      <vt:lpstr>NumDBE</vt:lpstr>
      <vt:lpstr>NumPrequal</vt:lpstr>
      <vt:lpstr>'IDOT Consultant Firms'!Print_Area</vt:lpstr>
      <vt:lpstr>'IDOT Consultant Firms'!Print_Titles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Leseure, Jenni</dc:creator>
  <cp:lastModifiedBy>Khan, Ronak</cp:lastModifiedBy>
  <cp:lastPrinted>2022-11-02T17:34:25Z</cp:lastPrinted>
  <dcterms:created xsi:type="dcterms:W3CDTF">2022-10-07T18:35:14Z</dcterms:created>
  <dcterms:modified xsi:type="dcterms:W3CDTF">2025-09-03T01:12:15Z</dcterms:modified>
</cp:coreProperties>
</file>